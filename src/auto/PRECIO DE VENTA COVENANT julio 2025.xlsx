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 BLANCO" sheetId="1" r:id="rId4"/>
    <sheet state="visible" name="TECLASTAR" sheetId="2" r:id="rId5"/>
    <sheet state="visible" name="Copia de TECLASTAR" sheetId="3" r:id="rId6"/>
    <sheet state="visible" name="Copia de EXULTT" sheetId="4" r:id="rId7"/>
    <sheet state="visible" name="EXULTT" sheetId="5" r:id="rId8"/>
    <sheet state="visible" name="LGS" sheetId="6" r:id="rId9"/>
    <sheet state="visible" name="Copia de LGS" sheetId="7" r:id="rId10"/>
    <sheet state="visible" name="MILLER" sheetId="8" r:id="rId11"/>
    <sheet state="visible" name="Copia de MILLER" sheetId="9" r:id="rId12"/>
    <sheet state="visible" name="I.M.S.A" sheetId="10" r:id="rId13"/>
    <sheet state="visible" name="Copia de I.M.S.A" sheetId="11" r:id="rId14"/>
    <sheet state="visible" name="SYBYD" sheetId="12" r:id="rId15"/>
    <sheet state="visible" name="Copia de SYBYD" sheetId="13" r:id="rId16"/>
    <sheet state="visible" name="GENROD" sheetId="14" r:id="rId17"/>
    <sheet state="visible" name="Copia de GENROD" sheetId="15" r:id="rId18"/>
    <sheet state="visible" name="JELUZ" sheetId="16" r:id="rId19"/>
    <sheet state="visible" name="Copia de JELUZ" sheetId="17" r:id="rId20"/>
  </sheets>
  <definedNames>
    <definedName hidden="1" localSheetId="1" name="_xlnm._FilterDatabase">TECLASTAR!$A$2:$M$60</definedName>
  </definedNames>
  <calcPr/>
  <extLst>
    <ext uri="GoogleSheetsCustomDataVersion2">
      <go:sheetsCustomData xmlns:go="http://customooxmlschemas.google.com/" r:id="rId21" roundtripDataChecksum="QFfnYzVVtephSgnov/TZU+HP8i3siqA/u85gsGbJz8o="/>
    </ext>
  </extLst>
</workbook>
</file>

<file path=xl/sharedStrings.xml><?xml version="1.0" encoding="utf-8"?>
<sst xmlns="http://schemas.openxmlformats.org/spreadsheetml/2006/main" count="1939" uniqueCount="1217">
  <si>
    <t>PRESUPUESTO</t>
  </si>
  <si>
    <t>N0001-000025</t>
  </si>
  <si>
    <t>FECHA:</t>
  </si>
  <si>
    <t>VENCIMIENTO:</t>
  </si>
  <si>
    <t>CLIENTE:</t>
  </si>
  <si>
    <t>TEL.:</t>
  </si>
  <si>
    <t>PRODUCTO</t>
  </si>
  <si>
    <t>Cantidad</t>
  </si>
  <si>
    <t>Efec/ mts</t>
  </si>
  <si>
    <t>Tarj/ mts</t>
  </si>
  <si>
    <t>Precio Efectivo</t>
  </si>
  <si>
    <t>Precio Tarjeta</t>
  </si>
  <si>
    <t>TOTALES</t>
  </si>
  <si>
    <t>www.covenantmaterialesyelectricidad.com</t>
  </si>
  <si>
    <t>Av. San Martin 3430- Vaqueros, Salta.</t>
  </si>
  <si>
    <t>COD</t>
  </si>
  <si>
    <t>DETALLE</t>
  </si>
  <si>
    <t>Cant.</t>
  </si>
  <si>
    <r>
      <rPr>
        <rFont val="Times New Roman"/>
        <b/>
        <color rgb="FFFFFFFF"/>
        <sz val="14.0"/>
      </rPr>
      <t>PRECIO</t>
    </r>
    <r>
      <rPr>
        <rFont val="Times New Roman"/>
        <b/>
        <color theme="1"/>
        <sz val="14.0"/>
      </rPr>
      <t xml:space="preserve"> </t>
    </r>
    <r>
      <rPr>
        <rFont val="Times New Roman"/>
        <b/>
        <color theme="0"/>
        <sz val="14.0"/>
      </rPr>
      <t xml:space="preserve">NETO </t>
    </r>
  </si>
  <si>
    <t>IVA 21</t>
  </si>
  <si>
    <t>TOTAL SIN IVA</t>
  </si>
  <si>
    <t xml:space="preserve">TOTAL CON IVA </t>
  </si>
  <si>
    <t>PRECIO POR UNIDAD CON IVA</t>
  </si>
  <si>
    <t>PRECIO  EFECTIVO</t>
  </si>
  <si>
    <t>PRECIO TARJETA</t>
  </si>
  <si>
    <t>VENTA</t>
  </si>
  <si>
    <t>STOCK</t>
  </si>
  <si>
    <t>EFT</t>
  </si>
  <si>
    <t>TARJETA</t>
  </si>
  <si>
    <t>Bastidor MPQ STD (UNIVERSAL) (para cajas de 10 x 5 cm)</t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</si>
  <si>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BLANCO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(color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natural)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</si>
  <si>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GRIS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(color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natural)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</si>
  <si>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ARENA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(color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natural)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</si>
  <si>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TOSTADO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(satinado)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</si>
  <si>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ACERO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(satinado)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</si>
  <si>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NEGRO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(satinado)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</si>
  <si>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AZUL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(satinado)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</si>
  <si>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BORDÓ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(satinado)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</si>
  <si>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VERDE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(satinado)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</si>
  <si>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CHAMPAGNE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(satinado)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</si>
  <si>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PLATA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(satinado)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</si>
  <si>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CHAMPAGNE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(metalizado)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</si>
  <si>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PLATA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(metalizado)</t>
    </r>
  </si>
  <si>
    <t>Interruptor PQ STD BLANCO</t>
  </si>
  <si>
    <r>
      <rPr>
        <rFont val="Times New Roman"/>
        <color rgb="FF000000"/>
        <sz val="14.0"/>
      </rPr>
      <t>Interruptor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GRIS</t>
    </r>
  </si>
  <si>
    <r>
      <rPr>
        <rFont val="Times New Roman"/>
        <color rgb="FF000000"/>
        <sz val="14.0"/>
      </rPr>
      <t>Interruptor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ARENA</t>
    </r>
  </si>
  <si>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CIEGO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BLANCO</t>
    </r>
  </si>
  <si>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CIEGO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GRIS</t>
    </r>
  </si>
  <si>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CIEGO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ARENA</t>
    </r>
  </si>
  <si>
    <t>319.60</t>
  </si>
  <si>
    <r>
      <rPr>
        <rFont val="Times New Roman"/>
        <color rgb="FF000000"/>
        <sz val="14.0"/>
      </rPr>
      <t>Toma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10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BLANCO</t>
    </r>
  </si>
  <si>
    <r>
      <rPr>
        <rFont val="Times New Roman"/>
        <color rgb="FF000000"/>
        <sz val="14.0"/>
      </rPr>
      <t>Toma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10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GRIS</t>
    </r>
  </si>
  <si>
    <r>
      <rPr>
        <rFont val="Times New Roman"/>
        <color rgb="FF000000"/>
        <sz val="14.0"/>
      </rPr>
      <t>Toma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10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ARENA</t>
    </r>
  </si>
  <si>
    <t>Interruptor PQ MEDIO MÓDULO BLANCO</t>
  </si>
  <si>
    <r>
      <rPr>
        <rFont val="Times New Roman"/>
        <color rgb="FF000000"/>
        <sz val="14.0"/>
      </rPr>
      <t>Interruptor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MEDIO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GRIS</t>
    </r>
  </si>
  <si>
    <r>
      <rPr>
        <rFont val="Times New Roman"/>
        <color rgb="FF000000"/>
        <sz val="14.0"/>
      </rPr>
      <t>Interruptor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MEDIO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ARENA</t>
    </r>
  </si>
  <si>
    <r>
      <rPr>
        <rFont val="Times New Roman"/>
        <color rgb="FF000000"/>
        <sz val="14.0"/>
      </rPr>
      <t>Medio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CIEGO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BLANCO</t>
    </r>
  </si>
  <si>
    <r>
      <rPr>
        <rFont val="Times New Roman"/>
        <color rgb="FF000000"/>
        <sz val="14.0"/>
      </rPr>
      <t>Medio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CIEGO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GRIS</t>
    </r>
  </si>
  <si>
    <r>
      <rPr>
        <rFont val="Times New Roman"/>
        <color rgb="FF000000"/>
        <sz val="14.0"/>
      </rPr>
      <t>Medio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CIEGO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ARENA</t>
    </r>
  </si>
  <si>
    <r>
      <rPr>
        <rFont val="Times New Roman"/>
        <color rgb="FF000000"/>
        <sz val="14.0"/>
      </rPr>
      <t>Interruptor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GRANDE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BLANCO</t>
    </r>
  </si>
  <si>
    <r>
      <rPr>
        <rFont val="Times New Roman"/>
        <color rgb="FF000000"/>
        <sz val="14.0"/>
      </rPr>
      <t>Interruptor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GRANDE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GRIS</t>
    </r>
  </si>
  <si>
    <r>
      <rPr>
        <rFont val="Times New Roman"/>
        <color rgb="FF000000"/>
        <sz val="14.0"/>
      </rPr>
      <t>Interruptor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GRANDE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ARENA</t>
    </r>
  </si>
  <si>
    <r>
      <rPr>
        <rFont val="Times New Roman"/>
        <color rgb="FF000000"/>
        <sz val="14.0"/>
      </rPr>
      <t>Interruptor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COMBINACIÓN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GRANDE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BLANCO</t>
    </r>
  </si>
  <si>
    <r>
      <rPr>
        <rFont val="Times New Roman"/>
        <color rgb="FF000000"/>
        <sz val="14.0"/>
      </rPr>
      <t>Interruptor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COMBINACIÓN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GRANDE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ARENA</t>
    </r>
  </si>
  <si>
    <r>
      <rPr>
        <rFont val="Times New Roman"/>
        <color rgb="FF000000"/>
        <sz val="14.0"/>
      </rPr>
      <t>Toma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TELÉFONO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AMERICANO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2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cont.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BLANCO</t>
    </r>
  </si>
  <si>
    <r>
      <rPr>
        <rFont val="Times New Roman"/>
        <color rgb="FF000000"/>
        <sz val="14.0"/>
      </rPr>
      <t>Toma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TELÉFONO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AMERICANO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2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cont.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GRIS</t>
    </r>
  </si>
  <si>
    <r>
      <rPr>
        <rFont val="Times New Roman"/>
        <color rgb="FF000000"/>
        <sz val="14.0"/>
      </rPr>
      <t>Toma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TELÉFONO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AMERICANO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2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cont.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ARENA</t>
    </r>
  </si>
  <si>
    <t>Módulo PUERTO Cargador con USB DOBLE (2 conectores tipo «A») BLANCO</t>
  </si>
  <si>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PUERTO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Cargador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con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2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USB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(1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tipo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«A»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y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1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tipo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«C») BLANCO</t>
    </r>
  </si>
  <si>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PUERTO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Cargador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con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USB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DOBLE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(2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conectores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tipo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«A») GRIS</t>
    </r>
  </si>
  <si>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PUERTO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Cargador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con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2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USB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(1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tipo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«A»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y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1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tipo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«C») ARENA</t>
    </r>
  </si>
  <si>
    <r>
      <rPr>
        <rFont val="Times New Roman"/>
        <color rgb="FF000000"/>
        <sz val="14.0"/>
      </rPr>
      <t>TOMA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DOBLE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para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250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V~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GRIS</t>
    </r>
  </si>
  <si>
    <r>
      <rPr>
        <rFont val="Times New Roman"/>
        <color rgb="FF000000"/>
        <sz val="14.0"/>
      </rPr>
      <t>TOMA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DOBLE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para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250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V~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ARENA</t>
    </r>
  </si>
  <si>
    <t>TOMA DOBLE PQ para 250 V~ BLANCO</t>
  </si>
  <si>
    <r>
      <rPr>
        <rFont val="Times New Roman"/>
        <color rgb="FF000000"/>
        <sz val="14.0"/>
      </rPr>
      <t>Bastidor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ESTANCO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con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TAPA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IP55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(BLANCO)</t>
    </r>
  </si>
  <si>
    <r>
      <rPr>
        <rFont val="Times New Roman"/>
        <color rgb="FF000000"/>
        <sz val="14.0"/>
      </rPr>
      <t>Bastidor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ESTANCO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con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TAPA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IP55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(GRIS)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</si>
  <si>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MINIMAL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BLANCO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(Color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natural)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</si>
  <si>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MINIMAL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GRIS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(Color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natural)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</si>
  <si>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MINIMAL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ARENA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(Color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natural)</t>
    </r>
  </si>
  <si>
    <t>REFLECTORES</t>
  </si>
  <si>
    <t xml:space="preserve">REFLECTOR LED 100-240 V 10 W LUZ FRÍA IP65 </t>
  </si>
  <si>
    <t>REFLECTOR LED 100-240 V 20 W LUZ FRÍA IP65</t>
  </si>
  <si>
    <t>REFLECTOR LED 100-240 V 30 W LUZ FRÍA IP65</t>
  </si>
  <si>
    <t>REFLECTOR LED 100-240 V 50 W LUZ FRÍA IP65</t>
  </si>
  <si>
    <t>REFLECTOR LED 100-240 V 100 W LUZ FRÍA IP65</t>
  </si>
  <si>
    <t>REFLECTOR LED 100-240 V 150 W LUZ FRÍA IP6</t>
  </si>
  <si>
    <t>Prolongador múltiple 5 tomas BLANCO 1,5 m de cable</t>
  </si>
  <si>
    <t>Prolongador múltiple 4 tomas + 1 USB + 1 USB C BLANCO - 1,5 m de</t>
  </si>
  <si>
    <r>
      <rPr>
        <rFont val="Times New Roman"/>
        <b/>
        <color rgb="FFFFFFFF"/>
        <sz val="14.0"/>
      </rPr>
      <t>PRECIO</t>
    </r>
    <r>
      <rPr>
        <rFont val="Times New Roman"/>
        <b/>
        <color theme="1"/>
        <sz val="14.0"/>
      </rPr>
      <t xml:space="preserve"> </t>
    </r>
    <r>
      <rPr>
        <rFont val="Times New Roman"/>
        <b/>
        <color theme="0"/>
        <sz val="14.0"/>
      </rPr>
      <t xml:space="preserve">NETO </t>
    </r>
  </si>
  <si>
    <t>Mercado Libre</t>
  </si>
  <si>
    <r>
      <rPr>
        <rFont val="Times New Roman"/>
        <color rgb="FF000000"/>
        <sz val="14.0"/>
      </rPr>
      <t>Bastidor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MPQ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(UNIVERSAL)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(para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cajas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de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10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x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5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cm)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</si>
  <si>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BLANCO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(color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natural)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</si>
  <si>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GRIS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(color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natural)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</si>
  <si>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ARENA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(color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natural)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</si>
  <si>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TOSTADO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(satinado)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</si>
  <si>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ACERO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(satinado)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</si>
  <si>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NEGRO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(satinado)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</si>
  <si>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AZUL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(satinado)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</si>
  <si>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BORDÓ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(satinado)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</si>
  <si>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VERDE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(satinado)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</si>
  <si>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CHAMPAGNE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(satinado)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</si>
  <si>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PLATA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(satinado)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</si>
  <si>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CHAMPAGNE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(metalizado)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</si>
  <si>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QUADRA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PLATA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(metalizado)</t>
    </r>
  </si>
  <si>
    <r>
      <rPr>
        <rFont val="Times New Roman"/>
        <color rgb="FF000000"/>
        <sz val="14.0"/>
      </rPr>
      <t>Interruptor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GRIS</t>
    </r>
  </si>
  <si>
    <r>
      <rPr>
        <rFont val="Times New Roman"/>
        <color rgb="FF000000"/>
        <sz val="14.0"/>
      </rPr>
      <t>Interruptor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ARENA</t>
    </r>
  </si>
  <si>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CIEGO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BLANCO</t>
    </r>
  </si>
  <si>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CIEGO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GRIS</t>
    </r>
  </si>
  <si>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CIEGO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ARENA</t>
    </r>
  </si>
  <si>
    <r>
      <rPr>
        <rFont val="Times New Roman"/>
        <color rgb="FF000000"/>
        <sz val="14.0"/>
      </rPr>
      <t>Toma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10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BLANCO</t>
    </r>
  </si>
  <si>
    <r>
      <rPr>
        <rFont val="Times New Roman"/>
        <color rgb="FF000000"/>
        <sz val="14.0"/>
      </rPr>
      <t>Toma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10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GRIS</t>
    </r>
  </si>
  <si>
    <r>
      <rPr>
        <rFont val="Times New Roman"/>
        <color rgb="FF000000"/>
        <sz val="14.0"/>
      </rPr>
      <t>Toma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10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ARENA</t>
    </r>
  </si>
  <si>
    <r>
      <rPr>
        <rFont val="Times New Roman"/>
        <color rgb="FF000000"/>
        <sz val="14.0"/>
      </rPr>
      <t>Interruptor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MEDIO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GRIS</t>
    </r>
  </si>
  <si>
    <r>
      <rPr>
        <rFont val="Times New Roman"/>
        <color rgb="FF000000"/>
        <sz val="14.0"/>
      </rPr>
      <t>Interruptor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MEDIO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ARENA</t>
    </r>
  </si>
  <si>
    <r>
      <rPr>
        <rFont val="Times New Roman"/>
        <color rgb="FF000000"/>
        <sz val="14.0"/>
      </rPr>
      <t>Medio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CIEGO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BLANCO</t>
    </r>
  </si>
  <si>
    <r>
      <rPr>
        <rFont val="Times New Roman"/>
        <color rgb="FF000000"/>
        <sz val="14.0"/>
      </rPr>
      <t>Medio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CIEGO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GRIS</t>
    </r>
  </si>
  <si>
    <r>
      <rPr>
        <rFont val="Times New Roman"/>
        <color rgb="FF000000"/>
        <sz val="14.0"/>
      </rPr>
      <t>Medio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CIEGO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ARENA</t>
    </r>
  </si>
  <si>
    <r>
      <rPr>
        <rFont val="Times New Roman"/>
        <color rgb="FF000000"/>
        <sz val="14.0"/>
      </rPr>
      <t>Interruptor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GRANDE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BLANCO</t>
    </r>
  </si>
  <si>
    <r>
      <rPr>
        <rFont val="Times New Roman"/>
        <color rgb="FF000000"/>
        <sz val="14.0"/>
      </rPr>
      <t>Interruptor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GRANDE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GRIS</t>
    </r>
  </si>
  <si>
    <r>
      <rPr>
        <rFont val="Times New Roman"/>
        <color rgb="FF000000"/>
        <sz val="14.0"/>
      </rPr>
      <t>Interruptor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GRANDE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ARENA</t>
    </r>
  </si>
  <si>
    <r>
      <rPr>
        <rFont val="Times New Roman"/>
        <color rgb="FF000000"/>
        <sz val="14.0"/>
      </rPr>
      <t>Interruptor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COMBINACIÓN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GRANDE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BLANCO</t>
    </r>
  </si>
  <si>
    <r>
      <rPr>
        <rFont val="Times New Roman"/>
        <color rgb="FF000000"/>
        <sz val="14.0"/>
      </rPr>
      <t>Interruptor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COMBINACIÓN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GRANDE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ARENA</t>
    </r>
  </si>
  <si>
    <r>
      <rPr>
        <rFont val="Times New Roman"/>
        <color rgb="FF000000"/>
        <sz val="14.0"/>
      </rPr>
      <t>Toma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TELÉFONO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AMERICANO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2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cont.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BLANCO</t>
    </r>
  </si>
  <si>
    <r>
      <rPr>
        <rFont val="Times New Roman"/>
        <color rgb="FF000000"/>
        <sz val="14.0"/>
      </rPr>
      <t>Toma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TELÉFONO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AMERICANO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2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cont.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GRIS</t>
    </r>
  </si>
  <si>
    <r>
      <rPr>
        <rFont val="Times New Roman"/>
        <color rgb="FF000000"/>
        <sz val="14.0"/>
      </rPr>
      <t>Toma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TELÉFONO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AMERICANO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2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cont.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ARENA</t>
    </r>
  </si>
  <si>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PUERTO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Cargador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con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USB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DOBLE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(2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conectores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tipo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«A») BLANCO</t>
    </r>
  </si>
  <si>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PUERTO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Cargador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con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2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USB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(1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tipo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«A»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y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1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tipo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«C») BLANCO</t>
    </r>
  </si>
  <si>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PUERTO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Cargador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con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USB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DOBLE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(2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conectores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tipo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«A») GRIS</t>
    </r>
  </si>
  <si>
    <r>
      <rPr>
        <rFont val="Times New Roman"/>
        <color rgb="FF000000"/>
        <sz val="14.0"/>
      </rPr>
      <t>Módulo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PUERTO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Cargador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con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2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USB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(1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tipo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«A»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y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1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tipo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«C») ARENA</t>
    </r>
  </si>
  <si>
    <r>
      <rPr>
        <rFont val="Times New Roman"/>
        <color rgb="FF000000"/>
        <sz val="14.0"/>
      </rPr>
      <t>TOMA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DOBLE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para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250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V~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GRIS</t>
    </r>
  </si>
  <si>
    <r>
      <rPr>
        <rFont val="Times New Roman"/>
        <color rgb="FF000000"/>
        <sz val="14.0"/>
      </rPr>
      <t>TOMA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DOBLE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para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250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V~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ARENA</t>
    </r>
  </si>
  <si>
    <r>
      <rPr>
        <rFont val="Times New Roman"/>
        <color rgb="FF000000"/>
        <sz val="14.0"/>
      </rPr>
      <t>Bastidor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ESTANCO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con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TAPA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IP55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(BLANCO)</t>
    </r>
  </si>
  <si>
    <r>
      <rPr>
        <rFont val="Times New Roman"/>
        <color rgb="FF000000"/>
        <sz val="14.0"/>
      </rPr>
      <t>Bastidor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ESTANCO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PQ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con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TAPA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IP55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(GRIS)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</si>
  <si>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MINIMAL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BLANCO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(Color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natural)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</si>
  <si>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MINIMAL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GRIS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(Color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natural)</t>
    </r>
  </si>
  <si>
    <r>
      <rPr>
        <rFont val="Times New Roman"/>
        <color rgb="FF000000"/>
        <sz val="14.0"/>
      </rPr>
      <t>Marco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MINIMAL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STD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ARENA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(Color</t>
    </r>
    <r>
      <rPr>
        <rFont val="Times New Roman"/>
        <color rgb="FF000000"/>
        <sz val="14.0"/>
      </rPr>
      <t xml:space="preserve"> </t>
    </r>
    <r>
      <rPr>
        <rFont val="Times New Roman"/>
        <color rgb="FF000000"/>
        <sz val="14.0"/>
      </rPr>
      <t>natural)</t>
    </r>
  </si>
  <si>
    <t xml:space="preserve">CODIGO           </t>
  </si>
  <si>
    <t xml:space="preserve">NETO </t>
  </si>
  <si>
    <t>VENTA EFECTIVO</t>
  </si>
  <si>
    <t>VENTA TARJETA</t>
  </si>
  <si>
    <t>TARJ</t>
  </si>
  <si>
    <t>CINTA PASACABLE PLASTICA Ø3,8 7</t>
  </si>
  <si>
    <r>
      <rPr>
        <rFont val="Times New Roman"/>
        <color theme="1"/>
        <sz val="14.0"/>
      </rPr>
      <t>5.422,91</t>
    </r>
  </si>
  <si>
    <r>
      <rPr>
        <rFont val="Times New Roman"/>
        <color theme="1"/>
        <sz val="14.0"/>
      </rPr>
      <t>108.458,20</t>
    </r>
  </si>
  <si>
    <t>CINTA PASACABLE ALMA ACERO 7</t>
  </si>
  <si>
    <r>
      <rPr>
        <rFont val="Times New Roman"/>
        <color theme="1"/>
        <sz val="14.0"/>
      </rPr>
      <t>177.626,00</t>
    </r>
  </si>
  <si>
    <t>CINTA PASACABLE PLASTICA Ø3,8 10 MTS</t>
  </si>
  <si>
    <r>
      <rPr>
        <rFont val="Times New Roman"/>
        <color theme="1"/>
        <sz val="14.0"/>
      </rPr>
      <t>5.867,69</t>
    </r>
  </si>
  <si>
    <r>
      <rPr>
        <rFont val="Times New Roman"/>
        <color theme="1"/>
        <sz val="14.0"/>
      </rPr>
      <t>117.353,80</t>
    </r>
  </si>
  <si>
    <r>
      <rPr>
        <rFont val="Times New Roman"/>
        <color theme="1"/>
        <sz val="14.0"/>
      </rPr>
      <t>CINTA PASACABLE ALMA ACERO 10</t>
    </r>
  </si>
  <si>
    <r>
      <rPr>
        <rFont val="Times New Roman"/>
        <color theme="1"/>
        <sz val="14.0"/>
      </rPr>
      <t>10.563,55</t>
    </r>
  </si>
  <si>
    <r>
      <rPr>
        <rFont val="Times New Roman"/>
        <color theme="1"/>
        <sz val="14.0"/>
      </rPr>
      <t>211.271,00</t>
    </r>
  </si>
  <si>
    <r>
      <rPr>
        <rFont val="Times New Roman"/>
        <color theme="1"/>
        <sz val="14.0"/>
      </rPr>
      <t>CINTA PASACABLE POLIESTER 10 M</t>
    </r>
  </si>
  <si>
    <r>
      <rPr>
        <rFont val="Times New Roman"/>
        <color theme="1"/>
        <sz val="14.0"/>
      </rPr>
      <t>11.133,21</t>
    </r>
  </si>
  <si>
    <r>
      <rPr>
        <rFont val="Times New Roman"/>
        <color theme="1"/>
        <sz val="14.0"/>
      </rPr>
      <t>CINTA PASACABLE HELICOIDAL 10 M</t>
    </r>
  </si>
  <si>
    <r>
      <rPr>
        <rFont val="Times New Roman"/>
        <color theme="1"/>
        <sz val="14.0"/>
      </rPr>
      <t>25.644,34</t>
    </r>
  </si>
  <si>
    <r>
      <rPr>
        <rFont val="Times New Roman"/>
        <color theme="1"/>
        <sz val="14.0"/>
      </rPr>
      <t>51.288,68</t>
    </r>
  </si>
  <si>
    <t>CINTA PASACABLE PLASTICA Ø3,8 15 MTS</t>
  </si>
  <si>
    <r>
      <rPr>
        <rFont val="Times New Roman"/>
        <color theme="1"/>
        <sz val="14.0"/>
      </rPr>
      <t>6.511,60</t>
    </r>
  </si>
  <si>
    <r>
      <rPr>
        <rFont val="Times New Roman"/>
        <color theme="1"/>
        <sz val="14.0"/>
      </rPr>
      <t>130.232,00</t>
    </r>
  </si>
  <si>
    <r>
      <rPr>
        <rFont val="Times New Roman"/>
        <color theme="1"/>
        <sz val="14.0"/>
      </rPr>
      <t>CINTA PASACABLE ALMA ACERO 15</t>
    </r>
  </si>
  <si>
    <r>
      <rPr>
        <rFont val="Times New Roman"/>
        <color theme="1"/>
        <sz val="14.0"/>
      </rPr>
      <t>14.331,94</t>
    </r>
  </si>
  <si>
    <r>
      <rPr>
        <rFont val="Times New Roman"/>
        <color theme="1"/>
        <sz val="14.0"/>
      </rPr>
      <t>286.638,80</t>
    </r>
  </si>
  <si>
    <r>
      <rPr>
        <rFont val="Times New Roman"/>
        <color theme="1"/>
        <sz val="14.0"/>
      </rPr>
      <t>CINTA PASACABLE HELICOIDAL 15 M</t>
    </r>
  </si>
  <si>
    <r>
      <rPr>
        <rFont val="Times New Roman"/>
        <color theme="1"/>
        <sz val="14.0"/>
      </rPr>
      <t>28.747,66</t>
    </r>
  </si>
  <si>
    <r>
      <rPr>
        <rFont val="Times New Roman"/>
        <color theme="1"/>
        <sz val="14.0"/>
      </rPr>
      <t>57.495,32</t>
    </r>
  </si>
  <si>
    <r>
      <rPr>
        <rFont val="Times New Roman"/>
        <color theme="1"/>
        <sz val="14.0"/>
      </rPr>
      <t>CAPSULADA 16 EXT. 1 INT. AZUL</t>
    </r>
  </si>
  <si>
    <r>
      <rPr>
        <rFont val="Times New Roman"/>
        <color theme="1"/>
        <sz val="14.0"/>
      </rPr>
      <t>3.824,80</t>
    </r>
  </si>
  <si>
    <r>
      <rPr>
        <rFont val="Times New Roman"/>
        <color theme="1"/>
        <sz val="14.0"/>
      </rPr>
      <t>76.496,00</t>
    </r>
  </si>
  <si>
    <r>
      <rPr>
        <rFont val="Times New Roman"/>
        <color theme="1"/>
        <sz val="14.0"/>
      </rPr>
      <t>CAPSULADA 32 EXT. 1 TOMA 20A BEI</t>
    </r>
  </si>
  <si>
    <r>
      <rPr>
        <rFont val="Times New Roman"/>
        <color theme="1"/>
        <sz val="14.0"/>
      </rPr>
      <t>5.952,80</t>
    </r>
  </si>
  <si>
    <r>
      <rPr>
        <rFont val="Times New Roman"/>
        <color theme="1"/>
        <sz val="14.0"/>
      </rPr>
      <t>59.528,00</t>
    </r>
  </si>
  <si>
    <r>
      <rPr>
        <rFont val="Times New Roman"/>
        <color theme="1"/>
        <sz val="14.0"/>
      </rPr>
      <t>CAPSULADA 32 EXT. 1 TOMA 20A AZ</t>
    </r>
  </si>
  <si>
    <r>
      <rPr>
        <rFont val="Times New Roman"/>
        <color theme="1"/>
        <sz val="14.0"/>
      </rPr>
      <t>5.952,80</t>
    </r>
  </si>
  <si>
    <r>
      <rPr>
        <rFont val="Times New Roman"/>
        <color theme="1"/>
        <sz val="14.0"/>
      </rPr>
      <t>59.528,00</t>
    </r>
  </si>
  <si>
    <r>
      <rPr>
        <rFont val="Times New Roman"/>
        <color theme="1"/>
        <sz val="14.0"/>
      </rPr>
      <t>PORTALAMPARA C/CHICOTE NEGRO</t>
    </r>
  </si>
  <si>
    <r>
      <rPr>
        <rFont val="Times New Roman"/>
        <color theme="1"/>
        <sz val="14.0"/>
      </rPr>
      <t>1.933,86</t>
    </r>
  </si>
  <si>
    <r>
      <rPr>
        <rFont val="Times New Roman"/>
        <color theme="1"/>
        <sz val="14.0"/>
      </rPr>
      <t>290.079,00</t>
    </r>
  </si>
  <si>
    <r>
      <rPr>
        <rFont val="Times New Roman"/>
        <color theme="1"/>
        <sz val="14.0"/>
      </rPr>
      <t>ZOCALO CON ROTOR SIMPLE</t>
    </r>
  </si>
  <si>
    <r>
      <rPr>
        <rFont val="Times New Roman"/>
        <color theme="1"/>
        <sz val="14.0"/>
      </rPr>
      <t>1.041,56</t>
    </r>
  </si>
  <si>
    <r>
      <rPr>
        <rFont val="Times New Roman"/>
        <color theme="1"/>
        <sz val="14.0"/>
      </rPr>
      <t>260.390,00</t>
    </r>
  </si>
  <si>
    <r>
      <rPr>
        <rFont val="Times New Roman"/>
        <color theme="1"/>
        <sz val="14.0"/>
      </rPr>
      <t>ZOCALO FLEXIBLE CON CHICOTE</t>
    </r>
  </si>
  <si>
    <r>
      <rPr>
        <rFont val="Times New Roman"/>
        <color theme="1"/>
        <sz val="14.0"/>
      </rPr>
      <t>645,36</t>
    </r>
  </si>
  <si>
    <r>
      <rPr>
        <rFont val="Times New Roman"/>
        <color theme="1"/>
        <sz val="14.0"/>
      </rPr>
      <t>193.608,00</t>
    </r>
  </si>
  <si>
    <r>
      <rPr>
        <rFont val="Times New Roman"/>
        <color theme="1"/>
        <sz val="14.0"/>
      </rPr>
      <t>SOPORTE PARA TUBOS G13</t>
    </r>
  </si>
  <si>
    <r>
      <rPr>
        <rFont val="Times New Roman"/>
        <color theme="1"/>
        <sz val="14.0"/>
      </rPr>
      <t>156,62</t>
    </r>
  </si>
  <si>
    <r>
      <rPr>
        <rFont val="Times New Roman"/>
        <color theme="1"/>
        <sz val="14.0"/>
      </rPr>
      <t>23.493,00</t>
    </r>
  </si>
  <si>
    <r>
      <rPr>
        <rFont val="Times New Roman"/>
        <color theme="1"/>
        <sz val="14.0"/>
      </rPr>
      <t>ZOCALO CON ROTOR SIMPLE NYLO</t>
    </r>
  </si>
  <si>
    <r>
      <rPr>
        <rFont val="Times New Roman"/>
        <color theme="1"/>
        <sz val="14.0"/>
      </rPr>
      <t>1.593,03</t>
    </r>
  </si>
  <si>
    <r>
      <rPr>
        <rFont val="Times New Roman"/>
        <color theme="1"/>
        <sz val="14.0"/>
      </rPr>
      <t>398.257,50</t>
    </r>
  </si>
  <si>
    <r>
      <rPr>
        <rFont val="Times New Roman"/>
        <color theme="1"/>
        <sz val="14.0"/>
      </rPr>
      <t>Z0733609</t>
    </r>
  </si>
  <si>
    <r>
      <rPr>
        <rFont val="Times New Roman"/>
        <color theme="1"/>
        <sz val="14.0"/>
      </rPr>
      <t>CAPSULADA 16 EXT. 1 TOMA AZUL</t>
    </r>
  </si>
  <si>
    <r>
      <rPr>
        <rFont val="Times New Roman"/>
        <color theme="1"/>
        <sz val="14.0"/>
      </rPr>
      <t>3.741,94</t>
    </r>
  </si>
  <si>
    <r>
      <rPr>
        <rFont val="Times New Roman"/>
        <color theme="1"/>
        <sz val="14.0"/>
      </rPr>
      <t>149.677,60</t>
    </r>
  </si>
  <si>
    <r>
      <rPr>
        <rFont val="Times New Roman"/>
        <color theme="1"/>
        <sz val="14.0"/>
      </rPr>
      <t>Z0735503</t>
    </r>
  </si>
  <si>
    <r>
      <rPr>
        <rFont val="Times New Roman"/>
        <color theme="1"/>
        <sz val="14.0"/>
      </rPr>
      <t>CAPSULADA 32 EXT. 1 INT Y 1 TOMA</t>
    </r>
  </si>
  <si>
    <r>
      <rPr>
        <rFont val="Times New Roman"/>
        <color theme="1"/>
        <sz val="14.0"/>
      </rPr>
      <t>6.541,63</t>
    </r>
  </si>
  <si>
    <r>
      <rPr>
        <rFont val="Times New Roman"/>
        <color theme="1"/>
        <sz val="14.0"/>
      </rPr>
      <t>130.832,60</t>
    </r>
  </si>
  <si>
    <r>
      <rPr>
        <rFont val="Times New Roman"/>
        <color theme="1"/>
        <sz val="14.0"/>
      </rPr>
      <t>5.422,91</t>
    </r>
  </si>
  <si>
    <r>
      <rPr>
        <rFont val="Times New Roman"/>
        <color theme="1"/>
        <sz val="14.0"/>
      </rPr>
      <t>108.458,20</t>
    </r>
  </si>
  <si>
    <r>
      <rPr>
        <rFont val="Times New Roman"/>
        <color theme="1"/>
        <sz val="14.0"/>
      </rPr>
      <t>CINTA PASACABLE ALMA ACERO 7</t>
    </r>
  </si>
  <si>
    <r>
      <rPr>
        <rFont val="Times New Roman"/>
        <color theme="1"/>
        <sz val="14.0"/>
      </rPr>
      <t>177.626,00</t>
    </r>
  </si>
  <si>
    <r>
      <rPr>
        <rFont val="Times New Roman"/>
        <color theme="1"/>
        <sz val="14.0"/>
      </rPr>
      <t>5.867,69</t>
    </r>
  </si>
  <si>
    <r>
      <rPr>
        <rFont val="Times New Roman"/>
        <color theme="1"/>
        <sz val="14.0"/>
      </rPr>
      <t>117.353,80</t>
    </r>
  </si>
  <si>
    <r>
      <rPr>
        <rFont val="Times New Roman"/>
        <color theme="1"/>
        <sz val="14.0"/>
      </rPr>
      <t>CINTA PASACABLE ALMA ACERO 10</t>
    </r>
  </si>
  <si>
    <r>
      <rPr>
        <rFont val="Times New Roman"/>
        <color theme="1"/>
        <sz val="14.0"/>
      </rPr>
      <t>10.563,55</t>
    </r>
  </si>
  <si>
    <r>
      <rPr>
        <rFont val="Times New Roman"/>
        <color theme="1"/>
        <sz val="14.0"/>
      </rPr>
      <t>211.271,00</t>
    </r>
  </si>
  <si>
    <r>
      <rPr>
        <rFont val="Times New Roman"/>
        <color theme="1"/>
        <sz val="14.0"/>
      </rPr>
      <t>CINTA PASACABLE POLIESTER 10 M</t>
    </r>
  </si>
  <si>
    <r>
      <rPr>
        <rFont val="Times New Roman"/>
        <color theme="1"/>
        <sz val="14.0"/>
      </rPr>
      <t>11.133,21</t>
    </r>
  </si>
  <si>
    <r>
      <rPr>
        <rFont val="Times New Roman"/>
        <color theme="1"/>
        <sz val="14.0"/>
      </rPr>
      <t>111.332,10</t>
    </r>
  </si>
  <si>
    <r>
      <rPr>
        <rFont val="Times New Roman"/>
        <color theme="1"/>
        <sz val="14.0"/>
      </rPr>
      <t>CINTA PASACABLE HELICOIDAL 10 M</t>
    </r>
  </si>
  <si>
    <r>
      <rPr>
        <rFont val="Times New Roman"/>
        <color theme="1"/>
        <sz val="14.0"/>
      </rPr>
      <t>25.644,34</t>
    </r>
  </si>
  <si>
    <r>
      <rPr>
        <rFont val="Times New Roman"/>
        <color theme="1"/>
        <sz val="14.0"/>
      </rPr>
      <t>51.288,68</t>
    </r>
  </si>
  <si>
    <r>
      <rPr>
        <rFont val="Times New Roman"/>
        <color theme="1"/>
        <sz val="14.0"/>
      </rPr>
      <t>6.511,60</t>
    </r>
  </si>
  <si>
    <r>
      <rPr>
        <rFont val="Times New Roman"/>
        <color theme="1"/>
        <sz val="14.0"/>
      </rPr>
      <t>130.232,00</t>
    </r>
  </si>
  <si>
    <r>
      <rPr>
        <rFont val="Times New Roman"/>
        <color theme="1"/>
        <sz val="14.0"/>
      </rPr>
      <t>CINTA PASACABLE ALMA ACERO 15</t>
    </r>
  </si>
  <si>
    <r>
      <rPr>
        <rFont val="Times New Roman"/>
        <color theme="1"/>
        <sz val="14.0"/>
      </rPr>
      <t>14.331,94</t>
    </r>
  </si>
  <si>
    <r>
      <rPr>
        <rFont val="Times New Roman"/>
        <color theme="1"/>
        <sz val="14.0"/>
      </rPr>
      <t>286.638,80</t>
    </r>
  </si>
  <si>
    <r>
      <rPr>
        <rFont val="Times New Roman"/>
        <color theme="1"/>
        <sz val="14.0"/>
      </rPr>
      <t>CINTA PASACABLE HELICOIDAL 15 M</t>
    </r>
  </si>
  <si>
    <r>
      <rPr>
        <rFont val="Times New Roman"/>
        <color theme="1"/>
        <sz val="14.0"/>
      </rPr>
      <t>28.747,66</t>
    </r>
  </si>
  <si>
    <r>
      <rPr>
        <rFont val="Times New Roman"/>
        <color theme="1"/>
        <sz val="14.0"/>
      </rPr>
      <t>57.495,32</t>
    </r>
  </si>
  <si>
    <r>
      <rPr>
        <rFont val="Times New Roman"/>
        <color theme="1"/>
        <sz val="14.0"/>
      </rPr>
      <t>CAPSULADA 16 EXT. 1 INT. AZUL</t>
    </r>
  </si>
  <si>
    <r>
      <rPr>
        <rFont val="Times New Roman"/>
        <color theme="1"/>
        <sz val="14.0"/>
      </rPr>
      <t>3.824,80</t>
    </r>
  </si>
  <si>
    <r>
      <rPr>
        <rFont val="Times New Roman"/>
        <color theme="1"/>
        <sz val="14.0"/>
      </rPr>
      <t>76.496,00</t>
    </r>
  </si>
  <si>
    <r>
      <rPr>
        <rFont val="Times New Roman"/>
        <color theme="1"/>
        <sz val="14.0"/>
      </rPr>
      <t>CAPSULADA 32 EXT. 1 TOMA 20A BEI</t>
    </r>
  </si>
  <si>
    <r>
      <rPr>
        <rFont val="Times New Roman"/>
        <color theme="1"/>
        <sz val="14.0"/>
      </rPr>
      <t>5.952,80</t>
    </r>
  </si>
  <si>
    <r>
      <rPr>
        <rFont val="Times New Roman"/>
        <color theme="1"/>
        <sz val="14.0"/>
      </rPr>
      <t>59.528,00</t>
    </r>
  </si>
  <si>
    <r>
      <rPr>
        <rFont val="Times New Roman"/>
        <color theme="1"/>
        <sz val="14.0"/>
      </rPr>
      <t>CAPSULADA 32 EXT. 1 TOMA 20A AZ</t>
    </r>
  </si>
  <si>
    <r>
      <rPr>
        <rFont val="Times New Roman"/>
        <color theme="1"/>
        <sz val="14.0"/>
      </rPr>
      <t>5.952,80</t>
    </r>
  </si>
  <si>
    <r>
      <rPr>
        <rFont val="Times New Roman"/>
        <color theme="1"/>
        <sz val="14.0"/>
      </rPr>
      <t>59.528,00</t>
    </r>
  </si>
  <si>
    <r>
      <rPr>
        <rFont val="Times New Roman"/>
        <color theme="1"/>
        <sz val="14.0"/>
      </rPr>
      <t>PORTALAMPARA C/CHICOTE NEGRO</t>
    </r>
  </si>
  <si>
    <r>
      <rPr>
        <rFont val="Times New Roman"/>
        <color theme="1"/>
        <sz val="14.0"/>
      </rPr>
      <t>1.933,86</t>
    </r>
  </si>
  <si>
    <r>
      <rPr>
        <rFont val="Times New Roman"/>
        <color theme="1"/>
        <sz val="14.0"/>
      </rPr>
      <t>290.079,00</t>
    </r>
  </si>
  <si>
    <r>
      <rPr>
        <rFont val="Times New Roman"/>
        <color theme="1"/>
        <sz val="14.0"/>
      </rPr>
      <t>ZOCALO CON ROTOR SIMPLE</t>
    </r>
  </si>
  <si>
    <r>
      <rPr>
        <rFont val="Times New Roman"/>
        <color theme="1"/>
        <sz val="14.0"/>
      </rPr>
      <t>1.041,56</t>
    </r>
  </si>
  <si>
    <r>
      <rPr>
        <rFont val="Times New Roman"/>
        <color theme="1"/>
        <sz val="14.0"/>
      </rPr>
      <t>260.390,00</t>
    </r>
  </si>
  <si>
    <r>
      <rPr>
        <rFont val="Times New Roman"/>
        <color theme="1"/>
        <sz val="14.0"/>
      </rPr>
      <t>ZOCALO FLEXIBLE CON CHICOTE</t>
    </r>
  </si>
  <si>
    <r>
      <rPr>
        <rFont val="Times New Roman"/>
        <color theme="1"/>
        <sz val="14.0"/>
      </rPr>
      <t>645,36</t>
    </r>
  </si>
  <si>
    <r>
      <rPr>
        <rFont val="Times New Roman"/>
        <color theme="1"/>
        <sz val="14.0"/>
      </rPr>
      <t>193.608,00</t>
    </r>
  </si>
  <si>
    <r>
      <rPr>
        <rFont val="Times New Roman"/>
        <color theme="1"/>
        <sz val="14.0"/>
      </rPr>
      <t>SOPORTE PARA TUBOS G13</t>
    </r>
  </si>
  <si>
    <r>
      <rPr>
        <rFont val="Times New Roman"/>
        <color theme="1"/>
        <sz val="14.0"/>
      </rPr>
      <t>156,62</t>
    </r>
  </si>
  <si>
    <r>
      <rPr>
        <rFont val="Times New Roman"/>
        <color theme="1"/>
        <sz val="14.0"/>
      </rPr>
      <t>23.493,00</t>
    </r>
  </si>
  <si>
    <r>
      <rPr>
        <rFont val="Times New Roman"/>
        <color theme="1"/>
        <sz val="14.0"/>
      </rPr>
      <t>ZOCALO CON ROTOR SIMPLE NYLO</t>
    </r>
  </si>
  <si>
    <r>
      <rPr>
        <rFont val="Times New Roman"/>
        <color theme="1"/>
        <sz val="14.0"/>
      </rPr>
      <t>1.593,03</t>
    </r>
  </si>
  <si>
    <r>
      <rPr>
        <rFont val="Times New Roman"/>
        <color theme="1"/>
        <sz val="14.0"/>
      </rPr>
      <t>398.257,50</t>
    </r>
  </si>
  <si>
    <r>
      <rPr>
        <rFont val="Times New Roman"/>
        <color theme="1"/>
        <sz val="14.0"/>
      </rPr>
      <t>Z0733609</t>
    </r>
  </si>
  <si>
    <r>
      <rPr>
        <rFont val="Times New Roman"/>
        <color theme="1"/>
        <sz val="14.0"/>
      </rPr>
      <t>CAPSULADA 16 EXT. 1 TOMA AZUL</t>
    </r>
  </si>
  <si>
    <r>
      <rPr>
        <rFont val="Times New Roman"/>
        <color theme="1"/>
        <sz val="14.0"/>
      </rPr>
      <t>3.741,94</t>
    </r>
  </si>
  <si>
    <r>
      <rPr>
        <rFont val="Times New Roman"/>
        <color theme="1"/>
        <sz val="14.0"/>
      </rPr>
      <t>149.677,60</t>
    </r>
  </si>
  <si>
    <r>
      <rPr>
        <rFont val="Times New Roman"/>
        <color theme="1"/>
        <sz val="14.0"/>
      </rPr>
      <t>Z0735503</t>
    </r>
  </si>
  <si>
    <r>
      <rPr>
        <rFont val="Times New Roman"/>
        <color theme="1"/>
        <sz val="14.0"/>
      </rPr>
      <t>CAPSULADA 32 EXT. 1 INT Y 1 TOMA</t>
    </r>
  </si>
  <si>
    <r>
      <rPr>
        <rFont val="Times New Roman"/>
        <color theme="1"/>
        <sz val="14.0"/>
      </rPr>
      <t>6.541,63</t>
    </r>
  </si>
  <si>
    <r>
      <rPr>
        <rFont val="Times New Roman"/>
        <color theme="1"/>
        <sz val="14.0"/>
      </rPr>
      <t>130.832,60</t>
    </r>
  </si>
  <si>
    <t>|</t>
  </si>
  <si>
    <r>
      <rPr>
        <rFont val="Tahoma"/>
        <b/>
        <color theme="1"/>
        <sz val="8.0"/>
      </rPr>
      <t>#</t>
    </r>
  </si>
  <si>
    <t>Cod</t>
  </si>
  <si>
    <r>
      <rPr>
        <rFont val="Times New Roman"/>
        <b/>
        <color theme="1"/>
        <sz val="14.0"/>
      </rPr>
      <t>Cant.</t>
    </r>
  </si>
  <si>
    <r>
      <rPr>
        <rFont val="Times New Roman"/>
        <b/>
        <color theme="1"/>
        <sz val="14.0"/>
      </rPr>
      <t>Precio</t>
    </r>
  </si>
  <si>
    <r>
      <rPr>
        <rFont val="Times New Roman"/>
        <b/>
        <color theme="1"/>
        <sz val="14.0"/>
      </rPr>
      <t>% IVA</t>
    </r>
  </si>
  <si>
    <r>
      <rPr>
        <rFont val="Times New Roman"/>
        <b/>
        <color theme="1"/>
        <sz val="14.0"/>
      </rPr>
      <t>% Desc.</t>
    </r>
  </si>
  <si>
    <r>
      <rPr>
        <rFont val="Times New Roman"/>
        <b/>
        <color theme="1"/>
        <sz val="14.0"/>
      </rPr>
      <t>Importe</t>
    </r>
  </si>
  <si>
    <t>SIN IVA</t>
  </si>
  <si>
    <t>PRECIO CON IVA</t>
  </si>
  <si>
    <t>PRECIO EFECTIVO</t>
  </si>
  <si>
    <t>TEK BOND 758517 CINTA AISLADORA PVC 18mm 10mts NEGRO</t>
  </si>
  <si>
    <t>TEK BOND 758518 CINTA AISLADORA PVC 18mm 20mts NEGRO</t>
  </si>
  <si>
    <r>
      <rPr>
        <rFont val="Times New Roman"/>
        <color theme="1"/>
        <sz val="14.0"/>
      </rPr>
      <t>TEK BOND 758511 CINTA AISLADORA PVC 18mm 5mts NEGRO</t>
    </r>
  </si>
  <si>
    <r>
      <rPr>
        <rFont val="Times New Roman"/>
        <color theme="1"/>
        <sz val="14.0"/>
      </rPr>
      <t>TEK BOND ADHESIVO EPOXICO 10 MIN 16gr TRANSPARENTE</t>
    </r>
  </si>
  <si>
    <r>
      <rPr>
        <rFont val="Times New Roman"/>
        <color theme="1"/>
        <sz val="14.0"/>
      </rPr>
      <t>TEK BOND MASILLA EPOXY 10 MIN 70gr</t>
    </r>
  </si>
  <si>
    <r>
      <rPr>
        <rFont val="Times New Roman"/>
        <color theme="1"/>
        <sz val="14.0"/>
      </rPr>
      <t>TEK BOND SILICONA ACETICA TRANSPARENTE 25gr</t>
    </r>
  </si>
  <si>
    <r>
      <rPr>
        <rFont val="Times New Roman"/>
        <color theme="1"/>
        <sz val="14.0"/>
      </rPr>
      <t>TEK BOND TEKFAST GEL PEGAMENTO INSTANTANEO 3gr</t>
    </r>
  </si>
  <si>
    <r>
      <rPr>
        <rFont val="Times New Roman"/>
        <color theme="1"/>
        <sz val="14.0"/>
      </rPr>
      <t>TEK BOND TEKFAST PEGAMENTO INSTANTANEO 2gr</t>
    </r>
  </si>
  <si>
    <r>
      <rPr>
        <rFont val="Times New Roman"/>
        <color theme="1"/>
        <sz val="14.0"/>
      </rPr>
      <t>TEK BOND SILICONA ACETICA CONSTRUCCION ANTI HONGO/HUM</t>
    </r>
  </si>
  <si>
    <r>
      <rPr>
        <rFont val="Times New Roman"/>
        <color theme="1"/>
        <sz val="14.0"/>
      </rPr>
      <t>TEK BOND SILICONA ACETICA USO GRALTRANSP 280GR</t>
    </r>
  </si>
  <si>
    <r>
      <rPr>
        <rFont val="Times New Roman"/>
        <color theme="1"/>
        <sz val="14.0"/>
      </rPr>
      <t>TEK BOND SILICONA ACETICA USO GRAL BLANCO 280GR</t>
    </r>
  </si>
  <si>
    <r>
      <rPr>
        <rFont val="Times New Roman"/>
        <color theme="1"/>
        <sz val="14.0"/>
      </rPr>
      <t>TEK BOND SILICONA ACETICA USO GRAL NEGRO 280GR</t>
    </r>
  </si>
  <si>
    <t>TEK BOND SILICONA NEUTRA USO GRAL TRANSP 280GR</t>
  </si>
  <si>
    <r>
      <rPr>
        <rFont val="Times New Roman"/>
        <color theme="1"/>
        <sz val="14.0"/>
      </rPr>
      <t>TEK BOND PISTOLA PARA SILICONA TIPO CANOA</t>
    </r>
  </si>
  <si>
    <r>
      <rPr>
        <rFont val="Times New Roman"/>
        <color theme="1"/>
        <sz val="14.0"/>
      </rPr>
      <t>TEK BOND LIMPIA CONTACTO LIMP CONTACTO AEROSOL 300ML/</t>
    </r>
  </si>
  <si>
    <r>
      <rPr>
        <rFont val="Times New Roman"/>
        <color theme="1"/>
        <sz val="14.0"/>
      </rPr>
      <t>TEK BOND GRASA LUBR GRASA LUBRICADA AEROSOL 300ML/200</t>
    </r>
  </si>
  <si>
    <t xml:space="preserve"> R505M </t>
  </si>
  <si>
    <t>EVEL RETROBLOCK CINTA MÉTRICA 5M x 16MM BLANCA</t>
  </si>
  <si>
    <t xml:space="preserve">P525 </t>
  </si>
  <si>
    <t>EVEL PREMIUM BLOCK CINTA MÉTRICA 5M x 25MM</t>
  </si>
  <si>
    <t xml:space="preserve">P120 </t>
  </si>
  <si>
    <t>EVEL PROFESIONAL STD CINTA MÉTRICA 20M x 11MM</t>
  </si>
  <si>
    <t>P150</t>
  </si>
  <si>
    <t>EVEL PROFESIONAL STD CINTA MÉTRICA 50M x 11MM</t>
  </si>
  <si>
    <t>P1100</t>
  </si>
  <si>
    <t>EVEL PROFESIONAL STD CINTA MÉTRICA 100M x 11MM</t>
  </si>
  <si>
    <t xml:space="preserve">NAL30 </t>
  </si>
  <si>
    <t>EVEL NIVEL NIVEL DE ALUMINIO 30CM</t>
  </si>
  <si>
    <t>NAL45</t>
  </si>
  <si>
    <t>EVEL NIVEL NIVEL DE ALUMINIO 45CM</t>
  </si>
  <si>
    <t xml:space="preserve">NAL60 </t>
  </si>
  <si>
    <t>EVEL NIVEL NIVEL DE ALUMINIO 60CM</t>
  </si>
  <si>
    <t>STANLEY LINTERNA ALUMINIO DE 9 LED 50lm</t>
  </si>
  <si>
    <t>STANLEY LINTERNA PLASTICA DE 9 LED 25lm</t>
  </si>
  <si>
    <t>STANLEY LINTERNA LED SLIM 150lm</t>
  </si>
  <si>
    <t>STANLEY LINTERNA LED DE ALUMINIO INDESTRUCTIBLE</t>
  </si>
  <si>
    <t>STANLEY LINTERNA LED DE ALUMINIO 300lm</t>
  </si>
  <si>
    <t>STANLEY LINTERNA LED DE ALUMINIO 150lm</t>
  </si>
  <si>
    <t>STANLEY LINTERNA DE CABEZA MÚLTIPLES ANGULOS 250</t>
  </si>
  <si>
    <t xml:space="preserve">10-175 
</t>
  </si>
  <si>
    <t>STANLEY CUCHILLA RETRÁCTIL PARA USO GENERAL</t>
  </si>
  <si>
    <t xml:space="preserve">STHT10323 
</t>
  </si>
  <si>
    <t>STANLEY CUTTER 18MM SNAP-OFF - HOJA x15p</t>
  </si>
  <si>
    <t xml:space="preserve">STHT81433  
</t>
  </si>
  <si>
    <t>STANLEY CUTTER COMBO SNAP OFF 18MM</t>
  </si>
  <si>
    <t xml:space="preserve">11-301 
</t>
  </si>
  <si>
    <t>STANLEY  HOJAS DE REPUESTO SNAP-OFF - 3 PZAS 18</t>
  </si>
  <si>
    <t xml:space="preserve">84-002 
</t>
  </si>
  <si>
    <t>STANLEY ALICATE MAX 1000V ELECTRICISTA 8"200MM</t>
  </si>
  <si>
    <t xml:space="preserve">84-009 </t>
  </si>
  <si>
    <t>STANLEY ALICATE MAX 1000V CTE DIAG 6-1/4"160MM</t>
  </si>
  <si>
    <t xml:space="preserve">84-003 
</t>
  </si>
  <si>
    <t>STANLEY ALICATE MAX 1000V CTE DIAG 7" 175MM</t>
  </si>
  <si>
    <t xml:space="preserve">84-005 
</t>
  </si>
  <si>
    <t>STANLEY ALICATE MAX 1000V CTE DIAG 8-1/4"210MM</t>
  </si>
  <si>
    <t xml:space="preserve">84-006 
</t>
  </si>
  <si>
    <t>STANLEY ALICATE MAX 1000V PTA LARGA 6-1/2"165M</t>
  </si>
  <si>
    <t xml:space="preserve">84-007 
</t>
  </si>
  <si>
    <t>STANLEY ALICATE MAX 1000V PTA LARGA 8-1/4" 210</t>
  </si>
  <si>
    <t xml:space="preserve">84-054 
</t>
  </si>
  <si>
    <t>STANLEY ALICATE PRO CORTE DIAG 6"- 152MM</t>
  </si>
  <si>
    <t xml:space="preserve">84-622 
</t>
  </si>
  <si>
    <t>STANLEY ALICATE PRO CORTE DIAG 8" - 203 MM</t>
  </si>
  <si>
    <t xml:space="preserve">70-488 
</t>
  </si>
  <si>
    <t xml:space="preserve">STANLEY ALICATE PRO ELEC 8" - 203MM </t>
  </si>
  <si>
    <t xml:space="preserve">70-487 </t>
  </si>
  <si>
    <t xml:space="preserve">STANLEY ALICATE PRO ELEC 7" - 178MM </t>
  </si>
  <si>
    <t xml:space="preserve">84-053 
</t>
  </si>
  <si>
    <t>STANLEY ALICATE PRO PTA LARGA 6" - 152 MM</t>
  </si>
  <si>
    <t xml:space="preserve">84-625 
</t>
  </si>
  <si>
    <t>STANLEY ALICATE PRO PTA LARGA 8" - 203 MM</t>
  </si>
  <si>
    <t xml:space="preserve">84-015 
</t>
  </si>
  <si>
    <t>STANLEY ALICATE ART. PICO DE LORO 10"254MM</t>
  </si>
  <si>
    <t xml:space="preserve">96-230 </t>
  </si>
  <si>
    <t>STANLEY PELA CABLES AUTO AJUSTABLE</t>
  </si>
  <si>
    <t xml:space="preserve">87-046 
</t>
  </si>
  <si>
    <t>STANLEY LLAVE FRANCESA NEGRA 8" - 203MM</t>
  </si>
  <si>
    <t xml:space="preserve">STMT 60163 
</t>
  </si>
  <si>
    <t xml:space="preserve"> STANLEY DESTORNILLADOR 1000V PL 3.5 x 75MM</t>
  </si>
  <si>
    <t xml:space="preserve">STMT60165 </t>
  </si>
  <si>
    <t xml:space="preserve">STANLEY DESTORNILLADOR 1000V PL 5.5 x 125MM </t>
  </si>
  <si>
    <t xml:space="preserve">STMT60166 
</t>
  </si>
  <si>
    <t xml:space="preserve">STANLEY DESTORNILLADOR 1000V MAXS 6.5MM PTA 150MM LARGO </t>
  </si>
  <si>
    <t xml:space="preserve">STMT60168 
</t>
  </si>
  <si>
    <t xml:space="preserve">STANLEY DESTORNILLADOR 1000V MAX #0 PTA 60MM LARGO </t>
  </si>
  <si>
    <t xml:space="preserve">STMT60169 
</t>
  </si>
  <si>
    <t xml:space="preserve">STANLEY DESTORNILLADOR 1000V PH #1 x 75mm </t>
  </si>
  <si>
    <t xml:space="preserve">STMT60170  
</t>
  </si>
  <si>
    <t>STANLEY DESTORNILLADOR 1000V #2 100MM</t>
  </si>
  <si>
    <t xml:space="preserve">STMT60171  
</t>
  </si>
  <si>
    <t>STANLEY DESTORNILLADOR 1000V MAX #3 PTA 150MM LARGO</t>
  </si>
  <si>
    <t xml:space="preserve">69-104 
</t>
  </si>
  <si>
    <t>STANLEY DESTORNILLADOR PRO PG 3X100</t>
  </si>
  <si>
    <t xml:space="preserve">STHT 69-111 
</t>
  </si>
  <si>
    <t>STANLEY DESTORNILLADOR PRO PG 5X100</t>
  </si>
  <si>
    <t xml:space="preserve">STHT 69-177 
</t>
  </si>
  <si>
    <t>STANLEY DESTORNILLADOR PRO PH #0X100</t>
  </si>
  <si>
    <t xml:space="preserve">STHT 69-141 
</t>
  </si>
  <si>
    <t>STANLEY DESTORNILLADOR PRO PH #1X100</t>
  </si>
  <si>
    <t xml:space="preserve">69-145 
</t>
  </si>
  <si>
    <t>STANLEY DESTORNILLADOR PRO PH #2X100MM</t>
  </si>
  <si>
    <t xml:space="preserve">66-119 
</t>
  </si>
  <si>
    <t>STANLEY DESTORNILLADORES BUSCA-POLO 100-500V</t>
  </si>
  <si>
    <t xml:space="preserve">20-064 </t>
  </si>
  <si>
    <t>STANLEY ARCO DE SIERRA PRO 12" 305MM</t>
  </si>
  <si>
    <t xml:space="preserve">20117224HE </t>
  </si>
  <si>
    <t>LENOX HOJA SIERRA LENOX T2 BI-METAL 30</t>
  </si>
  <si>
    <t xml:space="preserve">84-223 
</t>
  </si>
  <si>
    <t>STANLEY PINZA APRIETA TERMINALES 9"</t>
  </si>
  <si>
    <t xml:space="preserve">STHT51370-840 
</t>
  </si>
  <si>
    <t>MARTILLO CURVO CABO MADE</t>
  </si>
  <si>
    <r>
      <rPr>
        <rFont val="Tahoma"/>
        <b/>
        <color theme="1"/>
        <sz val="8.0"/>
      </rPr>
      <t>#</t>
    </r>
  </si>
  <si>
    <r>
      <rPr>
        <rFont val="Times New Roman"/>
        <b/>
        <color theme="1"/>
        <sz val="14.0"/>
      </rPr>
      <t>Cant.</t>
    </r>
  </si>
  <si>
    <r>
      <rPr>
        <rFont val="Times New Roman"/>
        <b/>
        <color theme="1"/>
        <sz val="14.0"/>
      </rPr>
      <t>Precio</t>
    </r>
  </si>
  <si>
    <r>
      <rPr>
        <rFont val="Times New Roman"/>
        <b/>
        <color theme="1"/>
        <sz val="14.0"/>
      </rPr>
      <t>% IVA</t>
    </r>
  </si>
  <si>
    <r>
      <rPr>
        <rFont val="Times New Roman"/>
        <b/>
        <color theme="1"/>
        <sz val="14.0"/>
      </rPr>
      <t>% Desc.</t>
    </r>
  </si>
  <si>
    <r>
      <rPr>
        <rFont val="Times New Roman"/>
        <b/>
        <color theme="1"/>
        <sz val="14.0"/>
      </rPr>
      <t>Importe</t>
    </r>
  </si>
  <si>
    <r>
      <rPr>
        <rFont val="Times New Roman"/>
        <color theme="1"/>
        <sz val="14.0"/>
      </rPr>
      <t>TEK BOND 758511 CINTA AISLADORA PVC 18mm 5mts NEGRO</t>
    </r>
  </si>
  <si>
    <r>
      <rPr>
        <rFont val="Times New Roman"/>
        <color theme="1"/>
        <sz val="14.0"/>
      </rPr>
      <t>TEK BOND ADHESIVO EPOXICO 10 MIN 16gr TRANSPARENTE</t>
    </r>
  </si>
  <si>
    <t>TEK BOND MASILLA EPOXY 10 MIN 70gr</t>
  </si>
  <si>
    <r>
      <rPr>
        <rFont val="Times New Roman"/>
        <color theme="1"/>
        <sz val="14.0"/>
      </rPr>
      <t>TEK BOND SILICONA ACETICA TRANSPARENTE 25gr</t>
    </r>
  </si>
  <si>
    <r>
      <rPr>
        <rFont val="Times New Roman"/>
        <color theme="1"/>
        <sz val="14.0"/>
      </rPr>
      <t>TEK BOND TEKFAST GEL PEGAMENTO INSTANTANEO 3gr</t>
    </r>
  </si>
  <si>
    <r>
      <rPr>
        <rFont val="Times New Roman"/>
        <color theme="1"/>
        <sz val="14.0"/>
      </rPr>
      <t>TEK BOND TEKFAST PEGAMENTO INSTANTANEO 2gr</t>
    </r>
  </si>
  <si>
    <r>
      <rPr>
        <rFont val="Times New Roman"/>
        <color theme="1"/>
        <sz val="14.0"/>
      </rPr>
      <t>TEK BOND SILICONA ACETICA CONSTRUCCION ANTI HONGO/HUM</t>
    </r>
  </si>
  <si>
    <r>
      <rPr>
        <rFont val="Times New Roman"/>
        <color theme="1"/>
        <sz val="14.0"/>
      </rPr>
      <t>TEK BOND SILICONA ACETICA USO GRALTRANSP 280GR</t>
    </r>
  </si>
  <si>
    <r>
      <rPr>
        <rFont val="Times New Roman"/>
        <color theme="1"/>
        <sz val="14.0"/>
      </rPr>
      <t>TEK BOND SILICONA ACETICA USO GRAL BLANCO 280GR</t>
    </r>
  </si>
  <si>
    <r>
      <rPr>
        <rFont val="Times New Roman"/>
        <color theme="1"/>
        <sz val="14.0"/>
      </rPr>
      <t>TEK BOND SILICONA ACETICA USO GRAL NEGRO 280GR</t>
    </r>
  </si>
  <si>
    <r>
      <rPr>
        <rFont val="Times New Roman"/>
        <color theme="1"/>
        <sz val="14.0"/>
      </rPr>
      <t>TEK BOND PISTOLA PARA SILICONA TIPO CANOA</t>
    </r>
  </si>
  <si>
    <r>
      <rPr>
        <rFont val="Times New Roman"/>
        <color theme="1"/>
        <sz val="14.0"/>
      </rPr>
      <t>TEK BOND LIMPIA CONTACTO LIMP CONTACTO AEROSOL 300ML/</t>
    </r>
  </si>
  <si>
    <r>
      <rPr>
        <rFont val="Times New Roman"/>
        <color theme="1"/>
        <sz val="14.0"/>
      </rPr>
      <t>TEK BOND GRASA LUBR GRASA LUBRICADA AEROSOL 300ML/200</t>
    </r>
  </si>
  <si>
    <t>CODIGO</t>
  </si>
  <si>
    <t>CANTIDAD</t>
  </si>
  <si>
    <t>PRECIO UNITARIO C/ IVA</t>
  </si>
  <si>
    <t>SP-CU110/NG</t>
  </si>
  <si>
    <t xml:space="preserve"> SPOT EMBUTIR CUADRADO 11CM ANTIDESLUMBRANTE POLIMERO S/ZOC. NEGRO - ECOSPOTS
</t>
  </si>
  <si>
    <t>SP-CU110/BL</t>
  </si>
  <si>
    <t xml:space="preserve">SPOT EMBUTIR CUADRADO 11CM ANTIDESLUMBRANTE POLIMERO S/ZOC. BLANCO - ECOSPOTS
</t>
  </si>
  <si>
    <t>NPER18CW</t>
  </si>
  <si>
    <t xml:space="preserve">PANEL LED EMBUTIR 18W CIRCULAR LUZ DIA MARCO NEGRO - MACROLED
</t>
  </si>
  <si>
    <t>173/2/BL</t>
  </si>
  <si>
    <t xml:space="preserve">SPOT DE PARED METALICO REDONDO 2 LUCES GU10 BLANCO - FAROLUZ
</t>
  </si>
  <si>
    <t>173/2/NG</t>
  </si>
  <si>
    <t xml:space="preserve">SPOT DE PARED METALICO REDONDO 2 LUCES GU10 NEGRO - FAROLUZ
</t>
  </si>
  <si>
    <t>173/1/NG</t>
  </si>
  <si>
    <t xml:space="preserve">SPOT DE PARED METALICO REDONDO 1 LUZ GU10 NEGRO - FAROLUZ
</t>
  </si>
  <si>
    <t>173/1/BL</t>
  </si>
  <si>
    <t>SPOT DE PARED METALICO REDONDO 1 LUZ GU10 BLANCO - FAROLUZ</t>
  </si>
  <si>
    <t>AP-159/B</t>
  </si>
  <si>
    <t>APLIQUE DE PARED 1 LUZ E27 BLANCO - FERROLUX</t>
  </si>
  <si>
    <t>LL/KIT-01</t>
  </si>
  <si>
    <t xml:space="preserve"> KIT SUSPENSION PARA PANEL 60X60CM - LIGHTLION</t>
  </si>
  <si>
    <t>5005X45</t>
  </si>
  <si>
    <r>
      <rPr>
        <rFont val="Times New Roman"/>
        <b/>
        <i/>
        <color rgb="FF101726"/>
        <sz val="13.0"/>
      </rPr>
      <t>TORNILLO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7.0"/>
      </rPr>
      <t>MULTIFIX</t>
    </r>
    <r>
      <rPr>
        <rFont val="Times New Roman"/>
        <color rgb="FF101726"/>
        <sz val="12.0"/>
      </rPr>
      <t xml:space="preserve"> </t>
    </r>
    <r>
      <rPr>
        <rFont val="Times New Roman"/>
        <b/>
        <i/>
        <color rgb="FF101726"/>
        <sz val="13.0"/>
      </rPr>
      <t>5X45mm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8.0"/>
      </rPr>
      <t xml:space="preserve">PARA TARUGO 8MM </t>
    </r>
  </si>
  <si>
    <t>5004X30</t>
  </si>
  <si>
    <r>
      <rPr>
        <rFont val="Times New Roman"/>
        <b/>
        <i/>
        <color rgb="FF101726"/>
        <sz val="13.0"/>
      </rPr>
      <t xml:space="preserve">TORNILLO </t>
    </r>
    <r>
      <rPr>
        <rFont val="Times New Roman"/>
        <color rgb="FF101726"/>
        <sz val="7.0"/>
      </rPr>
      <t>MULTIFIX</t>
    </r>
    <r>
      <rPr>
        <rFont val="Times New Roman"/>
        <color rgb="FF101726"/>
        <sz val="12.0"/>
      </rPr>
      <t xml:space="preserve"> </t>
    </r>
    <r>
      <rPr>
        <rFont val="Times New Roman"/>
        <b/>
        <i/>
        <color rgb="FF101726"/>
        <sz val="13.0"/>
      </rPr>
      <t xml:space="preserve">4x30mm </t>
    </r>
    <r>
      <rPr>
        <rFont val="Times New Roman"/>
        <color rgb="FF101726"/>
        <sz val="8.0"/>
      </rPr>
      <t xml:space="preserve">PARA TARUGO 6MM </t>
    </r>
  </si>
  <si>
    <t>1000MADERA</t>
  </si>
  <si>
    <r>
      <rPr>
        <rFont val="Times New Roman"/>
        <b/>
        <i/>
        <color rgb="FF101726"/>
        <sz val="13.0"/>
      </rPr>
      <t>TORNILLO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8.0"/>
      </rPr>
      <t>CON TROMPETA MADERA</t>
    </r>
    <r>
      <rPr>
        <rFont val="Times New Roman"/>
        <color rgb="FF101726"/>
        <sz val="12.0"/>
      </rPr>
      <t xml:space="preserve"> </t>
    </r>
    <r>
      <rPr>
        <rFont val="Times New Roman"/>
        <b/>
        <i/>
        <color rgb="FF101726"/>
        <sz val="13.0"/>
      </rPr>
      <t>6X1"</t>
    </r>
  </si>
  <si>
    <t>1000T1</t>
  </si>
  <si>
    <r>
      <rPr>
        <rFont val="Times New Roman"/>
        <b/>
        <i/>
        <color rgb="FF101726"/>
        <sz val="13.0"/>
      </rPr>
      <t xml:space="preserve">TORNILLO </t>
    </r>
    <r>
      <rPr>
        <rFont val="Times New Roman"/>
        <color rgb="FF101726"/>
        <sz val="12.0"/>
      </rPr>
      <t xml:space="preserve">AUTOPERFORANTE T1 </t>
    </r>
    <r>
      <rPr>
        <rFont val="Times New Roman"/>
        <b/>
        <i/>
        <color rgb="FF101726"/>
        <sz val="13.0"/>
      </rPr>
      <t>8 X 1/2 "</t>
    </r>
  </si>
  <si>
    <t>SYB/B4022</t>
  </si>
  <si>
    <t>BORNERA 4 X 100A CON TORNILLO 5/16"- SYBYD</t>
  </si>
  <si>
    <t>SYB/B4001</t>
  </si>
  <si>
    <t>BORNERA 4 X 30A CON TORNILLO 3/16" - SYBYD</t>
  </si>
  <si>
    <t>SYB/B3002</t>
  </si>
  <si>
    <t>BORNERA 3 X 60A CON TORNILLO 1/4" - SYBYD</t>
  </si>
  <si>
    <t>SYB/B3001/2</t>
  </si>
  <si>
    <t>BORNERA 1 X 200A CON TORNILLO 3/8" - SYBYD</t>
  </si>
  <si>
    <t>SYB/B3001/6</t>
  </si>
  <si>
    <t>BORNERA 1 X 60A CON TORNILLO 1/4" - SYBYD</t>
  </si>
  <si>
    <t>SYB/B3001/3</t>
  </si>
  <si>
    <t>BORNERA 1 X 30A CON TORNILLO 3/16" - SYBYD</t>
  </si>
  <si>
    <t>CDL/7270</t>
  </si>
  <si>
    <t>LUZ DE EMERGENCIA 4W 60LEDS LUZ DIA - CANDELA</t>
  </si>
  <si>
    <t>EML-90</t>
  </si>
  <si>
    <t>LUZ DE EMERGENCIA 90 LEDS 100-240V 6HS BATERIA INTERCAMBIABLE - MACROLED</t>
  </si>
  <si>
    <t>EML-30</t>
  </si>
  <si>
    <t>LUZ DE EMERGENCIA 30 LEDS 100-240V 8HS BATERIA INTERCAMBIABLE - MACROLED</t>
  </si>
  <si>
    <t>CDL/7501</t>
  </si>
  <si>
    <t>PILA ALCALINA AAA 1.5V TROQUELADA - CANDELA</t>
  </si>
  <si>
    <t>CDL/7500</t>
  </si>
  <si>
    <t>PILA ALCALINA AA 1.5V TROQUELADA - CANDELA</t>
  </si>
  <si>
    <t>CDL/7585</t>
  </si>
  <si>
    <t xml:space="preserve">PILA BOTON CR2016 LITIO 3V - CANDELA </t>
  </si>
  <si>
    <t>CDL/7584</t>
  </si>
  <si>
    <t xml:space="preserve"> PILA BOTON CR2025 LITIO 3V - CANDELA</t>
  </si>
  <si>
    <t>CDL/7580</t>
  </si>
  <si>
    <t>PILA ALCALINA D 1.5V X2 UNIDADES - CANDELA</t>
  </si>
  <si>
    <t>LL/VL05W-F</t>
  </si>
  <si>
    <t xml:space="preserve"> LAMPARA VELADOR LED BLANCO FLEXIBLE 5W DIMERIZABLE LUZ DIA - LIGHTLION</t>
  </si>
  <si>
    <t>SE-115B</t>
  </si>
  <si>
    <t>SPOT DE EMBUTIR PVC BLANCO Ø105MM CON ZOCALO GU10 - FERROLUX</t>
  </si>
  <si>
    <t>SE-113B</t>
  </si>
  <si>
    <t>SPOT DE EMB Ø105 MM C/ZOC GU10 220V BCO - FERROLUX</t>
  </si>
  <si>
    <t>CDL/7502</t>
  </si>
  <si>
    <t>LAMPARA LED BIPIN G9 4,5W LUZ DIA - CANDELA</t>
  </si>
  <si>
    <t>LL/LG07W-F</t>
  </si>
  <si>
    <t>LAMPARA GOTA LED 7W LUZ DIA - LIGHTLION</t>
  </si>
  <si>
    <t>NOV/NL-A182765B</t>
  </si>
  <si>
    <t>LAMPARA LED BULBO 18W E27 LUZ DIA 6500K - NOVA</t>
  </si>
  <si>
    <t>NOV/NL-A122727B</t>
  </si>
  <si>
    <t>LAMPARA LED BULBO 12W E27 LUZ CALIDA 2700K - NOVA</t>
  </si>
  <si>
    <t>NOV/NL-A122765B</t>
  </si>
  <si>
    <t>LAMPARA LED BULBO 12W E27 LUZ DIA 6500K - NOVA</t>
  </si>
  <si>
    <t>NOV/NL-A102727B</t>
  </si>
  <si>
    <t>LAMPARA LED BULBO 10W E27 LUZ CALIDA 2700K - NOVA</t>
  </si>
  <si>
    <t>NOV/NL-A102765B</t>
  </si>
  <si>
    <t>LAMPARA LED BULBO 10W E27 LUZ DIA 6500K - NOVA</t>
  </si>
  <si>
    <t>NOV/NL-A72765B</t>
  </si>
  <si>
    <t>LAMPARA LED BULBO 7W E27 LUZ DIA 6500K - NOVA</t>
  </si>
  <si>
    <t>NOV/NL-A72727B</t>
  </si>
  <si>
    <t>LAMPARA LED BULBO 7W E27 LUZ CALIDA 2700K - NOVA</t>
  </si>
  <si>
    <t>LL/ADAP-01</t>
  </si>
  <si>
    <t>ADAPTADOR P/LAMPARA CON ROSCA E27 A E40 - LIGHTLION</t>
  </si>
  <si>
    <t>LL/PLP-E27</t>
  </si>
  <si>
    <t>PORTALAMPARA CERAMICO E27 CON PUENTE 3/8 - LIGHTLION</t>
  </si>
  <si>
    <t>G9-9-CW</t>
  </si>
  <si>
    <t>LAMPARA LED BIPIN G9 9W LUZ DIA - MACROLED</t>
  </si>
  <si>
    <t>LAM8929</t>
  </si>
  <si>
    <t>LAMPARA BULBO A60 LED E27 14W LUZ DIA - ALIC</t>
  </si>
  <si>
    <t>LAM8928</t>
  </si>
  <si>
    <t>LAMPARA BULBO A60 LED E27 14W LUZ CALIDA - ALIC</t>
  </si>
  <si>
    <t>NT/087573</t>
  </si>
  <si>
    <t>CEPILLO ROTATIVO DE ACERO TRENZADO 152,4X6,35X22,2MM NORTON</t>
  </si>
  <si>
    <t>CAV/TMBFX6</t>
  </si>
  <si>
    <t xml:space="preserve">TARUGO NYLON MAXI BOLSA 6MM </t>
  </si>
  <si>
    <t>CDL/7443</t>
  </si>
  <si>
    <t xml:space="preserve"> PISTOLA ENCOLADORA 40W - CANDELA</t>
  </si>
  <si>
    <t>ZC/203001004</t>
  </si>
  <si>
    <t xml:space="preserve">PROTECTOR AUDITIVO INSERCION FOAM </t>
  </si>
  <si>
    <t>PTFSAF0104</t>
  </si>
  <si>
    <t xml:space="preserve">FAJA LUMBAR TALLE XL - TOP SAFE </t>
  </si>
  <si>
    <t>PTFSAF0103</t>
  </si>
  <si>
    <t xml:space="preserve">FAJA LUMBAR TALLE L - TOP SAFE </t>
  </si>
  <si>
    <t>TBC/E-258</t>
  </si>
  <si>
    <t>TIMBRE INALAMBRICO A BATERIA 32 SONIDOS - TBCIN</t>
  </si>
  <si>
    <t>BUSCAPOLO INDUCTIVO DETECTOR VOLTAJE LUMINOSO SIN CONTACTO C/SONIDO - SICA</t>
  </si>
  <si>
    <t xml:space="preserve">SICA BUSCAPOLO GRANDE </t>
  </si>
  <si>
    <t xml:space="preserve">SICA BUSCAPOLO CHICO </t>
  </si>
  <si>
    <t>KL06010</t>
  </si>
  <si>
    <t>GRAMPAS PARA CABLE COAXIL NRO 6 NEGRA (CAJA X50) - KALOP</t>
  </si>
  <si>
    <t>KL06003</t>
  </si>
  <si>
    <t>GRAMPAS PARA CABLE NRO 10 (CAJA X50) - KALOP</t>
  </si>
  <si>
    <t>KL06004</t>
  </si>
  <si>
    <t>GRAMPAS PARA CABLE NRO 12 (CAJA X20) - KALOP</t>
  </si>
  <si>
    <t>KL44174</t>
  </si>
  <si>
    <t>FICHA MACHO VELADOR 10A NEGRO - KALOP</t>
  </si>
  <si>
    <t>KL44173</t>
  </si>
  <si>
    <t>FICHA MACHO VELADOR 10A BLANCA - KALOP</t>
  </si>
  <si>
    <t>KD44222</t>
  </si>
  <si>
    <r>
      <rPr>
        <rFont val="Times New Roman"/>
        <color rgb="FF101726"/>
        <sz val="12.0"/>
      </rPr>
      <t xml:space="preserve">FICHA </t>
    </r>
    <r>
      <rPr>
        <rFont val="Times New Roman"/>
        <b/>
        <color rgb="FF101726"/>
        <sz val="15.0"/>
      </rPr>
      <t>MACHO</t>
    </r>
    <r>
      <rPr>
        <rFont val="Times New Roman"/>
        <color rgb="FF101726"/>
        <sz val="12.0"/>
      </rPr>
      <t xml:space="preserve"> HEAVY DUTY 3 PATAS 10A NEGRA - KALOP</t>
    </r>
  </si>
  <si>
    <t>KL44232</t>
  </si>
  <si>
    <r>
      <rPr>
        <rFont val="Times New Roman"/>
        <color rgb="FF101726"/>
        <sz val="12.0"/>
      </rPr>
      <t xml:space="preserve">FICHA </t>
    </r>
    <r>
      <rPr>
        <rFont val="Times New Roman"/>
        <b/>
        <color rgb="FF101726"/>
        <sz val="15.0"/>
      </rPr>
      <t>HEMBRA</t>
    </r>
    <r>
      <rPr>
        <rFont val="Times New Roman"/>
        <color rgb="FF101726"/>
        <sz val="12.0"/>
      </rPr>
      <t xml:space="preserve"> HEAVY DUTY 3 PATAS 10A NEGRA - KALOP</t>
    </r>
  </si>
  <si>
    <t>KS44601</t>
  </si>
  <si>
    <r>
      <rPr>
        <rFont val="Times New Roman"/>
        <color rgb="FF101726"/>
        <sz val="12.0"/>
      </rPr>
      <t xml:space="preserve">FICHA </t>
    </r>
    <r>
      <rPr>
        <rFont val="Times New Roman"/>
        <b/>
        <color rgb="FF101726"/>
        <sz val="15.0"/>
      </rPr>
      <t>MACHO</t>
    </r>
    <r>
      <rPr>
        <rFont val="Times New Roman"/>
        <color rgb="FF101726"/>
        <sz val="12.0"/>
      </rPr>
      <t xml:space="preserve"> ALTO CONSUMO 3 PATAS 10A CON MANIJA - KALOP</t>
    </r>
  </si>
  <si>
    <t>KS44610</t>
  </si>
  <si>
    <r>
      <rPr>
        <rFont val="Times New Roman"/>
        <color rgb="FF101726"/>
        <sz val="12.0"/>
      </rPr>
      <t xml:space="preserve">FICHA </t>
    </r>
    <r>
      <rPr>
        <rFont val="Times New Roman"/>
        <b/>
        <color rgb="FF101726"/>
        <sz val="15.0"/>
      </rPr>
      <t>HEMBRA</t>
    </r>
    <r>
      <rPr>
        <rFont val="Times New Roman"/>
        <color rgb="FF101726"/>
        <sz val="12.0"/>
      </rPr>
      <t xml:space="preserve"> ALTO CONSUMO 3 PATAS 10A CON MANIJA - KALOP</t>
    </r>
  </si>
  <si>
    <t>KD44164</t>
  </si>
  <si>
    <r>
      <rPr>
        <rFont val="Times New Roman"/>
        <color rgb="FF101726"/>
        <sz val="12.0"/>
      </rPr>
      <t xml:space="preserve">FICHA </t>
    </r>
    <r>
      <rPr>
        <rFont val="Times New Roman"/>
        <b/>
        <color rgb="FF101726"/>
        <sz val="15.0"/>
      </rPr>
      <t>MACHO</t>
    </r>
    <r>
      <rPr>
        <rFont val="Times New Roman"/>
        <color rgb="FF101726"/>
        <sz val="12.0"/>
      </rPr>
      <t xml:space="preserve"> SALIDA LATERAL 3 PATAS 10A NEGRA - KALOP</t>
    </r>
  </si>
  <si>
    <t>KDN44184</t>
  </si>
  <si>
    <r>
      <rPr>
        <rFont val="Times New Roman"/>
        <color rgb="FF101726"/>
        <sz val="12.0"/>
      </rPr>
      <t xml:space="preserve">FICHA </t>
    </r>
    <r>
      <rPr>
        <rFont val="Times New Roman"/>
        <b/>
        <color rgb="FF101726"/>
        <sz val="15.0"/>
      </rPr>
      <t>HEMBRA</t>
    </r>
    <r>
      <rPr>
        <rFont val="Times New Roman"/>
        <color rgb="FF101726"/>
        <sz val="12.0"/>
      </rPr>
      <t xml:space="preserve"> SALIDA LATERAL 3 PATAS 10A NEGRA - KALOP</t>
    </r>
  </si>
  <si>
    <t>KS44620</t>
  </si>
  <si>
    <t>FICHA MACHO SALIDA LATERAL 3 PATAS 20A CON MANIJA - KALOP</t>
  </si>
  <si>
    <t>KD44600</t>
  </si>
  <si>
    <t>FICHA MACHO ALTO CONSUMO 2 PATAS REDONDAS 10A CON MANIJA - KALOP</t>
  </si>
  <si>
    <t>CDL/7423</t>
  </si>
  <si>
    <t>PRECINTO 4.8MM X 400MM NEGRO (100 UNI) - CANDELA</t>
  </si>
  <si>
    <t>CDL/7413</t>
  </si>
  <si>
    <t>PRECINTO 3.6MM X 150MM NEGRO (100 UNI) - CANDELA</t>
  </si>
  <si>
    <t>44024/BI</t>
  </si>
  <si>
    <t>APLIQUE BIDIRECCIONAL ALUMINIO 2 X GU10 RECTO JET II NEGRO - 180 ILUMINACION</t>
  </si>
  <si>
    <t>TOK/2105-350-52</t>
  </si>
  <si>
    <t>ACCESORIO COLGANTE MADERA 35X5CM PARA PANEL LED 24W MADERA OSCURA - TOKIO</t>
  </si>
  <si>
    <t>SJ/6341-16</t>
  </si>
  <si>
    <t>PLAFON P/AR111 REDONDO DIAMETRO 14,5CM MOVIL BLANCO MICRO - SAN JUSTO</t>
  </si>
  <si>
    <t>ML2454</t>
  </si>
  <si>
    <t>ZOCALO GU10 C/CABLE</t>
  </si>
  <si>
    <t>PAR16-PVCB-5W-120D-WW</t>
  </si>
  <si>
    <t xml:space="preserve"> DICROICA LED 5W ECO GU10 2700K LUZ CALIDA 120 GRADOS - MACROLED</t>
  </si>
  <si>
    <t>PAR16-PVCB-7W-38D-WW</t>
  </si>
  <si>
    <t>DICROICA LED 7W ECO GU10 2700K LUZ CALIDA 38 GRADOS - MACROLED</t>
  </si>
  <si>
    <t>PAR16-PVCB-7W-38D-CW</t>
  </si>
  <si>
    <t>DICROICA LED 7W ECO GU10 2700K LUZ DIA 38 GRADOS - MACROLED</t>
  </si>
  <si>
    <t>PAR16-PVCB-7W-38D-NW</t>
  </si>
  <si>
    <t>DICROICA LED 7W ECO GU10 4500K LUZ NEUTRA 38 GRADOS - MACROLED</t>
  </si>
  <si>
    <t>BND111-15-WW</t>
  </si>
  <si>
    <t xml:space="preserve">LAMPARA LED AR111 15W CUERPO BLANCO CALIDA 2700K - MACROLED
</t>
  </si>
  <si>
    <t>E111NTXSZ</t>
  </si>
  <si>
    <t xml:space="preserve">SPOT EMBUTIR MOVIL AR111 NEGRO Ø145MM C/ZOC - SPOTSLINE
</t>
  </si>
  <si>
    <t>LL/LH30W</t>
  </si>
  <si>
    <t>LAMPARA LED ALTA POTENCIA 30W 6500K LUZ DIA E27 - LIGHTLION</t>
  </si>
  <si>
    <t>LIGTHLION</t>
  </si>
  <si>
    <t>LPRA06W-C</t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</si>
  <si>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6W</t>
    </r>
    <r>
      <rPr>
        <rFont val="Times New Roman"/>
        <b/>
        <color rgb="FF101726"/>
        <sz val="12.0"/>
      </rPr>
      <t xml:space="preserve"> CIRCULAR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LIGHTLION</t>
    </r>
  </si>
  <si>
    <t>LPCA06W-F</t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</si>
  <si>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6W</t>
    </r>
    <r>
      <rPr>
        <rFont val="Times New Roman"/>
        <b/>
        <color rgb="FF101726"/>
        <sz val="12.0"/>
      </rPr>
      <t xml:space="preserve"> 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LIGHTLION</t>
    </r>
  </si>
  <si>
    <t>LPCE06W-F</t>
  </si>
  <si>
    <r>
      <rPr>
        <rFont val="Times New Roman"/>
        <color rgb="FF101726"/>
        <sz val="10.0"/>
      </rPr>
      <t>PANEL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EMBUTIR </t>
    </r>
    <r>
      <rPr>
        <rFont val="Times New Roman"/>
        <b/>
        <color rgb="FF101726"/>
        <sz val="14.0"/>
      </rPr>
      <t>6W</t>
    </r>
    <r>
      <rPr>
        <rFont val="Times New Roman"/>
        <b/>
        <color rgb="FF101726"/>
        <sz val="12.0"/>
      </rPr>
      <t xml:space="preserve"> 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LIGHTLION</t>
    </r>
  </si>
  <si>
    <t>LPCA12W-C</t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</si>
  <si>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12W</t>
    </r>
    <r>
      <rPr>
        <rFont val="Times New Roman"/>
        <b/>
        <color rgb="FF101726"/>
        <sz val="12.0"/>
      </rPr>
      <t xml:space="preserve"> CUADRADO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CALIDA</t>
    </r>
    <r>
      <rPr>
        <rFont val="Times New Roman"/>
        <color rgb="FF101726"/>
        <sz val="10.0"/>
      </rPr>
      <t xml:space="preserve"> MARCO BLANCO - LIGHTLION</t>
    </r>
  </si>
  <si>
    <t>LPCE12W-F</t>
  </si>
  <si>
    <r>
      <rPr>
        <rFont val="Times New Roman"/>
        <color rgb="FF101726"/>
        <sz val="10.0"/>
      </rPr>
      <t>PANEL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EMBUTIR </t>
    </r>
    <r>
      <rPr>
        <rFont val="Times New Roman"/>
        <b/>
        <color rgb="FF101726"/>
        <sz val="14.0"/>
      </rPr>
      <t>12W</t>
    </r>
    <r>
      <rPr>
        <rFont val="Times New Roman"/>
        <b/>
        <color rgb="FF101726"/>
        <sz val="12.0"/>
      </rPr>
      <t xml:space="preserve"> 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LIGHTLION</t>
    </r>
  </si>
  <si>
    <t>LPRA12W-C</t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</si>
  <si>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12W</t>
    </r>
    <r>
      <rPr>
        <rFont val="Times New Roman"/>
        <b/>
        <color rgb="FF101726"/>
        <sz val="12.0"/>
      </rPr>
      <t xml:space="preserve"> CIRCULAR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LIGHTLION</t>
    </r>
  </si>
  <si>
    <t>LPRA18W-C</t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</si>
  <si>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APLICAR 18W CIRCULAR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LIGHTLION</t>
    </r>
  </si>
  <si>
    <t>LPRA18W-F</t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</si>
  <si>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18W</t>
    </r>
    <r>
      <rPr>
        <rFont val="Times New Roman"/>
        <b/>
        <color rgb="FF101726"/>
        <sz val="12.0"/>
      </rPr>
      <t xml:space="preserve"> CIRCULAR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LIGHTLION</t>
    </r>
  </si>
  <si>
    <t>LPRE18W-F</t>
  </si>
  <si>
    <r>
      <rPr>
        <rFont val="Times New Roman"/>
        <color rgb="FF101726"/>
        <sz val="10.0"/>
      </rPr>
      <t>PANEL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EMBUTIR </t>
    </r>
    <r>
      <rPr>
        <rFont val="Times New Roman"/>
        <b/>
        <color rgb="FF101726"/>
        <sz val="14.0"/>
      </rPr>
      <t>18W</t>
    </r>
    <r>
      <rPr>
        <rFont val="Times New Roman"/>
        <b/>
        <color rgb="FF101726"/>
        <sz val="12.0"/>
      </rPr>
      <t xml:space="preserve"> CIRCULAR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LIGHTLION</t>
    </r>
  </si>
  <si>
    <t>LPCA24W-C</t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</si>
  <si>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24W</t>
    </r>
    <r>
      <rPr>
        <rFont val="Times New Roman"/>
        <b/>
        <color rgb="FF101726"/>
        <sz val="12.0"/>
      </rPr>
      <t xml:space="preserve"> CUADRADO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LIGHTLION</t>
    </r>
  </si>
  <si>
    <t>LPRA24W-C</t>
  </si>
  <si>
    <r>
      <rPr>
        <rFont val="Times New Roman"/>
        <color rgb="FF101726"/>
        <sz val="10.0"/>
      </rPr>
      <t xml:space="preserve">PLAFON LED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24W</t>
    </r>
    <r>
      <rPr>
        <rFont val="Times New Roman"/>
        <b/>
        <color rgb="FF101726"/>
        <sz val="12.0"/>
      </rPr>
      <t xml:space="preserve"> CIRCULAR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CALIDA MARCO BLANCO - LIGHTLION</t>
    </r>
  </si>
  <si>
    <t>LPRA24W-F</t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</si>
  <si>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24W</t>
    </r>
    <r>
      <rPr>
        <rFont val="Times New Roman"/>
        <b/>
        <color rgb="FF101726"/>
        <sz val="12.0"/>
      </rPr>
      <t xml:space="preserve"> CIRCULAR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LIGHTLION</t>
    </r>
  </si>
  <si>
    <t>LPRE24W-F</t>
  </si>
  <si>
    <r>
      <rPr>
        <rFont val="Times New Roman"/>
        <color rgb="FF101726"/>
        <sz val="10.0"/>
      </rPr>
      <t xml:space="preserve">PANEL LED </t>
    </r>
    <r>
      <rPr>
        <rFont val="Times New Roman"/>
        <b/>
        <color rgb="FF101726"/>
        <sz val="12.0"/>
      </rPr>
      <t xml:space="preserve">EMBUTIR </t>
    </r>
    <r>
      <rPr>
        <rFont val="Times New Roman"/>
        <b/>
        <color rgb="FF101726"/>
        <sz val="14.0"/>
      </rPr>
      <t xml:space="preserve">24W </t>
    </r>
    <r>
      <rPr>
        <rFont val="Times New Roman"/>
        <b/>
        <color rgb="FF101726"/>
        <sz val="12.0"/>
      </rPr>
      <t>CIRCULAR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LIGHTLION</t>
    </r>
  </si>
  <si>
    <t>CANDELA</t>
  </si>
  <si>
    <t>CDL/7547</t>
  </si>
  <si>
    <r>
      <rPr>
        <rFont val="Times New Roman"/>
        <color rgb="FF101726"/>
        <sz val="10.0"/>
      </rPr>
      <t xml:space="preserve">PANEL LED </t>
    </r>
    <r>
      <rPr>
        <rFont val="Times New Roman"/>
        <b/>
        <color rgb="FF101726"/>
        <sz val="12.0"/>
      </rPr>
      <t>EMBUTIR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BACKLIGHT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4.0"/>
      </rPr>
      <t>6W</t>
    </r>
    <r>
      <rPr>
        <rFont val="Times New Roman"/>
        <b/>
        <color rgb="FF101726"/>
        <sz val="12.0"/>
      </rPr>
      <t xml:space="preserve"> CUADRADO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CANDELA</t>
    </r>
  </si>
  <si>
    <t>CDL/7564</t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</si>
  <si>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APLICAR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BACKLIGHT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4.0"/>
      </rPr>
      <t>12W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CANDELA</t>
    </r>
  </si>
  <si>
    <t>CDL/7549</t>
  </si>
  <si>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 xml:space="preserve">PANEL LED </t>
    </r>
    <r>
      <rPr>
        <rFont val="Times New Roman"/>
        <b/>
        <color rgb="FF101726"/>
        <sz val="12.0"/>
      </rPr>
      <t>EMBUTIR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BACKLIGHT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4.0"/>
      </rPr>
      <t>12W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CUADRADO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CANDELA</t>
    </r>
  </si>
  <si>
    <t>CDL/7567</t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</si>
  <si>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APLICAR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BACKLIGHT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4.0"/>
      </rPr>
      <t>18W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CUADRADO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CANDELA</t>
    </r>
  </si>
  <si>
    <t>CDL/7566</t>
  </si>
  <si>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 xml:space="preserve">PLAFON LED </t>
    </r>
    <r>
      <rPr>
        <rFont val="Times New Roman"/>
        <b/>
        <color rgb="FF101726"/>
        <sz val="12.0"/>
      </rPr>
      <t>APLICAR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BACKLIGHT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4.0"/>
      </rPr>
      <t xml:space="preserve">18W </t>
    </r>
    <r>
      <rPr>
        <rFont val="Times New Roman"/>
        <b/>
        <color rgb="FF101726"/>
        <sz val="12.0"/>
      </rPr>
      <t>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CANDELA</t>
    </r>
  </si>
  <si>
    <t>CDL/7543</t>
  </si>
  <si>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PANEL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EMBUTIR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BACKLIGHT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4.0"/>
      </rPr>
      <t>18W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CIRCULAR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CANDELA</t>
    </r>
  </si>
  <si>
    <t>CDL/7568</t>
  </si>
  <si>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APLICAR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BACKLIGHT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4.0"/>
      </rPr>
      <t xml:space="preserve">24W </t>
    </r>
    <r>
      <rPr>
        <rFont val="Times New Roman"/>
        <b/>
        <color rgb="FF101726"/>
        <sz val="12.0"/>
      </rPr>
      <t>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CANDELA</t>
    </r>
  </si>
  <si>
    <t>CDL/7553</t>
  </si>
  <si>
    <r>
      <rPr>
        <rFont val="Times New Roman"/>
        <color rgb="FF101726"/>
        <sz val="10.0"/>
      </rPr>
      <t>PANEL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EMBUTIR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 xml:space="preserve">BACKLIGHT </t>
    </r>
    <r>
      <rPr>
        <rFont val="Times New Roman"/>
        <b/>
        <color rgb="FF101726"/>
        <sz val="14.0"/>
      </rPr>
      <t>24W</t>
    </r>
    <r>
      <rPr>
        <rFont val="Times New Roman"/>
        <b/>
        <color rgb="FF101726"/>
        <sz val="12.0"/>
      </rPr>
      <t xml:space="preserve"> CUADRADO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CANDELA</t>
    </r>
  </si>
  <si>
    <t>MACROLED</t>
  </si>
  <si>
    <t>PC06WW</t>
  </si>
  <si>
    <r>
      <rPr>
        <rFont val="Times New Roman"/>
        <color rgb="FF101726"/>
        <sz val="10.0"/>
      </rPr>
      <t xml:space="preserve">PLAFON LED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6W</t>
    </r>
    <r>
      <rPr>
        <rFont val="Times New Roman"/>
        <b/>
        <color rgb="FF101726"/>
        <sz val="12.0"/>
      </rPr>
      <t xml:space="preserve"> CUADRADO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</si>
  <si>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t>PC06CW</t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</si>
  <si>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6W</t>
    </r>
    <r>
      <rPr>
        <rFont val="Times New Roman"/>
        <b/>
        <color rgb="FF101726"/>
        <sz val="12.0"/>
      </rPr>
      <t xml:space="preserve"> 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</si>
  <si>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t>PR06WW</t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</si>
  <si>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6W</t>
    </r>
    <r>
      <rPr>
        <rFont val="Times New Roman"/>
        <b/>
        <color rgb="FF101726"/>
        <sz val="12.0"/>
      </rPr>
      <t xml:space="preserve"> CIRCULAR CALIDA</t>
    </r>
    <r>
      <rPr>
        <rFont val="Times New Roman"/>
        <color rgb="FF101726"/>
        <sz val="12.0"/>
      </rPr>
      <t xml:space="preserve">  </t>
    </r>
    <r>
      <rPr>
        <rFont val="Times New Roman"/>
        <color rgb="FF101726"/>
        <sz val="10.0"/>
      </rPr>
      <t>MARCO BLANCO - MACROLED</t>
    </r>
  </si>
  <si>
    <t>PEC06CW</t>
  </si>
  <si>
    <r>
      <rPr>
        <rFont val="Times New Roman"/>
        <color rgb="FF101726"/>
        <sz val="10.0"/>
      </rPr>
      <t xml:space="preserve">PANEL LED </t>
    </r>
    <r>
      <rPr>
        <rFont val="Times New Roman"/>
        <b/>
        <color rgb="FF101726"/>
        <sz val="12.0"/>
      </rPr>
      <t xml:space="preserve">EMBUTIR </t>
    </r>
    <r>
      <rPr>
        <rFont val="Times New Roman"/>
        <b/>
        <color rgb="FF101726"/>
        <sz val="14.0"/>
      </rPr>
      <t>6W</t>
    </r>
    <r>
      <rPr>
        <rFont val="Times New Roman"/>
        <b/>
        <color rgb="FF101726"/>
        <sz val="12.0"/>
      </rPr>
      <t xml:space="preserve"> 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</si>
  <si>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t>PEC06WW</t>
  </si>
  <si>
    <r>
      <rPr>
        <rFont val="Times New Roman"/>
        <color rgb="FF101726"/>
        <sz val="10.0"/>
      </rPr>
      <t>PANEL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EMBUTIR </t>
    </r>
    <r>
      <rPr>
        <rFont val="Times New Roman"/>
        <b/>
        <color rgb="FF101726"/>
        <sz val="14.0"/>
      </rPr>
      <t>6W</t>
    </r>
    <r>
      <rPr>
        <rFont val="Times New Roman"/>
        <b/>
        <color rgb="FF101726"/>
        <sz val="12.0"/>
      </rPr>
      <t xml:space="preserve"> CUADRADO CALIDA </t>
    </r>
    <r>
      <rPr>
        <rFont val="Times New Roman"/>
        <color rgb="FF101726"/>
        <sz val="10.0"/>
      </rPr>
      <t>MARCO BLANCO - MACROLED</t>
    </r>
  </si>
  <si>
    <t>PR06CW</t>
  </si>
  <si>
    <r>
      <rPr>
        <rFont val="Times New Roman"/>
        <color rgb="FF101726"/>
        <sz val="10.0"/>
      </rPr>
      <t xml:space="preserve">PLAFON LED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6W</t>
    </r>
    <r>
      <rPr>
        <rFont val="Times New Roman"/>
        <b/>
        <color rgb="FF101726"/>
        <sz val="12.0"/>
      </rPr>
      <t xml:space="preserve"> CIRCULAR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</si>
  <si>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t>NPR12WW</t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</si>
  <si>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APLICAR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4.0"/>
      </rPr>
      <t>12W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CIRCULAR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NEGRO - MACROLED</t>
    </r>
  </si>
  <si>
    <t>PC12CW</t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</si>
  <si>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12W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</si>
  <si>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t>PER12NW</t>
  </si>
  <si>
    <r>
      <rPr>
        <rFont val="Times New Roman"/>
        <color rgb="FF101726"/>
        <sz val="10.0"/>
      </rPr>
      <t>PANEL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EMBUTIR</t>
    </r>
    <r>
      <rPr>
        <rFont val="Times New Roman"/>
        <b/>
        <color rgb="FF101726"/>
        <sz val="14.0"/>
      </rPr>
      <t xml:space="preserve"> 12W</t>
    </r>
    <r>
      <rPr>
        <rFont val="Times New Roman"/>
        <b/>
        <color rgb="FF101726"/>
        <sz val="12.0"/>
      </rPr>
      <t xml:space="preserve"> CIRCULAR NEUTRA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</t>
    </r>
    <r>
      <rPr>
        <rFont val="Times New Roman"/>
        <color rgb="FF101726"/>
        <sz val="12.0"/>
      </rPr>
      <t>OLED</t>
    </r>
  </si>
  <si>
    <t>PER12CW</t>
  </si>
  <si>
    <r>
      <rPr>
        <rFont val="Times New Roman"/>
        <color rgb="FF101726"/>
        <sz val="10.0"/>
      </rPr>
      <t>PANEL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EMBUTIR </t>
    </r>
    <r>
      <rPr>
        <rFont val="Times New Roman"/>
        <b/>
        <color rgb="FF101726"/>
        <sz val="14.0"/>
      </rPr>
      <t>12W</t>
    </r>
    <r>
      <rPr>
        <rFont val="Times New Roman"/>
        <b/>
        <color rgb="FF101726"/>
        <sz val="12.0"/>
      </rPr>
      <t xml:space="preserve"> CIRCULAR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</si>
  <si>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t>PC18CW</t>
  </si>
  <si>
    <r>
      <rPr>
        <rFont val="Times New Roman"/>
        <color rgb="FF101726"/>
        <sz val="10.0"/>
      </rPr>
      <t>PLAFON LED</t>
    </r>
    <r>
      <rPr>
        <rFont val="Times New Roman"/>
        <b/>
        <color rgb="FF101726"/>
        <sz val="12.0"/>
      </rPr>
      <t xml:space="preserve"> APLICAR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4.0"/>
      </rPr>
      <t>18W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</si>
  <si>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t>PC18WW</t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</si>
  <si>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APLICAR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4.0"/>
      </rPr>
      <t xml:space="preserve">18W </t>
    </r>
    <r>
      <rPr>
        <rFont val="Times New Roman"/>
        <b/>
        <color rgb="FF101726"/>
        <sz val="12.0"/>
      </rPr>
      <t>CUADRADO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</si>
  <si>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t>PEC18WW</t>
  </si>
  <si>
    <r>
      <rPr>
        <rFont val="Times New Roman"/>
        <color rgb="FF101726"/>
        <sz val="10.0"/>
      </rPr>
      <t xml:space="preserve">PANEL LED </t>
    </r>
    <r>
      <rPr>
        <rFont val="Times New Roman"/>
        <b/>
        <color rgb="FF101726"/>
        <sz val="12.0"/>
      </rPr>
      <t xml:space="preserve">EMBUTIR </t>
    </r>
    <r>
      <rPr>
        <rFont val="Times New Roman"/>
        <b/>
        <color rgb="FF101726"/>
        <sz val="14.0"/>
      </rPr>
      <t>18W</t>
    </r>
    <r>
      <rPr>
        <rFont val="Times New Roman"/>
        <b/>
        <color rgb="FF101726"/>
        <sz val="12.0"/>
      </rPr>
      <t xml:space="preserve"> CUADRADO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</si>
  <si>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t>PC24CW</t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</si>
  <si>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 xml:space="preserve">24W </t>
    </r>
    <r>
      <rPr>
        <rFont val="Times New Roman"/>
        <b/>
        <color rgb="FF101726"/>
        <sz val="12.0"/>
      </rPr>
      <t>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</si>
  <si>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t>PC24WW</t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</si>
  <si>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24W</t>
    </r>
    <r>
      <rPr>
        <rFont val="Times New Roman"/>
        <b/>
        <color rgb="FF101726"/>
        <sz val="12.0"/>
      </rPr>
      <t xml:space="preserve"> CUADRADO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</si>
  <si>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t>PR24WW</t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</si>
  <si>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 xml:space="preserve">24W </t>
    </r>
    <r>
      <rPr>
        <rFont val="Times New Roman"/>
        <b/>
        <color rgb="FF101726"/>
        <sz val="12.0"/>
      </rPr>
      <t>CIRCULAR 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</si>
  <si>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t>PEC24WW</t>
  </si>
  <si>
    <r>
      <rPr>
        <rFont val="Times New Roman"/>
        <color rgb="FF101726"/>
        <sz val="10.0"/>
      </rPr>
      <t>PANEL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EMBUTIR </t>
    </r>
    <r>
      <rPr>
        <rFont val="Times New Roman"/>
        <b/>
        <color rgb="FF101726"/>
        <sz val="14.0"/>
      </rPr>
      <t xml:space="preserve">24W </t>
    </r>
    <r>
      <rPr>
        <rFont val="Times New Roman"/>
        <b/>
        <color rgb="FF101726"/>
        <sz val="12.0"/>
      </rPr>
      <t>CUADRADO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</si>
  <si>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t xml:space="preserve">PEC24CW </t>
  </si>
  <si>
    <r>
      <rPr>
        <rFont val="Times New Roman"/>
        <color rgb="FF101726"/>
        <sz val="10.0"/>
      </rPr>
      <t>PANEL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EMBUTIR </t>
    </r>
    <r>
      <rPr>
        <rFont val="Times New Roman"/>
        <b/>
        <color rgb="FF101726"/>
        <sz val="14.0"/>
      </rPr>
      <t>24W</t>
    </r>
    <r>
      <rPr>
        <rFont val="Times New Roman"/>
        <b/>
        <color rgb="FF101726"/>
        <sz val="12.0"/>
      </rPr>
      <t xml:space="preserve"> 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</si>
  <si>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t>NPEC24CW</t>
  </si>
  <si>
    <r>
      <rPr>
        <rFont val="Times New Roman"/>
        <color rgb="FF101726"/>
        <sz val="10.0"/>
      </rPr>
      <t>PANEL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EMBUTIR 24W CUADRO LUZ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NEGRO - MACROLED</t>
    </r>
  </si>
  <si>
    <t>LUMINARIA</t>
  </si>
  <si>
    <t>SJ/3001-58</t>
  </si>
  <si>
    <t xml:space="preserve">COLGANTE CHAPA 1 LUZ E27 PANTALLA 20CM GRIS PLOMO C/COBRE - SAN JUSTO </t>
  </si>
  <si>
    <t>C-185B/T</t>
  </si>
  <si>
    <t>COLGANTE CHAPA YORK Ø 27CM E27 BLANCO TEXTURADO - FERROLUX</t>
  </si>
  <si>
    <t>C-185N/T</t>
  </si>
  <si>
    <t>COLGANTE CHAPA YORK Ø 27CM E27 NEGRO TEXTURADO - FERROLUX</t>
  </si>
  <si>
    <t>C-1019/40/BT</t>
  </si>
  <si>
    <t>COLGANTE CHAPA PARLA 42X23CM E27 BLANCO TEXTURADO - FERROLUX</t>
  </si>
  <si>
    <t>SJ/7930-02</t>
  </si>
  <si>
    <t>COLGANTE TUBO CANALS 1 LUZ GU10 DIAM=5CM X 25CM NEGRO - SAN JUSTO</t>
  </si>
  <si>
    <t>S/CODIGO</t>
  </si>
  <si>
    <t xml:space="preserve">PORTALAMPARA COMERSION COLOR BLANCO </t>
  </si>
  <si>
    <t>-------</t>
  </si>
  <si>
    <t>precio sin IVA</t>
  </si>
  <si>
    <t>tarjeta sin IVA</t>
  </si>
  <si>
    <r>
      <rPr>
        <rFont val="Times New Roman"/>
        <b/>
        <i/>
        <color rgb="FF101726"/>
        <sz val="13.0"/>
      </rPr>
      <t>TORNILLO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7.0"/>
      </rPr>
      <t>MULTIFIX</t>
    </r>
    <r>
      <rPr>
        <rFont val="Times New Roman"/>
        <color rgb="FF101726"/>
        <sz val="12.0"/>
      </rPr>
      <t xml:space="preserve"> </t>
    </r>
    <r>
      <rPr>
        <rFont val="Times New Roman"/>
        <b/>
        <i/>
        <color rgb="FF101726"/>
        <sz val="13.0"/>
      </rPr>
      <t>5X45mm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8.0"/>
      </rPr>
      <t xml:space="preserve">PARA TARUGO 8MM </t>
    </r>
  </si>
  <si>
    <r>
      <rPr>
        <rFont val="Times New Roman"/>
        <b/>
        <i/>
        <color rgb="FF101726"/>
        <sz val="13.0"/>
      </rPr>
      <t xml:space="preserve">TORNILLO </t>
    </r>
    <r>
      <rPr>
        <rFont val="Times New Roman"/>
        <color rgb="FF101726"/>
        <sz val="7.0"/>
      </rPr>
      <t>MULTIFIX</t>
    </r>
    <r>
      <rPr>
        <rFont val="Times New Roman"/>
        <color rgb="FF101726"/>
        <sz val="12.0"/>
      </rPr>
      <t xml:space="preserve"> </t>
    </r>
    <r>
      <rPr>
        <rFont val="Times New Roman"/>
        <b/>
        <i/>
        <color rgb="FF101726"/>
        <sz val="13.0"/>
      </rPr>
      <t xml:space="preserve">4x30mm </t>
    </r>
    <r>
      <rPr>
        <rFont val="Times New Roman"/>
        <color rgb="FF101726"/>
        <sz val="8.0"/>
      </rPr>
      <t xml:space="preserve">PARA TARUGO 6MM </t>
    </r>
  </si>
  <si>
    <r>
      <rPr>
        <rFont val="Times New Roman"/>
        <b/>
        <i/>
        <color rgb="FF101726"/>
        <sz val="13.0"/>
      </rPr>
      <t>TORNILLO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8.0"/>
      </rPr>
      <t>CON TROMPETA MADERA</t>
    </r>
    <r>
      <rPr>
        <rFont val="Times New Roman"/>
        <color rgb="FF101726"/>
        <sz val="12.0"/>
      </rPr>
      <t xml:space="preserve"> </t>
    </r>
    <r>
      <rPr>
        <rFont val="Times New Roman"/>
        <b/>
        <i/>
        <color rgb="FF101726"/>
        <sz val="13.0"/>
      </rPr>
      <t>6X1"</t>
    </r>
  </si>
  <si>
    <r>
      <rPr>
        <rFont val="Times New Roman"/>
        <b/>
        <i/>
        <color rgb="FF101726"/>
        <sz val="13.0"/>
      </rPr>
      <t xml:space="preserve">TORNILLO </t>
    </r>
    <r>
      <rPr>
        <rFont val="Times New Roman"/>
        <color rgb="FF101726"/>
        <sz val="12.0"/>
      </rPr>
      <t xml:space="preserve">AUTOPERFORANTE T1 </t>
    </r>
    <r>
      <rPr>
        <rFont val="Times New Roman"/>
        <b/>
        <i/>
        <color rgb="FF101726"/>
        <sz val="13.0"/>
      </rPr>
      <t>8 X 1/2 "</t>
    </r>
  </si>
  <si>
    <r>
      <rPr>
        <rFont val="Times New Roman"/>
        <color rgb="FF101726"/>
        <sz val="12.0"/>
      </rPr>
      <t xml:space="preserve">FICHA </t>
    </r>
    <r>
      <rPr>
        <rFont val="Times New Roman"/>
        <b/>
        <color rgb="FF101726"/>
        <sz val="15.0"/>
      </rPr>
      <t>MACHO</t>
    </r>
    <r>
      <rPr>
        <rFont val="Times New Roman"/>
        <color rgb="FF101726"/>
        <sz val="12.0"/>
      </rPr>
      <t xml:space="preserve"> HEAVY DUTY 3 PATAS 10A NEGRA - KALOP</t>
    </r>
  </si>
  <si>
    <r>
      <rPr>
        <rFont val="Times New Roman"/>
        <color rgb="FF101726"/>
        <sz val="12.0"/>
      </rPr>
      <t xml:space="preserve">FICHA </t>
    </r>
    <r>
      <rPr>
        <rFont val="Times New Roman"/>
        <b/>
        <color rgb="FF101726"/>
        <sz val="15.0"/>
      </rPr>
      <t>HEMBRA</t>
    </r>
    <r>
      <rPr>
        <rFont val="Times New Roman"/>
        <color rgb="FF101726"/>
        <sz val="12.0"/>
      </rPr>
      <t xml:space="preserve"> HEAVY DUTY 3 PATAS 10A NEGRA - KALOP</t>
    </r>
  </si>
  <si>
    <r>
      <rPr>
        <rFont val="Times New Roman"/>
        <color rgb="FF101726"/>
        <sz val="12.0"/>
      </rPr>
      <t xml:space="preserve">FICHA </t>
    </r>
    <r>
      <rPr>
        <rFont val="Times New Roman"/>
        <b/>
        <color rgb="FF101726"/>
        <sz val="15.0"/>
      </rPr>
      <t>MACHO</t>
    </r>
    <r>
      <rPr>
        <rFont val="Times New Roman"/>
        <color rgb="FF101726"/>
        <sz val="12.0"/>
      </rPr>
      <t xml:space="preserve"> ALTO CONSUMO 3 PATAS 10A CON MANIJA - KALOP</t>
    </r>
  </si>
  <si>
    <r>
      <rPr>
        <rFont val="Times New Roman"/>
        <color rgb="FF101726"/>
        <sz val="12.0"/>
      </rPr>
      <t xml:space="preserve">FICHA </t>
    </r>
    <r>
      <rPr>
        <rFont val="Times New Roman"/>
        <b/>
        <color rgb="FF101726"/>
        <sz val="15.0"/>
      </rPr>
      <t>HEMBRA</t>
    </r>
    <r>
      <rPr>
        <rFont val="Times New Roman"/>
        <color rgb="FF101726"/>
        <sz val="12.0"/>
      </rPr>
      <t xml:space="preserve"> ALTO CONSUMO 3 PATAS 10A CON MANIJA - KALOP</t>
    </r>
  </si>
  <si>
    <r>
      <rPr>
        <rFont val="Times New Roman"/>
        <color rgb="FF101726"/>
        <sz val="12.0"/>
      </rPr>
      <t xml:space="preserve">FICHA </t>
    </r>
    <r>
      <rPr>
        <rFont val="Times New Roman"/>
        <b/>
        <color rgb="FF101726"/>
        <sz val="15.0"/>
      </rPr>
      <t>MACHO</t>
    </r>
    <r>
      <rPr>
        <rFont val="Times New Roman"/>
        <color rgb="FF101726"/>
        <sz val="12.0"/>
      </rPr>
      <t xml:space="preserve"> SALIDA LATERAL 3 PATAS 10A NEGRA - KALOP</t>
    </r>
  </si>
  <si>
    <r>
      <rPr>
        <rFont val="Times New Roman"/>
        <color rgb="FF101726"/>
        <sz val="12.0"/>
      </rPr>
      <t xml:space="preserve">FICHA </t>
    </r>
    <r>
      <rPr>
        <rFont val="Times New Roman"/>
        <b/>
        <color rgb="FF101726"/>
        <sz val="15.0"/>
      </rPr>
      <t>HEMBRA</t>
    </r>
    <r>
      <rPr>
        <rFont val="Times New Roman"/>
        <color rgb="FF101726"/>
        <sz val="12.0"/>
      </rPr>
      <t xml:space="preserve"> SALIDA LATERAL 3 PATAS 10A NEGRA - KALOP</t>
    </r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</si>
  <si>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6W</t>
    </r>
    <r>
      <rPr>
        <rFont val="Times New Roman"/>
        <b/>
        <color rgb="FF101726"/>
        <sz val="12.0"/>
      </rPr>
      <t xml:space="preserve"> CIRCULAR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LIGHTLION</t>
    </r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</si>
  <si>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6W</t>
    </r>
    <r>
      <rPr>
        <rFont val="Times New Roman"/>
        <b/>
        <color rgb="FF101726"/>
        <sz val="12.0"/>
      </rPr>
      <t xml:space="preserve"> 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LIGHTLION</t>
    </r>
  </si>
  <si>
    <r>
      <rPr>
        <rFont val="Times New Roman"/>
        <color rgb="FF101726"/>
        <sz val="10.0"/>
      </rPr>
      <t>PANEL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EMBUTIR </t>
    </r>
    <r>
      <rPr>
        <rFont val="Times New Roman"/>
        <b/>
        <color rgb="FF101726"/>
        <sz val="14.0"/>
      </rPr>
      <t>6W</t>
    </r>
    <r>
      <rPr>
        <rFont val="Times New Roman"/>
        <b/>
        <color rgb="FF101726"/>
        <sz val="12.0"/>
      </rPr>
      <t xml:space="preserve"> 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LIGHTLION</t>
    </r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</si>
  <si>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12W</t>
    </r>
    <r>
      <rPr>
        <rFont val="Times New Roman"/>
        <b/>
        <color rgb="FF101726"/>
        <sz val="12.0"/>
      </rPr>
      <t xml:space="preserve"> CUADRADO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CALIDA</t>
    </r>
    <r>
      <rPr>
        <rFont val="Times New Roman"/>
        <color rgb="FF101726"/>
        <sz val="10.0"/>
      </rPr>
      <t xml:space="preserve"> MARCO BLANCO - LIGHTLION</t>
    </r>
  </si>
  <si>
    <r>
      <rPr>
        <rFont val="Times New Roman"/>
        <color rgb="FF101726"/>
        <sz val="10.0"/>
      </rPr>
      <t>PANEL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EMBUTIR </t>
    </r>
    <r>
      <rPr>
        <rFont val="Times New Roman"/>
        <b/>
        <color rgb="FF101726"/>
        <sz val="14.0"/>
      </rPr>
      <t>12W</t>
    </r>
    <r>
      <rPr>
        <rFont val="Times New Roman"/>
        <b/>
        <color rgb="FF101726"/>
        <sz val="12.0"/>
      </rPr>
      <t xml:space="preserve"> 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LIGHTLION</t>
    </r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</si>
  <si>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12W</t>
    </r>
    <r>
      <rPr>
        <rFont val="Times New Roman"/>
        <b/>
        <color rgb="FF101726"/>
        <sz val="12.0"/>
      </rPr>
      <t xml:space="preserve"> CIRCULAR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LIGHTLION</t>
    </r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</si>
  <si>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APLICAR 18W CIRCULAR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LIGHTLION</t>
    </r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</si>
  <si>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18W</t>
    </r>
    <r>
      <rPr>
        <rFont val="Times New Roman"/>
        <b/>
        <color rgb="FF101726"/>
        <sz val="12.0"/>
      </rPr>
      <t xml:space="preserve"> CIRCULAR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LIGHTLION</t>
    </r>
  </si>
  <si>
    <r>
      <rPr>
        <rFont val="Times New Roman"/>
        <color rgb="FF101726"/>
        <sz val="10.0"/>
      </rPr>
      <t>PANEL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EMBUTIR </t>
    </r>
    <r>
      <rPr>
        <rFont val="Times New Roman"/>
        <b/>
        <color rgb="FF101726"/>
        <sz val="14.0"/>
      </rPr>
      <t>18W</t>
    </r>
    <r>
      <rPr>
        <rFont val="Times New Roman"/>
        <b/>
        <color rgb="FF101726"/>
        <sz val="12.0"/>
      </rPr>
      <t xml:space="preserve"> CIRCULAR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LIGHTLION</t>
    </r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</si>
  <si>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24W</t>
    </r>
    <r>
      <rPr>
        <rFont val="Times New Roman"/>
        <b/>
        <color rgb="FF101726"/>
        <sz val="12.0"/>
      </rPr>
      <t xml:space="preserve"> CUADRADO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LIGHTLION</t>
    </r>
  </si>
  <si>
    <r>
      <rPr>
        <rFont val="Times New Roman"/>
        <color rgb="FF101726"/>
        <sz val="10.0"/>
      </rPr>
      <t xml:space="preserve">PLAFON LED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24W</t>
    </r>
    <r>
      <rPr>
        <rFont val="Times New Roman"/>
        <b/>
        <color rgb="FF101726"/>
        <sz val="12.0"/>
      </rPr>
      <t xml:space="preserve"> CIRCULAR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CALIDA MARCO BLANCO - LIGHTLION</t>
    </r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</si>
  <si>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24W</t>
    </r>
    <r>
      <rPr>
        <rFont val="Times New Roman"/>
        <b/>
        <color rgb="FF101726"/>
        <sz val="12.0"/>
      </rPr>
      <t xml:space="preserve"> CIRCULAR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LIGHTLION</t>
    </r>
  </si>
  <si>
    <r>
      <rPr>
        <rFont val="Times New Roman"/>
        <color rgb="FF101726"/>
        <sz val="10.0"/>
      </rPr>
      <t xml:space="preserve">PANEL LED </t>
    </r>
    <r>
      <rPr>
        <rFont val="Times New Roman"/>
        <b/>
        <color rgb="FF101726"/>
        <sz val="12.0"/>
      </rPr>
      <t xml:space="preserve">EMBUTIR </t>
    </r>
    <r>
      <rPr>
        <rFont val="Times New Roman"/>
        <b/>
        <color rgb="FF101726"/>
        <sz val="14.0"/>
      </rPr>
      <t xml:space="preserve">24W </t>
    </r>
    <r>
      <rPr>
        <rFont val="Times New Roman"/>
        <b/>
        <color rgb="FF101726"/>
        <sz val="12.0"/>
      </rPr>
      <t>CIRCULAR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LIGHTLION</t>
    </r>
  </si>
  <si>
    <r>
      <rPr>
        <rFont val="Times New Roman"/>
        <color rgb="FF101726"/>
        <sz val="10.0"/>
      </rPr>
      <t xml:space="preserve">PANEL LED </t>
    </r>
    <r>
      <rPr>
        <rFont val="Times New Roman"/>
        <b/>
        <color rgb="FF101726"/>
        <sz val="12.0"/>
      </rPr>
      <t>EMBUTIR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BACKLIGHT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4.0"/>
      </rPr>
      <t>6W</t>
    </r>
    <r>
      <rPr>
        <rFont val="Times New Roman"/>
        <b/>
        <color rgb="FF101726"/>
        <sz val="12.0"/>
      </rPr>
      <t xml:space="preserve"> CUADRADO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CANDELA</t>
    </r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</si>
  <si>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APLICAR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BACKLIGHT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4.0"/>
      </rPr>
      <t>12W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CANDELA</t>
    </r>
  </si>
  <si>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 xml:space="preserve">PANEL LED </t>
    </r>
    <r>
      <rPr>
        <rFont val="Times New Roman"/>
        <b/>
        <color rgb="FF101726"/>
        <sz val="12.0"/>
      </rPr>
      <t>EMBUTIR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BACKLIGHT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4.0"/>
      </rPr>
      <t>12W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CUADRADO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CANDELA</t>
    </r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</si>
  <si>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APLICAR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BACKLIGHT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4.0"/>
      </rPr>
      <t>18W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CUADRADO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CANDELA</t>
    </r>
  </si>
  <si>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 xml:space="preserve">PLAFON LED </t>
    </r>
    <r>
      <rPr>
        <rFont val="Times New Roman"/>
        <b/>
        <color rgb="FF101726"/>
        <sz val="12.0"/>
      </rPr>
      <t>APLICAR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BACKLIGHT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4.0"/>
      </rPr>
      <t xml:space="preserve">18W </t>
    </r>
    <r>
      <rPr>
        <rFont val="Times New Roman"/>
        <b/>
        <color rgb="FF101726"/>
        <sz val="12.0"/>
      </rPr>
      <t>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CANDELA</t>
    </r>
  </si>
  <si>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PANEL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EMBUTIR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BACKLIGHT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4.0"/>
      </rPr>
      <t>18W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CIRCULAR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CANDELA</t>
    </r>
  </si>
  <si>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APLICAR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BACKLIGHT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4.0"/>
      </rPr>
      <t xml:space="preserve">24W </t>
    </r>
    <r>
      <rPr>
        <rFont val="Times New Roman"/>
        <b/>
        <color rgb="FF101726"/>
        <sz val="12.0"/>
      </rPr>
      <t>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CANDELA</t>
    </r>
  </si>
  <si>
    <r>
      <rPr>
        <rFont val="Times New Roman"/>
        <color rgb="FF101726"/>
        <sz val="10.0"/>
      </rPr>
      <t>PANEL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EMBUTIR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 xml:space="preserve">BACKLIGHT </t>
    </r>
    <r>
      <rPr>
        <rFont val="Times New Roman"/>
        <b/>
        <color rgb="FF101726"/>
        <sz val="14.0"/>
      </rPr>
      <t>24W</t>
    </r>
    <r>
      <rPr>
        <rFont val="Times New Roman"/>
        <b/>
        <color rgb="FF101726"/>
        <sz val="12.0"/>
      </rPr>
      <t xml:space="preserve"> CUADRADO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CANDELA</t>
    </r>
  </si>
  <si>
    <r>
      <rPr>
        <rFont val="Times New Roman"/>
        <color rgb="FF101726"/>
        <sz val="10.0"/>
      </rPr>
      <t xml:space="preserve">PLAFON LED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6W</t>
    </r>
    <r>
      <rPr>
        <rFont val="Times New Roman"/>
        <b/>
        <color rgb="FF101726"/>
        <sz val="12.0"/>
      </rPr>
      <t xml:space="preserve"> CUADRADO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</si>
  <si>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6W</t>
    </r>
    <r>
      <rPr>
        <rFont val="Times New Roman"/>
        <b/>
        <color rgb="FF101726"/>
        <sz val="12.0"/>
      </rPr>
      <t xml:space="preserve"> 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</si>
  <si>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6W</t>
    </r>
    <r>
      <rPr>
        <rFont val="Times New Roman"/>
        <b/>
        <color rgb="FF101726"/>
        <sz val="12.0"/>
      </rPr>
      <t xml:space="preserve"> CIRCULAR CALIDA</t>
    </r>
    <r>
      <rPr>
        <rFont val="Times New Roman"/>
        <color rgb="FF101726"/>
        <sz val="12.0"/>
      </rPr>
      <t xml:space="preserve">  </t>
    </r>
    <r>
      <rPr>
        <rFont val="Times New Roman"/>
        <color rgb="FF101726"/>
        <sz val="10.0"/>
      </rPr>
      <t>MARCO BLANCO - MACROLED</t>
    </r>
  </si>
  <si>
    <r>
      <rPr>
        <rFont val="Times New Roman"/>
        <color rgb="FF101726"/>
        <sz val="10.0"/>
      </rPr>
      <t xml:space="preserve">PANEL LED </t>
    </r>
    <r>
      <rPr>
        <rFont val="Times New Roman"/>
        <b/>
        <color rgb="FF101726"/>
        <sz val="12.0"/>
      </rPr>
      <t xml:space="preserve">EMBUTIR </t>
    </r>
    <r>
      <rPr>
        <rFont val="Times New Roman"/>
        <b/>
        <color rgb="FF101726"/>
        <sz val="14.0"/>
      </rPr>
      <t>6W</t>
    </r>
    <r>
      <rPr>
        <rFont val="Times New Roman"/>
        <b/>
        <color rgb="FF101726"/>
        <sz val="12.0"/>
      </rPr>
      <t xml:space="preserve"> 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</si>
  <si>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r>
      <rPr>
        <rFont val="Times New Roman"/>
        <color rgb="FF101726"/>
        <sz val="10.0"/>
      </rPr>
      <t>PANEL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EMBUTIR </t>
    </r>
    <r>
      <rPr>
        <rFont val="Times New Roman"/>
        <b/>
        <color rgb="FF101726"/>
        <sz val="14.0"/>
      </rPr>
      <t>6W</t>
    </r>
    <r>
      <rPr>
        <rFont val="Times New Roman"/>
        <b/>
        <color rgb="FF101726"/>
        <sz val="12.0"/>
      </rPr>
      <t xml:space="preserve"> CUADRADO CALIDA </t>
    </r>
    <r>
      <rPr>
        <rFont val="Times New Roman"/>
        <color rgb="FF101726"/>
        <sz val="10.0"/>
      </rPr>
      <t>MARCO BLANCO - MACROLED</t>
    </r>
  </si>
  <si>
    <r>
      <rPr>
        <rFont val="Times New Roman"/>
        <color rgb="FF101726"/>
        <sz val="10.0"/>
      </rPr>
      <t xml:space="preserve">PLAFON LED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6W</t>
    </r>
    <r>
      <rPr>
        <rFont val="Times New Roman"/>
        <b/>
        <color rgb="FF101726"/>
        <sz val="12.0"/>
      </rPr>
      <t xml:space="preserve"> CIRCULAR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</si>
  <si>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APLICAR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4.0"/>
      </rPr>
      <t>12W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CIRCULAR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NEGRO - MACROLED</t>
    </r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</si>
  <si>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12W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</si>
  <si>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r>
      <rPr>
        <rFont val="Times New Roman"/>
        <color rgb="FF101726"/>
        <sz val="10.0"/>
      </rPr>
      <t>PANEL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EMBUTIR</t>
    </r>
    <r>
      <rPr>
        <rFont val="Times New Roman"/>
        <b/>
        <color rgb="FF101726"/>
        <sz val="14.0"/>
      </rPr>
      <t xml:space="preserve"> 12W</t>
    </r>
    <r>
      <rPr>
        <rFont val="Times New Roman"/>
        <b/>
        <color rgb="FF101726"/>
        <sz val="12.0"/>
      </rPr>
      <t xml:space="preserve"> CIRCULAR NEUTRA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</t>
    </r>
    <r>
      <rPr>
        <rFont val="Times New Roman"/>
        <color rgb="FF101726"/>
        <sz val="12.0"/>
      </rPr>
      <t>OLED</t>
    </r>
  </si>
  <si>
    <r>
      <rPr>
        <rFont val="Times New Roman"/>
        <color rgb="FF101726"/>
        <sz val="10.0"/>
      </rPr>
      <t>PANEL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EMBUTIR </t>
    </r>
    <r>
      <rPr>
        <rFont val="Times New Roman"/>
        <b/>
        <color rgb="FF101726"/>
        <sz val="14.0"/>
      </rPr>
      <t>12W</t>
    </r>
    <r>
      <rPr>
        <rFont val="Times New Roman"/>
        <b/>
        <color rgb="FF101726"/>
        <sz val="12.0"/>
      </rPr>
      <t xml:space="preserve"> CIRCULAR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</si>
  <si>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r>
      <rPr>
        <rFont val="Times New Roman"/>
        <color rgb="FF101726"/>
        <sz val="10.0"/>
      </rPr>
      <t>PLAFON LED</t>
    </r>
    <r>
      <rPr>
        <rFont val="Times New Roman"/>
        <b/>
        <color rgb="FF101726"/>
        <sz val="12.0"/>
      </rPr>
      <t xml:space="preserve"> APLICAR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4.0"/>
      </rPr>
      <t>18W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</si>
  <si>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APLICAR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4.0"/>
      </rPr>
      <t xml:space="preserve">18W </t>
    </r>
    <r>
      <rPr>
        <rFont val="Times New Roman"/>
        <b/>
        <color rgb="FF101726"/>
        <sz val="12.0"/>
      </rPr>
      <t>CUADRADO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</si>
  <si>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r>
      <rPr>
        <rFont val="Times New Roman"/>
        <color rgb="FF101726"/>
        <sz val="10.0"/>
      </rPr>
      <t xml:space="preserve">PANEL LED </t>
    </r>
    <r>
      <rPr>
        <rFont val="Times New Roman"/>
        <b/>
        <color rgb="FF101726"/>
        <sz val="12.0"/>
      </rPr>
      <t xml:space="preserve">EMBUTIR </t>
    </r>
    <r>
      <rPr>
        <rFont val="Times New Roman"/>
        <b/>
        <color rgb="FF101726"/>
        <sz val="14.0"/>
      </rPr>
      <t>18W</t>
    </r>
    <r>
      <rPr>
        <rFont val="Times New Roman"/>
        <b/>
        <color rgb="FF101726"/>
        <sz val="12.0"/>
      </rPr>
      <t xml:space="preserve"> CUADRADO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</si>
  <si>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 xml:space="preserve">24W </t>
    </r>
    <r>
      <rPr>
        <rFont val="Times New Roman"/>
        <b/>
        <color rgb="FF101726"/>
        <sz val="12.0"/>
      </rPr>
      <t>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</si>
  <si>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>24W</t>
    </r>
    <r>
      <rPr>
        <rFont val="Times New Roman"/>
        <b/>
        <color rgb="FF101726"/>
        <sz val="12.0"/>
      </rPr>
      <t xml:space="preserve"> CUADRADO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</si>
  <si>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r>
      <rPr>
        <rFont val="Times New Roman"/>
        <color rgb="FF101726"/>
        <sz val="10.0"/>
      </rPr>
      <t>PLAFON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APLICAR </t>
    </r>
    <r>
      <rPr>
        <rFont val="Times New Roman"/>
        <b/>
        <color rgb="FF101726"/>
        <sz val="14.0"/>
      </rPr>
      <t xml:space="preserve">24W </t>
    </r>
    <r>
      <rPr>
        <rFont val="Times New Roman"/>
        <b/>
        <color rgb="FF101726"/>
        <sz val="12.0"/>
      </rPr>
      <t>CIRCULAR 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</si>
  <si>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r>
      <rPr>
        <rFont val="Times New Roman"/>
        <color rgb="FF101726"/>
        <sz val="10.0"/>
      </rPr>
      <t>PANEL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EMBUTIR </t>
    </r>
    <r>
      <rPr>
        <rFont val="Times New Roman"/>
        <b/>
        <color rgb="FF101726"/>
        <sz val="14.0"/>
      </rPr>
      <t xml:space="preserve">24W </t>
    </r>
    <r>
      <rPr>
        <rFont val="Times New Roman"/>
        <b/>
        <color rgb="FF101726"/>
        <sz val="12.0"/>
      </rPr>
      <t>CUADRADO CALIDA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</si>
  <si>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r>
      <rPr>
        <rFont val="Times New Roman"/>
        <color rgb="FF101726"/>
        <sz val="10.0"/>
      </rPr>
      <t>PANEL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 xml:space="preserve">EMBUTIR </t>
    </r>
    <r>
      <rPr>
        <rFont val="Times New Roman"/>
        <b/>
        <color rgb="FF101726"/>
        <sz val="14.0"/>
      </rPr>
      <t>24W</t>
    </r>
    <r>
      <rPr>
        <rFont val="Times New Roman"/>
        <b/>
        <color rgb="FF101726"/>
        <sz val="12.0"/>
      </rPr>
      <t xml:space="preserve"> CUADRADO 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BLANCO - MACROLED</t>
    </r>
  </si>
  <si>
    <r>
      <rPr>
        <rFont val="Times New Roman"/>
        <color rgb="FF101726"/>
        <sz val="10.0"/>
      </rPr>
      <t>PANEL LED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EMBUTIR 24W CUADRO LUZ</t>
    </r>
    <r>
      <rPr>
        <rFont val="Times New Roman"/>
        <color rgb="FF101726"/>
        <sz val="12.0"/>
      </rPr>
      <t xml:space="preserve"> </t>
    </r>
    <r>
      <rPr>
        <rFont val="Times New Roman"/>
        <b/>
        <color rgb="FF101726"/>
        <sz val="12.0"/>
      </rPr>
      <t>DIA</t>
    </r>
    <r>
      <rPr>
        <rFont val="Times New Roman"/>
        <color rgb="FF101726"/>
        <sz val="12.0"/>
      </rPr>
      <t xml:space="preserve"> </t>
    </r>
    <r>
      <rPr>
        <rFont val="Times New Roman"/>
        <color rgb="FF101726"/>
        <sz val="10.0"/>
      </rPr>
      <t>MARCO NEGRO - MACROLED</t>
    </r>
  </si>
  <si>
    <t>DOLAR HOY</t>
  </si>
  <si>
    <t>Codigo</t>
  </si>
  <si>
    <t>I.M.S.A</t>
  </si>
  <si>
    <t>Cantidad M</t>
  </si>
  <si>
    <t>PRECIO USD</t>
  </si>
  <si>
    <t>PRECIO LISTA PESOS</t>
  </si>
  <si>
    <t>JPF100010CBR</t>
  </si>
  <si>
    <r>
      <rPr>
        <rFont val="Times New Roman"/>
        <color theme="1"/>
      </rPr>
      <t xml:space="preserve">Cable PLASTIX "CF" 1 mm² </t>
    </r>
    <r>
      <rPr>
        <rFont val="Times New Roman"/>
        <b/>
        <color theme="1"/>
      </rPr>
      <t>BLANCO</t>
    </r>
  </si>
  <si>
    <t>JPF100010CNR</t>
  </si>
  <si>
    <r>
      <rPr>
        <rFont val="Times New Roman"/>
        <color theme="1"/>
      </rPr>
      <t xml:space="preserve">Cable PLASTIX "CF" 1 mm² </t>
    </r>
    <r>
      <rPr>
        <rFont val="Times New Roman"/>
        <b/>
        <color theme="1"/>
      </rPr>
      <t>NEGRO</t>
    </r>
  </si>
  <si>
    <t>JPF100010CMR</t>
  </si>
  <si>
    <r>
      <rPr>
        <rFont val="Times New Roman"/>
        <color theme="1"/>
      </rPr>
      <t xml:space="preserve">Cable PLASTIX "CF" 1 mm² </t>
    </r>
    <r>
      <rPr>
        <rFont val="Times New Roman"/>
        <b/>
        <color theme="1"/>
      </rPr>
      <t>MARRON</t>
    </r>
  </si>
  <si>
    <t>JPF100010CRR</t>
  </si>
  <si>
    <r>
      <rPr>
        <rFont val="Times New Roman"/>
        <color theme="1"/>
      </rPr>
      <t xml:space="preserve">Cable PLASTIX "CF" 1 mm² </t>
    </r>
    <r>
      <rPr>
        <rFont val="Times New Roman"/>
        <b/>
        <color theme="1"/>
      </rPr>
      <t>ROJO</t>
    </r>
  </si>
  <si>
    <t>JPF100010CXR</t>
  </si>
  <si>
    <r>
      <rPr>
        <rFont val="Times New Roman"/>
        <color theme="1"/>
      </rPr>
      <t xml:space="preserve">Cable PLASTIX "CF" 1 mm² </t>
    </r>
    <r>
      <rPr>
        <rFont val="Times New Roman"/>
        <b/>
        <color theme="1"/>
      </rPr>
      <t>VERDE/AMARILLO</t>
    </r>
  </si>
  <si>
    <t>JPF100010CC****</t>
  </si>
  <si>
    <r>
      <rPr>
        <rFont val="Times New Roman"/>
        <color theme="1"/>
      </rPr>
      <t xml:space="preserve">Cable PLASTIX "CF" 1 mm² </t>
    </r>
    <r>
      <rPr>
        <rFont val="Times New Roman"/>
        <b/>
        <color theme="1"/>
      </rPr>
      <t>CELESTE</t>
    </r>
  </si>
  <si>
    <t>JPF100015CBR</t>
  </si>
  <si>
    <r>
      <rPr>
        <rFont val="Times New Roman"/>
        <color theme="1"/>
      </rPr>
      <t xml:space="preserve">Cable PLASTIX "CF" 1,50 mm² </t>
    </r>
    <r>
      <rPr>
        <rFont val="Times New Roman"/>
        <b/>
        <color theme="1"/>
      </rPr>
      <t>BLANCO</t>
    </r>
  </si>
  <si>
    <t>JPF100015CNR</t>
  </si>
  <si>
    <r>
      <rPr>
        <rFont val="Times New Roman"/>
        <color theme="1"/>
      </rPr>
      <t xml:space="preserve">Cable PLASTIX "CF" 1,50 mm² </t>
    </r>
    <r>
      <rPr>
        <rFont val="Times New Roman"/>
        <b/>
        <color theme="1"/>
      </rPr>
      <t>NEGRO</t>
    </r>
  </si>
  <si>
    <t>JPF100015CMR</t>
  </si>
  <si>
    <r>
      <rPr>
        <rFont val="Times New Roman"/>
        <color theme="1"/>
      </rPr>
      <t xml:space="preserve">Cable PLASTIX "CF" 1,50 mm² </t>
    </r>
    <r>
      <rPr>
        <rFont val="Times New Roman"/>
        <b/>
        <color theme="1"/>
      </rPr>
      <t>MARRON</t>
    </r>
  </si>
  <si>
    <t>JPF100015CRR</t>
  </si>
  <si>
    <r>
      <rPr>
        <rFont val="Times New Roman"/>
        <color theme="1"/>
      </rPr>
      <t xml:space="preserve">Cable PLASTIX "CF" 1,50 mm² </t>
    </r>
    <r>
      <rPr>
        <rFont val="Times New Roman"/>
        <b/>
        <color theme="1"/>
      </rPr>
      <t>ROJO</t>
    </r>
  </si>
  <si>
    <t>JPF100015CXR</t>
  </si>
  <si>
    <r>
      <rPr>
        <rFont val="Times New Roman"/>
        <color theme="1"/>
      </rPr>
      <t xml:space="preserve">Cable PLASTIX "CF" 1,50 mm² </t>
    </r>
    <r>
      <rPr>
        <rFont val="Times New Roman"/>
        <b/>
        <color theme="1"/>
      </rPr>
      <t>VERDE/AMARILLO</t>
    </r>
  </si>
  <si>
    <t>JPF100015CC**</t>
  </si>
  <si>
    <r>
      <rPr>
        <rFont val="Times New Roman"/>
        <color theme="1"/>
      </rPr>
      <t xml:space="preserve">Cable PLASTIX "CF" 1,50 mm² </t>
    </r>
    <r>
      <rPr>
        <rFont val="Times New Roman"/>
        <b/>
        <color theme="1"/>
      </rPr>
      <t>CELESTE</t>
    </r>
  </si>
  <si>
    <t>JPF100025CBR</t>
  </si>
  <si>
    <r>
      <rPr>
        <rFont val="Times New Roman"/>
        <color theme="1"/>
      </rPr>
      <t xml:space="preserve">Cable PLASTIX "CF" 2,50 mm² </t>
    </r>
    <r>
      <rPr>
        <rFont val="Times New Roman"/>
        <b/>
        <color theme="1"/>
      </rPr>
      <t>BLANCO</t>
    </r>
  </si>
  <si>
    <t>JPF100025CNR</t>
  </si>
  <si>
    <r>
      <rPr>
        <rFont val="Times New Roman"/>
        <color theme="1"/>
      </rPr>
      <t xml:space="preserve">Cable PLASTIX "CF" 2,50 mm² </t>
    </r>
    <r>
      <rPr>
        <rFont val="Times New Roman"/>
        <b/>
        <color theme="1"/>
      </rPr>
      <t>NEGRO</t>
    </r>
  </si>
  <si>
    <t>JPF100025CMR</t>
  </si>
  <si>
    <r>
      <rPr>
        <rFont val="Times New Roman"/>
        <color theme="1"/>
      </rPr>
      <t xml:space="preserve">Cable PLASTIX "CF" 2,50 mm² </t>
    </r>
    <r>
      <rPr>
        <rFont val="Times New Roman"/>
        <b/>
        <color theme="1"/>
      </rPr>
      <t>MARRON</t>
    </r>
  </si>
  <si>
    <t>JPF100025CRR</t>
  </si>
  <si>
    <r>
      <rPr>
        <rFont val="Times New Roman"/>
        <color theme="1"/>
      </rPr>
      <t xml:space="preserve">Cable PLASTIX "CF" 2,50 mm² </t>
    </r>
    <r>
      <rPr>
        <rFont val="Times New Roman"/>
        <b/>
        <color theme="1"/>
      </rPr>
      <t>ROJO</t>
    </r>
  </si>
  <si>
    <t>JPF100025CCR</t>
  </si>
  <si>
    <r>
      <rPr>
        <rFont val="Times New Roman"/>
        <color theme="1"/>
      </rPr>
      <t xml:space="preserve">Cable PLASTIX "CF" 2,50 mm² </t>
    </r>
    <r>
      <rPr>
        <rFont val="Times New Roman"/>
        <b/>
        <color theme="1"/>
      </rPr>
      <t>CELESTE</t>
    </r>
  </si>
  <si>
    <t>JPF100025CXR</t>
  </si>
  <si>
    <r>
      <rPr>
        <rFont val="Times New Roman"/>
        <color theme="1"/>
      </rPr>
      <t xml:space="preserve">Cable PLASTIX "CF" 2,50 mm² </t>
    </r>
    <r>
      <rPr>
        <rFont val="Times New Roman"/>
        <b/>
        <color theme="1"/>
      </rPr>
      <t>VERDE/AMARILLO</t>
    </r>
  </si>
  <si>
    <t>JPF100040CBR</t>
  </si>
  <si>
    <r>
      <rPr>
        <rFont val="Times New Roman"/>
        <color theme="1"/>
      </rPr>
      <t xml:space="preserve">Cable PLASTIX "CF" 4 mm² </t>
    </r>
    <r>
      <rPr>
        <rFont val="Times New Roman"/>
        <b/>
        <color theme="1"/>
      </rPr>
      <t>BLANCO</t>
    </r>
  </si>
  <si>
    <t>JPF100040CNR</t>
  </si>
  <si>
    <r>
      <rPr>
        <rFont val="Times New Roman"/>
        <color theme="1"/>
      </rPr>
      <t xml:space="preserve">Cable PLASTIX "CF" 4 mm² </t>
    </r>
    <r>
      <rPr>
        <rFont val="Times New Roman"/>
        <b/>
        <color theme="1"/>
      </rPr>
      <t>NEGRO</t>
    </r>
  </si>
  <si>
    <t>JPF100040CMR</t>
  </si>
  <si>
    <r>
      <rPr>
        <rFont val="Times New Roman"/>
        <color theme="1"/>
      </rPr>
      <t xml:space="preserve">Cable PLASTIX "CF" 4 mm² </t>
    </r>
    <r>
      <rPr>
        <rFont val="Times New Roman"/>
        <b/>
        <color theme="1"/>
      </rPr>
      <t>MARRON</t>
    </r>
  </si>
  <si>
    <t>JPF100040CRR</t>
  </si>
  <si>
    <r>
      <rPr>
        <rFont val="Times New Roman"/>
        <color theme="1"/>
      </rPr>
      <t xml:space="preserve">Cable PLASTIX "CF" 4 mm² </t>
    </r>
    <r>
      <rPr>
        <rFont val="Times New Roman"/>
        <b/>
        <color theme="1"/>
      </rPr>
      <t>ROJO</t>
    </r>
  </si>
  <si>
    <t>JPF100040CXR</t>
  </si>
  <si>
    <r>
      <rPr>
        <rFont val="Times New Roman"/>
        <color theme="1"/>
      </rPr>
      <t xml:space="preserve">Cable PLASTIX "CF" 4 mm² </t>
    </r>
    <r>
      <rPr>
        <rFont val="Times New Roman"/>
        <b/>
        <color theme="1"/>
      </rPr>
      <t>VERDE/AMARILLO</t>
    </r>
  </si>
  <si>
    <t>JPF100040CC**</t>
  </si>
  <si>
    <r>
      <rPr>
        <rFont val="Times New Roman"/>
        <color theme="1"/>
      </rPr>
      <t xml:space="preserve">Cable PLASTIX "CF" 4 mm² </t>
    </r>
    <r>
      <rPr>
        <rFont val="Times New Roman"/>
        <b/>
        <color theme="1"/>
      </rPr>
      <t>CELESTE</t>
    </r>
  </si>
  <si>
    <t>JPF100060CBR</t>
  </si>
  <si>
    <r>
      <rPr>
        <rFont val="Times New Roman"/>
        <color theme="1"/>
      </rPr>
      <t xml:space="preserve">Cable PLASTIX "CF" 6 mm² </t>
    </r>
    <r>
      <rPr>
        <rFont val="Times New Roman"/>
        <b/>
        <color theme="1"/>
      </rPr>
      <t>BLANCO</t>
    </r>
  </si>
  <si>
    <t>JPF100060CNR</t>
  </si>
  <si>
    <r>
      <rPr>
        <rFont val="Times New Roman"/>
        <color theme="1"/>
      </rPr>
      <t xml:space="preserve">Cable PLASTIX "CF" 6 mm² </t>
    </r>
    <r>
      <rPr>
        <rFont val="Times New Roman"/>
        <b/>
        <color theme="1"/>
      </rPr>
      <t>NEGRO</t>
    </r>
  </si>
  <si>
    <t>JPF100060CMR</t>
  </si>
  <si>
    <r>
      <rPr>
        <rFont val="Times New Roman"/>
        <color theme="1"/>
      </rPr>
      <t xml:space="preserve">Cable PLASTIX "CF" 6 mm² </t>
    </r>
    <r>
      <rPr>
        <rFont val="Times New Roman"/>
        <b/>
        <color theme="1"/>
      </rPr>
      <t>MARRON</t>
    </r>
  </si>
  <si>
    <t>JPF100060CRR</t>
  </si>
  <si>
    <r>
      <rPr>
        <rFont val="Times New Roman"/>
        <color theme="1"/>
      </rPr>
      <t xml:space="preserve">Cable PLASTIX "CF" 6 mm² </t>
    </r>
    <r>
      <rPr>
        <rFont val="Times New Roman"/>
        <b/>
        <color theme="1"/>
      </rPr>
      <t>ROJO</t>
    </r>
  </si>
  <si>
    <t>JPF100060CCR</t>
  </si>
  <si>
    <r>
      <rPr>
        <rFont val="Times New Roman"/>
        <color theme="1"/>
      </rPr>
      <t xml:space="preserve">Cable PLASTIX "CF" 6 mm² </t>
    </r>
    <r>
      <rPr>
        <rFont val="Times New Roman"/>
        <b/>
        <color theme="1"/>
      </rPr>
      <t>CELESTE</t>
    </r>
  </si>
  <si>
    <t>JPF100060CXR</t>
  </si>
  <si>
    <r>
      <rPr>
        <rFont val="Times New Roman"/>
        <color theme="1"/>
      </rPr>
      <t xml:space="preserve">Cable PLASTIX "CF" 6 mm² </t>
    </r>
    <r>
      <rPr>
        <rFont val="Times New Roman"/>
        <b/>
        <color theme="1"/>
      </rPr>
      <t>VERDE/AMARILLO</t>
    </r>
  </si>
  <si>
    <t>JPF100100CRR</t>
  </si>
  <si>
    <r>
      <rPr>
        <rFont val="Times New Roman"/>
        <color theme="1"/>
      </rPr>
      <t xml:space="preserve">Cable PLASTIX "CF" 10 mm² </t>
    </r>
    <r>
      <rPr>
        <rFont val="Times New Roman"/>
        <b/>
        <color theme="1"/>
      </rPr>
      <t>ROJO</t>
    </r>
  </si>
  <si>
    <t>JPF100100CB**</t>
  </si>
  <si>
    <r>
      <rPr>
        <rFont val="Times New Roman"/>
        <color theme="1"/>
      </rPr>
      <t xml:space="preserve">Cable PLASTIX "CF" 10 mm² </t>
    </r>
    <r>
      <rPr>
        <rFont val="Times New Roman"/>
        <b/>
        <color theme="1"/>
      </rPr>
      <t>BLANCO</t>
    </r>
  </si>
  <si>
    <t>JPR2000100N**</t>
  </si>
  <si>
    <r>
      <rPr>
        <rFont val="Times New Roman"/>
        <color theme="1"/>
      </rPr>
      <t xml:space="preserve">Cable PLASTIX "R" 2 x 1 mm² </t>
    </r>
    <r>
      <rPr>
        <rFont val="Times New Roman"/>
        <b/>
        <color theme="1"/>
      </rPr>
      <t>NEGRO</t>
    </r>
  </si>
  <si>
    <t>JPR2000150NR</t>
  </si>
  <si>
    <r>
      <rPr>
        <rFont val="Times New Roman"/>
        <color theme="1"/>
      </rPr>
      <t xml:space="preserve">Cable PLASTIX "R" 2 x 1,50 mm² </t>
    </r>
    <r>
      <rPr>
        <rFont val="Times New Roman"/>
        <b/>
        <color theme="1"/>
      </rPr>
      <t>NEGRO</t>
    </r>
  </si>
  <si>
    <t>JPR2000250NR</t>
  </si>
  <si>
    <r>
      <rPr>
        <rFont val="Times New Roman"/>
        <color theme="1"/>
      </rPr>
      <t xml:space="preserve">Cable PLASTIX "R" 2 x 2,50 mm² </t>
    </r>
    <r>
      <rPr>
        <rFont val="Times New Roman"/>
        <b/>
        <color theme="1"/>
      </rPr>
      <t>NEGRO</t>
    </r>
  </si>
  <si>
    <t>JPR3000150NR</t>
  </si>
  <si>
    <r>
      <rPr>
        <rFont val="Times New Roman"/>
        <color theme="1"/>
      </rPr>
      <t xml:space="preserve">Cable PLASTIX "R" 3 x 1,50 mm² </t>
    </r>
    <r>
      <rPr>
        <rFont val="Times New Roman"/>
        <b/>
        <color theme="1"/>
      </rPr>
      <t>NEGRO</t>
    </r>
  </si>
  <si>
    <t>JPR3000250NR</t>
  </si>
  <si>
    <r>
      <rPr>
        <rFont val="Times New Roman"/>
        <color theme="1"/>
      </rPr>
      <t xml:space="preserve">Cable PLASTIX "R" 3 x 2,50 mm² </t>
    </r>
    <r>
      <rPr>
        <rFont val="Times New Roman"/>
        <b/>
        <color theme="1"/>
      </rPr>
      <t>NEGRO</t>
    </r>
  </si>
  <si>
    <t>K003000250TB</t>
  </si>
  <si>
    <t>Cable PAYTON Cu PVC 1 kV 3 x 2,50 mm²</t>
  </si>
  <si>
    <t>K003000400TB</t>
  </si>
  <si>
    <t>Cable PAYTON Cu PVC 1 kV 3 x 4 mm²</t>
  </si>
  <si>
    <t>K002000250TB</t>
  </si>
  <si>
    <t>Cable PAYTON Cu PVC 1 kV 2 x 2,50 mm²</t>
  </si>
  <si>
    <t>K003000150TB</t>
  </si>
  <si>
    <t>Cable PAYTON Cu PVC 1 kV 3 x 1,50 mm²</t>
  </si>
  <si>
    <t>IPI3105075GU</t>
  </si>
  <si>
    <t>Prolongador Eléctrico IMSA de   5 m Gris **</t>
  </si>
  <si>
    <r>
      <rPr>
        <rFont val="Times New Roman"/>
        <color theme="1"/>
      </rPr>
      <t xml:space="preserve">Cable PLASTIX "CF" 1 mm² </t>
    </r>
    <r>
      <rPr>
        <rFont val="Times New Roman"/>
        <b/>
        <color theme="1"/>
      </rPr>
      <t>BLANCO</t>
    </r>
  </si>
  <si>
    <r>
      <rPr>
        <rFont val="Times New Roman"/>
        <color theme="1"/>
      </rPr>
      <t xml:space="preserve">Cable PLASTIX "CF" 1 mm² </t>
    </r>
    <r>
      <rPr>
        <rFont val="Times New Roman"/>
        <b/>
        <color theme="1"/>
      </rPr>
      <t>NEGRO</t>
    </r>
  </si>
  <si>
    <r>
      <rPr>
        <rFont val="Times New Roman"/>
        <color theme="1"/>
      </rPr>
      <t xml:space="preserve">Cable PLASTIX "CF" 1 mm² </t>
    </r>
    <r>
      <rPr>
        <rFont val="Times New Roman"/>
        <b/>
        <color theme="1"/>
      </rPr>
      <t>MARRON</t>
    </r>
  </si>
  <si>
    <r>
      <rPr>
        <rFont val="Times New Roman"/>
        <color theme="1"/>
      </rPr>
      <t xml:space="preserve">Cable PLASTIX "CF" 1 mm² </t>
    </r>
    <r>
      <rPr>
        <rFont val="Times New Roman"/>
        <b/>
        <color theme="1"/>
      </rPr>
      <t>ROJO</t>
    </r>
  </si>
  <si>
    <r>
      <rPr>
        <rFont val="Times New Roman"/>
        <color theme="1"/>
      </rPr>
      <t xml:space="preserve">Cable PLASTIX "CF" 1 mm² </t>
    </r>
    <r>
      <rPr>
        <rFont val="Times New Roman"/>
        <b/>
        <color theme="1"/>
      </rPr>
      <t>VERDE/AMARILLO</t>
    </r>
  </si>
  <si>
    <r>
      <rPr>
        <rFont val="Times New Roman"/>
        <color theme="1"/>
      </rPr>
      <t xml:space="preserve">Cable PLASTIX "CF" 1 mm² </t>
    </r>
    <r>
      <rPr>
        <rFont val="Times New Roman"/>
        <b/>
        <color theme="1"/>
      </rPr>
      <t>CELESTE</t>
    </r>
  </si>
  <si>
    <r>
      <rPr>
        <rFont val="Times New Roman"/>
        <color theme="1"/>
      </rPr>
      <t xml:space="preserve">Cable PLASTIX "CF" 1,50 mm² </t>
    </r>
    <r>
      <rPr>
        <rFont val="Times New Roman"/>
        <b/>
        <color theme="1"/>
      </rPr>
      <t>BLANCO</t>
    </r>
  </si>
  <si>
    <r>
      <rPr>
        <rFont val="Times New Roman"/>
        <color theme="1"/>
      </rPr>
      <t xml:space="preserve">Cable PLASTIX "CF" 1,50 mm² </t>
    </r>
    <r>
      <rPr>
        <rFont val="Times New Roman"/>
        <b/>
        <color theme="1"/>
      </rPr>
      <t>NEGRO</t>
    </r>
  </si>
  <si>
    <r>
      <rPr>
        <rFont val="Times New Roman"/>
        <color theme="1"/>
      </rPr>
      <t xml:space="preserve">Cable PLASTIX "CF" 1,50 mm² </t>
    </r>
    <r>
      <rPr>
        <rFont val="Times New Roman"/>
        <b/>
        <color theme="1"/>
      </rPr>
      <t>MARRON</t>
    </r>
  </si>
  <si>
    <r>
      <rPr>
        <rFont val="Times New Roman"/>
        <color theme="1"/>
      </rPr>
      <t xml:space="preserve">Cable PLASTIX "CF" 1,50 mm² </t>
    </r>
    <r>
      <rPr>
        <rFont val="Times New Roman"/>
        <b/>
        <color theme="1"/>
      </rPr>
      <t>ROJO</t>
    </r>
  </si>
  <si>
    <r>
      <rPr>
        <rFont val="Times New Roman"/>
        <color theme="1"/>
      </rPr>
      <t xml:space="preserve">Cable PLASTIX "CF" 1,50 mm² </t>
    </r>
    <r>
      <rPr>
        <rFont val="Times New Roman"/>
        <b/>
        <color theme="1"/>
      </rPr>
      <t>VERDE/AMARILLO</t>
    </r>
  </si>
  <si>
    <r>
      <rPr>
        <rFont val="Times New Roman"/>
        <color theme="1"/>
      </rPr>
      <t xml:space="preserve">Cable PLASTIX "CF" 1,50 mm² </t>
    </r>
    <r>
      <rPr>
        <rFont val="Times New Roman"/>
        <b/>
        <color theme="1"/>
      </rPr>
      <t>CELESTE</t>
    </r>
  </si>
  <si>
    <r>
      <rPr>
        <rFont val="Times New Roman"/>
        <color theme="1"/>
      </rPr>
      <t xml:space="preserve">Cable PLASTIX "CF" 2,50 mm² </t>
    </r>
    <r>
      <rPr>
        <rFont val="Times New Roman"/>
        <b/>
        <color theme="1"/>
      </rPr>
      <t>BLANCO</t>
    </r>
  </si>
  <si>
    <r>
      <rPr>
        <rFont val="Times New Roman"/>
        <color theme="1"/>
      </rPr>
      <t xml:space="preserve">Cable PLASTIX "CF" 2,50 mm² </t>
    </r>
    <r>
      <rPr>
        <rFont val="Times New Roman"/>
        <b/>
        <color theme="1"/>
      </rPr>
      <t>NEGRO</t>
    </r>
  </si>
  <si>
    <r>
      <rPr>
        <rFont val="Times New Roman"/>
        <color theme="1"/>
      </rPr>
      <t xml:space="preserve">Cable PLASTIX "CF" 2,50 mm² </t>
    </r>
    <r>
      <rPr>
        <rFont val="Times New Roman"/>
        <b/>
        <color theme="1"/>
      </rPr>
      <t>MARRON</t>
    </r>
  </si>
  <si>
    <r>
      <rPr>
        <rFont val="Times New Roman"/>
        <color theme="1"/>
      </rPr>
      <t xml:space="preserve">Cable PLASTIX "CF" 2,50 mm² </t>
    </r>
    <r>
      <rPr>
        <rFont val="Times New Roman"/>
        <b/>
        <color theme="1"/>
      </rPr>
      <t>ROJO</t>
    </r>
  </si>
  <si>
    <r>
      <rPr>
        <rFont val="Times New Roman"/>
        <color theme="1"/>
      </rPr>
      <t xml:space="preserve">Cable PLASTIX "CF" 2,50 mm² </t>
    </r>
    <r>
      <rPr>
        <rFont val="Times New Roman"/>
        <b/>
        <color theme="1"/>
      </rPr>
      <t>CELESTE</t>
    </r>
  </si>
  <si>
    <r>
      <rPr>
        <rFont val="Times New Roman"/>
        <color theme="1"/>
      </rPr>
      <t xml:space="preserve">Cable PLASTIX "CF" 2,50 mm² </t>
    </r>
    <r>
      <rPr>
        <rFont val="Times New Roman"/>
        <b/>
        <color theme="1"/>
      </rPr>
      <t>VERDE/AMARILLO</t>
    </r>
  </si>
  <si>
    <r>
      <rPr>
        <rFont val="Times New Roman"/>
        <color theme="1"/>
      </rPr>
      <t xml:space="preserve">Cable PLASTIX "CF" 4 mm² </t>
    </r>
    <r>
      <rPr>
        <rFont val="Times New Roman"/>
        <b/>
        <color theme="1"/>
      </rPr>
      <t>BLANCO</t>
    </r>
  </si>
  <si>
    <r>
      <rPr>
        <rFont val="Times New Roman"/>
        <color theme="1"/>
      </rPr>
      <t xml:space="preserve">Cable PLASTIX "CF" 4 mm² </t>
    </r>
    <r>
      <rPr>
        <rFont val="Times New Roman"/>
        <b/>
        <color theme="1"/>
      </rPr>
      <t>NEGRO</t>
    </r>
  </si>
  <si>
    <r>
      <rPr>
        <rFont val="Times New Roman"/>
        <color theme="1"/>
      </rPr>
      <t xml:space="preserve">Cable PLASTIX "CF" 4 mm² </t>
    </r>
    <r>
      <rPr>
        <rFont val="Times New Roman"/>
        <b/>
        <color theme="1"/>
      </rPr>
      <t>MARRON</t>
    </r>
  </si>
  <si>
    <r>
      <rPr>
        <rFont val="Times New Roman"/>
        <color theme="1"/>
      </rPr>
      <t xml:space="preserve">Cable PLASTIX "CF" 4 mm² </t>
    </r>
    <r>
      <rPr>
        <rFont val="Times New Roman"/>
        <b/>
        <color theme="1"/>
      </rPr>
      <t>ROJO</t>
    </r>
  </si>
  <si>
    <r>
      <rPr>
        <rFont val="Times New Roman"/>
        <color theme="1"/>
      </rPr>
      <t xml:space="preserve">Cable PLASTIX "CF" 4 mm² </t>
    </r>
    <r>
      <rPr>
        <rFont val="Times New Roman"/>
        <b/>
        <color theme="1"/>
      </rPr>
      <t>VERDE/AMARILLO</t>
    </r>
  </si>
  <si>
    <r>
      <rPr>
        <rFont val="Times New Roman"/>
        <color theme="1"/>
      </rPr>
      <t xml:space="preserve">Cable PLASTIX "CF" 4 mm² </t>
    </r>
    <r>
      <rPr>
        <rFont val="Times New Roman"/>
        <b/>
        <color theme="1"/>
      </rPr>
      <t>CELESTE</t>
    </r>
  </si>
  <si>
    <r>
      <rPr>
        <rFont val="Times New Roman"/>
        <color theme="1"/>
      </rPr>
      <t xml:space="preserve">Cable PLASTIX "CF" 6 mm² </t>
    </r>
    <r>
      <rPr>
        <rFont val="Times New Roman"/>
        <b/>
        <color theme="1"/>
      </rPr>
      <t>BLANCO</t>
    </r>
  </si>
  <si>
    <r>
      <rPr>
        <rFont val="Times New Roman"/>
        <color theme="1"/>
      </rPr>
      <t xml:space="preserve">Cable PLASTIX "CF" 6 mm² </t>
    </r>
    <r>
      <rPr>
        <rFont val="Times New Roman"/>
        <b/>
        <color theme="1"/>
      </rPr>
      <t>NEGRO</t>
    </r>
  </si>
  <si>
    <r>
      <rPr>
        <rFont val="Times New Roman"/>
        <color theme="1"/>
      </rPr>
      <t xml:space="preserve">Cable PLASTIX "CF" 6 mm² </t>
    </r>
    <r>
      <rPr>
        <rFont val="Times New Roman"/>
        <b/>
        <color theme="1"/>
      </rPr>
      <t>MARRON</t>
    </r>
  </si>
  <si>
    <r>
      <rPr>
        <rFont val="Times New Roman"/>
        <color theme="1"/>
      </rPr>
      <t xml:space="preserve">Cable PLASTIX "CF" 6 mm² </t>
    </r>
    <r>
      <rPr>
        <rFont val="Times New Roman"/>
        <b/>
        <color theme="1"/>
      </rPr>
      <t>ROJO</t>
    </r>
  </si>
  <si>
    <r>
      <rPr>
        <rFont val="Times New Roman"/>
        <color theme="1"/>
      </rPr>
      <t xml:space="preserve">Cable PLASTIX "CF" 6 mm² </t>
    </r>
    <r>
      <rPr>
        <rFont val="Times New Roman"/>
        <b/>
        <color theme="1"/>
      </rPr>
      <t>CELESTE</t>
    </r>
  </si>
  <si>
    <r>
      <rPr>
        <rFont val="Times New Roman"/>
        <color theme="1"/>
      </rPr>
      <t xml:space="preserve">Cable PLASTIX "CF" 6 mm² </t>
    </r>
    <r>
      <rPr>
        <rFont val="Times New Roman"/>
        <b/>
        <color theme="1"/>
      </rPr>
      <t>VERDE/AMARILLO</t>
    </r>
  </si>
  <si>
    <r>
      <rPr>
        <rFont val="Times New Roman"/>
        <color theme="1"/>
      </rPr>
      <t xml:space="preserve">Cable PLASTIX "CF" 10 mm² </t>
    </r>
    <r>
      <rPr>
        <rFont val="Times New Roman"/>
        <b/>
        <color theme="1"/>
      </rPr>
      <t>ROJO</t>
    </r>
  </si>
  <si>
    <r>
      <rPr>
        <rFont val="Times New Roman"/>
        <color theme="1"/>
      </rPr>
      <t xml:space="preserve">Cable PLASTIX "CF" 10 mm² </t>
    </r>
    <r>
      <rPr>
        <rFont val="Times New Roman"/>
        <b/>
        <color theme="1"/>
      </rPr>
      <t>BLANCO</t>
    </r>
  </si>
  <si>
    <r>
      <rPr>
        <rFont val="Times New Roman"/>
        <color theme="1"/>
      </rPr>
      <t xml:space="preserve">Cable PLASTIX "R" 2 x 1 mm² </t>
    </r>
    <r>
      <rPr>
        <rFont val="Times New Roman"/>
        <b/>
        <color theme="1"/>
      </rPr>
      <t>NEGRO</t>
    </r>
  </si>
  <si>
    <r>
      <rPr>
        <rFont val="Times New Roman"/>
        <color theme="1"/>
      </rPr>
      <t xml:space="preserve">Cable PLASTIX "R" 2 x 1,50 mm² </t>
    </r>
    <r>
      <rPr>
        <rFont val="Times New Roman"/>
        <b/>
        <color theme="1"/>
      </rPr>
      <t>NEGRO</t>
    </r>
  </si>
  <si>
    <r>
      <rPr>
        <rFont val="Times New Roman"/>
        <color theme="1"/>
      </rPr>
      <t xml:space="preserve">Cable PLASTIX "R" 2 x 2,50 mm² </t>
    </r>
    <r>
      <rPr>
        <rFont val="Times New Roman"/>
        <b/>
        <color theme="1"/>
      </rPr>
      <t>NEGRO</t>
    </r>
  </si>
  <si>
    <r>
      <rPr>
        <rFont val="Times New Roman"/>
        <color theme="1"/>
      </rPr>
      <t xml:space="preserve">Cable PLASTIX "R" 3 x 1,50 mm² </t>
    </r>
    <r>
      <rPr>
        <rFont val="Times New Roman"/>
        <b/>
        <color theme="1"/>
      </rPr>
      <t>NEGRO</t>
    </r>
  </si>
  <si>
    <r>
      <rPr>
        <rFont val="Times New Roman"/>
        <color theme="1"/>
      </rPr>
      <t xml:space="preserve">Cable PLASTIX "R" 3 x 2,50 mm² </t>
    </r>
    <r>
      <rPr>
        <rFont val="Times New Roman"/>
        <b/>
        <color theme="1"/>
      </rPr>
      <t>NEGRO</t>
    </r>
  </si>
  <si>
    <t>BORNER</t>
  </si>
  <si>
    <t>Cod.</t>
  </si>
  <si>
    <r>
      <rPr>
        <rFont val="Times New Roman"/>
        <b/>
        <color theme="1"/>
        <sz val="14.0"/>
      </rPr>
      <t>Despacho Nro.</t>
    </r>
  </si>
  <si>
    <r>
      <rPr>
        <rFont val="Times New Roman"/>
        <b/>
        <color theme="1"/>
        <sz val="14.0"/>
      </rPr>
      <t>U.M.</t>
    </r>
  </si>
  <si>
    <r>
      <rPr>
        <rFont val="Times New Roman"/>
        <b/>
        <color theme="1"/>
        <sz val="14.0"/>
      </rPr>
      <t>P.Unit. Dcto.</t>
    </r>
  </si>
  <si>
    <r>
      <rPr>
        <rFont val="Times New Roman"/>
        <b/>
        <color theme="1"/>
        <sz val="14.0"/>
      </rPr>
      <t>Importe</t>
    </r>
  </si>
  <si>
    <r>
      <rPr>
        <rFont val="Times New Roman"/>
        <b/>
        <color rgb="FF000000"/>
        <sz val="14.0"/>
      </rPr>
      <t xml:space="preserve">|
</t>
    </r>
    <r>
      <rPr>
        <rFont val="Times New Roman"/>
        <b/>
        <color rgb="FF000000"/>
        <sz val="14.0"/>
      </rPr>
      <t>|</t>
    </r>
  </si>
  <si>
    <t>UNITARIO SIN IVA</t>
  </si>
  <si>
    <t>UNITARIO CON IVA</t>
  </si>
  <si>
    <r>
      <rPr>
        <rFont val="Times New Roman"/>
        <color theme="1"/>
        <sz val="14.0"/>
      </rPr>
      <t>PF2.5</t>
    </r>
  </si>
  <si>
    <r>
      <rPr>
        <rFont val="Times New Roman"/>
        <color theme="1"/>
        <sz val="14.0"/>
      </rPr>
      <t>TUBO TERMOCONT.DIAM.2,5 MM</t>
    </r>
  </si>
  <si>
    <r>
      <rPr>
        <rFont val="Times New Roman"/>
        <color theme="1"/>
        <sz val="14.0"/>
      </rPr>
      <t>24001IC04070829T   UNI</t>
    </r>
  </si>
  <si>
    <r>
      <rPr>
        <rFont val="Times New Roman"/>
        <color theme="1"/>
        <sz val="14.0"/>
      </rPr>
      <t>450.30 40.00</t>
    </r>
  </si>
  <si>
    <r>
      <rPr>
        <rFont val="Times New Roman"/>
        <color theme="1"/>
        <sz val="14.0"/>
      </rPr>
      <t>PF3.5</t>
    </r>
  </si>
  <si>
    <r>
      <rPr>
        <rFont val="Times New Roman"/>
        <color theme="1"/>
        <sz val="14.0"/>
      </rPr>
      <t>TUBO TERMOCONT.DIAM.3,5 MM</t>
    </r>
  </si>
  <si>
    <r>
      <rPr>
        <rFont val="Times New Roman"/>
        <color theme="1"/>
        <sz val="14.0"/>
      </rPr>
      <t>24001IC04070829T   UNI</t>
    </r>
  </si>
  <si>
    <r>
      <rPr>
        <rFont val="Times New Roman"/>
        <color theme="1"/>
        <sz val="14.0"/>
      </rPr>
      <t>521.40 40.00</t>
    </r>
  </si>
  <si>
    <r>
      <rPr>
        <rFont val="Times New Roman"/>
        <color theme="1"/>
        <sz val="14.0"/>
      </rPr>
      <t>PF5.0</t>
    </r>
  </si>
  <si>
    <t>TUBO TERMOCONT.DIAM.5,0 MM</t>
  </si>
  <si>
    <r>
      <rPr>
        <rFont val="Times New Roman"/>
        <color theme="1"/>
        <sz val="14.0"/>
      </rPr>
      <t>24001IC04164362P   UNI</t>
    </r>
  </si>
  <si>
    <r>
      <rPr>
        <rFont val="Times New Roman"/>
        <color theme="1"/>
        <sz val="14.0"/>
      </rPr>
      <t>687.30 40.00</t>
    </r>
  </si>
  <si>
    <r>
      <rPr>
        <rFont val="Times New Roman"/>
        <color theme="1"/>
        <sz val="14.0"/>
      </rPr>
      <t>PF7.0</t>
    </r>
  </si>
  <si>
    <r>
      <rPr>
        <rFont val="Times New Roman"/>
        <color theme="1"/>
        <sz val="14.0"/>
      </rPr>
      <t>TUBO TERMOCONT.DIAM.7.0 MM</t>
    </r>
  </si>
  <si>
    <r>
      <rPr>
        <rFont val="Times New Roman"/>
        <color theme="1"/>
        <sz val="14.0"/>
      </rPr>
      <t>24001IC04164362P   UNI</t>
    </r>
  </si>
  <si>
    <r>
      <rPr>
        <rFont val="Times New Roman"/>
        <color theme="1"/>
        <sz val="14.0"/>
      </rPr>
      <t>734.70 40.00</t>
    </r>
  </si>
  <si>
    <r>
      <rPr>
        <rFont val="Times New Roman"/>
        <color theme="1"/>
        <sz val="14.0"/>
      </rPr>
      <t>PF10.0</t>
    </r>
  </si>
  <si>
    <r>
      <rPr>
        <rFont val="Times New Roman"/>
        <color theme="1"/>
        <sz val="14.0"/>
      </rPr>
      <t>TUBO TERMOCONT.DIAM.10,0 MM</t>
    </r>
  </si>
  <si>
    <r>
      <rPr>
        <rFont val="Times New Roman"/>
        <color theme="1"/>
        <sz val="14.0"/>
      </rPr>
      <t>24001IC04164362P   UNI</t>
    </r>
  </si>
  <si>
    <r>
      <rPr>
        <rFont val="Times New Roman"/>
        <color theme="1"/>
        <sz val="14.0"/>
      </rPr>
      <t>924.30 40.00</t>
    </r>
  </si>
  <si>
    <r>
      <rPr>
        <rFont val="Times New Roman"/>
        <color theme="1"/>
        <sz val="14.0"/>
      </rPr>
      <t>2502NG</t>
    </r>
  </si>
  <si>
    <r>
      <rPr>
        <rFont val="Times New Roman"/>
        <color theme="1"/>
        <sz val="14.0"/>
      </rPr>
      <t>CINTA HELICOIDAL Ø 8 MM NG.</t>
    </r>
  </si>
  <si>
    <r>
      <rPr>
        <rFont val="Times New Roman"/>
        <color theme="1"/>
        <sz val="14.0"/>
      </rPr>
      <t>24001IC04105876U   UNI</t>
    </r>
  </si>
  <si>
    <r>
      <rPr>
        <rFont val="Times New Roman"/>
        <color theme="1"/>
        <sz val="14.0"/>
      </rPr>
      <t>865.05 40.00</t>
    </r>
  </si>
  <si>
    <r>
      <rPr>
        <rFont val="Times New Roman"/>
        <color theme="1"/>
        <sz val="14.0"/>
      </rPr>
      <t>2502BL</t>
    </r>
  </si>
  <si>
    <r>
      <rPr>
        <rFont val="Times New Roman"/>
        <color theme="1"/>
        <sz val="14.0"/>
      </rPr>
      <t>CINTA HELICOIDAL Ø 8 MM BL.</t>
    </r>
  </si>
  <si>
    <r>
      <rPr>
        <rFont val="Times New Roman"/>
        <color theme="1"/>
        <sz val="14.0"/>
      </rPr>
      <t>UNI</t>
    </r>
  </si>
  <si>
    <r>
      <rPr>
        <rFont val="Times New Roman"/>
        <color theme="1"/>
        <sz val="14.0"/>
      </rPr>
      <t>865.05 40.00</t>
    </r>
  </si>
  <si>
    <r>
      <rPr>
        <rFont val="Times New Roman"/>
        <color theme="1"/>
        <sz val="14.0"/>
      </rPr>
      <t>2504NG</t>
    </r>
  </si>
  <si>
    <r>
      <rPr>
        <rFont val="Times New Roman"/>
        <color theme="1"/>
        <sz val="14.0"/>
      </rPr>
      <t>CINTA HELICOIDAL Ø 12 MM NG.</t>
    </r>
  </si>
  <si>
    <r>
      <rPr>
        <rFont val="Times New Roman"/>
        <color theme="1"/>
        <sz val="14.0"/>
      </rPr>
      <t>24001IC04124438P   UNI</t>
    </r>
  </si>
  <si>
    <r>
      <rPr>
        <rFont val="Times New Roman"/>
        <color theme="1"/>
        <sz val="14.0"/>
      </rPr>
      <t>1469.40 40.00</t>
    </r>
  </si>
  <si>
    <r>
      <rPr>
        <rFont val="Times New Roman"/>
        <color theme="1"/>
        <sz val="14.0"/>
      </rPr>
      <t>2504BL</t>
    </r>
  </si>
  <si>
    <r>
      <rPr>
        <rFont val="Times New Roman"/>
        <color theme="1"/>
        <sz val="14.0"/>
      </rPr>
      <t>CINTA HELICOIDAL Ø 12 MM BL.</t>
    </r>
  </si>
  <si>
    <r>
      <rPr>
        <rFont val="Times New Roman"/>
        <color theme="1"/>
        <sz val="14.0"/>
      </rPr>
      <t>23001IC04098729E   UNI</t>
    </r>
  </si>
  <si>
    <r>
      <rPr>
        <rFont val="Times New Roman"/>
        <color theme="1"/>
        <sz val="14.0"/>
      </rPr>
      <t>1469.40 40.00</t>
    </r>
  </si>
  <si>
    <r>
      <rPr>
        <rFont val="Times New Roman"/>
        <color theme="1"/>
        <sz val="14.0"/>
      </rPr>
      <t>2505NG</t>
    </r>
  </si>
  <si>
    <r>
      <rPr>
        <rFont val="Times New Roman"/>
        <color theme="1"/>
        <sz val="14.0"/>
      </rPr>
      <t>CINTA HELICOIDAL Ø 15 MM NG.</t>
    </r>
  </si>
  <si>
    <r>
      <rPr>
        <rFont val="Times New Roman"/>
        <color theme="1"/>
        <sz val="14.0"/>
      </rPr>
      <t>24001IC04105876U   UNI</t>
    </r>
  </si>
  <si>
    <r>
      <rPr>
        <rFont val="Times New Roman"/>
        <color theme="1"/>
        <sz val="14.0"/>
      </rPr>
      <t>2215.95 40.00</t>
    </r>
  </si>
  <si>
    <r>
      <rPr>
        <rFont val="Times New Roman"/>
        <color theme="1"/>
        <sz val="14.0"/>
      </rPr>
      <t>2505BL</t>
    </r>
  </si>
  <si>
    <r>
      <rPr>
        <rFont val="Times New Roman"/>
        <color theme="1"/>
        <sz val="14.0"/>
      </rPr>
      <t>CINTA HELICOIDAL Ø 15 MM BL</t>
    </r>
  </si>
  <si>
    <r>
      <rPr>
        <rFont val="Times New Roman"/>
        <color theme="1"/>
        <sz val="14.0"/>
      </rPr>
      <t>UNI</t>
    </r>
  </si>
  <si>
    <r>
      <rPr>
        <rFont val="Times New Roman"/>
        <color theme="1"/>
        <sz val="14.0"/>
      </rPr>
      <t>2215.95 40.00</t>
    </r>
  </si>
  <si>
    <r>
      <rPr>
        <rFont val="Times New Roman"/>
        <color theme="1"/>
        <sz val="14.0"/>
      </rPr>
      <t>2506NG</t>
    </r>
  </si>
  <si>
    <r>
      <rPr>
        <rFont val="Times New Roman"/>
        <color theme="1"/>
        <sz val="14.0"/>
      </rPr>
      <t>CINTA HELICOIDAL Ø 19 MM NG</t>
    </r>
  </si>
  <si>
    <r>
      <rPr>
        <rFont val="Times New Roman"/>
        <color theme="1"/>
        <sz val="14.0"/>
      </rPr>
      <t>23001IC04098729E   UNI</t>
    </r>
  </si>
  <si>
    <r>
      <rPr>
        <rFont val="Times New Roman"/>
        <color theme="1"/>
        <sz val="14.0"/>
      </rPr>
      <t>2761.05 40.00</t>
    </r>
  </si>
  <si>
    <r>
      <rPr>
        <rFont val="Times New Roman"/>
        <color theme="1"/>
        <sz val="14.0"/>
      </rPr>
      <t>2506BL</t>
    </r>
  </si>
  <si>
    <r>
      <rPr>
        <rFont val="Times New Roman"/>
        <color theme="1"/>
        <sz val="14.0"/>
      </rPr>
      <t>CINTA HELICOIDAL Ø 19 MM BL.</t>
    </r>
  </si>
  <si>
    <r>
      <rPr>
        <rFont val="Times New Roman"/>
        <color theme="1"/>
        <sz val="14.0"/>
      </rPr>
      <t>25001IC04107249R   UNI</t>
    </r>
  </si>
  <si>
    <r>
      <rPr>
        <rFont val="Times New Roman"/>
        <color theme="1"/>
        <sz val="14.0"/>
      </rPr>
      <t>2761.05 40.00</t>
    </r>
  </si>
  <si>
    <r>
      <rPr>
        <rFont val="Times New Roman"/>
        <color theme="1"/>
        <sz val="14.0"/>
      </rPr>
      <t>2507NG</t>
    </r>
  </si>
  <si>
    <r>
      <rPr>
        <rFont val="Times New Roman"/>
        <color theme="1"/>
        <sz val="14.0"/>
      </rPr>
      <t>CINTA HELICOIDAL Ø 24 MM NG</t>
    </r>
  </si>
  <si>
    <r>
      <rPr>
        <rFont val="Times New Roman"/>
        <color theme="1"/>
        <sz val="14.0"/>
      </rPr>
      <t>23001IC04006106F   UNI</t>
    </r>
  </si>
  <si>
    <r>
      <rPr>
        <rFont val="Times New Roman"/>
        <color theme="1"/>
        <sz val="14.0"/>
      </rPr>
      <t>4799.25 40.00</t>
    </r>
  </si>
  <si>
    <r>
      <rPr>
        <rFont val="Times New Roman"/>
        <color theme="1"/>
        <sz val="14.0"/>
      </rPr>
      <t>2507BL</t>
    </r>
  </si>
  <si>
    <r>
      <rPr>
        <rFont val="Times New Roman"/>
        <color theme="1"/>
        <sz val="14.0"/>
      </rPr>
      <t>CINTA HELICOIDAL Ø 24 MM BL.</t>
    </r>
  </si>
  <si>
    <r>
      <rPr>
        <rFont val="Times New Roman"/>
        <color theme="1"/>
        <sz val="14.0"/>
      </rPr>
      <t>18001IC04001896U   UNI</t>
    </r>
  </si>
  <si>
    <r>
      <rPr>
        <rFont val="Times New Roman"/>
        <color theme="1"/>
        <sz val="14.0"/>
      </rPr>
      <t>4799.25 40.00</t>
    </r>
  </si>
  <si>
    <t>ADAE2740P</t>
  </si>
  <si>
    <t>ADAPTADOR E27 A E40 PREMIUM</t>
  </si>
  <si>
    <t>SYPARE6F</t>
  </si>
  <si>
    <t>LUM.LED EMBUTIDA CIRC.6W CAL</t>
  </si>
  <si>
    <t>SYPARE12F</t>
  </si>
  <si>
    <t>LUM.LED EMBUTIDA CIRC.12W FRI</t>
  </si>
  <si>
    <t>SYPARE12C</t>
  </si>
  <si>
    <t>LUM.LED EMBUTIDA CIRC.12W CAL</t>
  </si>
  <si>
    <t>SYPARE18F</t>
  </si>
  <si>
    <t>LUM.LED EMBUTIDA CIRC.18W FRI</t>
  </si>
  <si>
    <t>SYPARE18C</t>
  </si>
  <si>
    <t>LUM.LED EMBUTIDA CIRC.18W CAL</t>
  </si>
  <si>
    <t>SYPARE24C</t>
  </si>
  <si>
    <t>LUM.LED EMBUTIDA CIRC.24W CAL</t>
  </si>
  <si>
    <t>SYPACE6F</t>
  </si>
  <si>
    <t>LUM.LED EMBUTIDA CUAD.6W FR1</t>
  </si>
  <si>
    <t>SYPACA18F</t>
  </si>
  <si>
    <t>LUM.LED PLAFON CUAD.18W FRI</t>
  </si>
  <si>
    <t>SYPACA18C</t>
  </si>
  <si>
    <t>LUM.LED PLAFON CUAD.18W CAL</t>
  </si>
  <si>
    <t>SYPACA24F</t>
  </si>
  <si>
    <t>LUM.LED PLAFON CUAD.24W FRI</t>
  </si>
  <si>
    <t>SYPARA24F*</t>
  </si>
  <si>
    <t xml:space="preserve">LUM LED PLAFON CIRC. 24W FRI. </t>
  </si>
  <si>
    <t>DRIVER06W</t>
  </si>
  <si>
    <t>DRIVER 175 - 265 V - 6W</t>
  </si>
  <si>
    <t>DRIVER12W</t>
  </si>
  <si>
    <t>DRIVER 175 - 265 V - 12W</t>
  </si>
  <si>
    <t>DRIVER18W</t>
  </si>
  <si>
    <t>DRIVER 175 - 265 V - 18W</t>
  </si>
  <si>
    <t>DRIVER24W</t>
  </si>
  <si>
    <t>DRIVER 175 - 265 V - 24W</t>
  </si>
  <si>
    <t>2310.75 40.00
 Subtotal</t>
  </si>
  <si>
    <t>27 729.00 |
 |
 |
 |
 |
 |
 |
 717 541.20|</t>
  </si>
  <si>
    <t>BORNE SYBYD FAST 3 CONTACTOS</t>
  </si>
  <si>
    <t>BORNE SYBYD FAST 5 CONTACTOS</t>
  </si>
  <si>
    <t>CLAMP 2103</t>
  </si>
  <si>
    <t>CLAMP 2106</t>
  </si>
  <si>
    <t>CLAMP 2107</t>
  </si>
  <si>
    <t>CLAMP 2109</t>
  </si>
  <si>
    <t>8101N</t>
  </si>
  <si>
    <t>PRENSACABLE NYLON - 1/2''</t>
  </si>
  <si>
    <t>8102N</t>
  </si>
  <si>
    <t>PRENSACABLE NYLON - 5/8''</t>
  </si>
  <si>
    <t>8103N</t>
  </si>
  <si>
    <t>PRENSACABLE NYLON - 3/4''</t>
  </si>
  <si>
    <t>8104N</t>
  </si>
  <si>
    <t>PRENSACABLE NYLON - 7/8''</t>
  </si>
  <si>
    <t>8105N</t>
  </si>
  <si>
    <t>PRENSACABLE NYLON - 1''</t>
  </si>
  <si>
    <t>8105/1N</t>
  </si>
  <si>
    <t>PRENSACABLE NYLON  - 1 1/4''</t>
  </si>
  <si>
    <t>8106N</t>
  </si>
  <si>
    <t>PRENSACABLE NYLON - 1 1/2''</t>
  </si>
  <si>
    <t>8107N</t>
  </si>
  <si>
    <t>PRENSACABLE NYLON - 1 3/4''</t>
  </si>
  <si>
    <t>8108N</t>
  </si>
  <si>
    <t>PRENSACABLE NYLON - 2''</t>
  </si>
  <si>
    <t>8109N</t>
  </si>
  <si>
    <t>PRENSACABLE NYLON - 2 1/4''</t>
  </si>
  <si>
    <r>
      <rPr>
        <rFont val="Times New Roman"/>
        <b/>
        <color theme="1"/>
        <sz val="14.0"/>
      </rPr>
      <t>Despacho Nro.</t>
    </r>
  </si>
  <si>
    <r>
      <rPr>
        <rFont val="Times New Roman"/>
        <b/>
        <color theme="1"/>
        <sz val="14.0"/>
      </rPr>
      <t>U.M.</t>
    </r>
  </si>
  <si>
    <r>
      <rPr>
        <rFont val="Times New Roman"/>
        <b/>
        <color theme="1"/>
        <sz val="14.0"/>
      </rPr>
      <t>P.Unit. Dcto.</t>
    </r>
  </si>
  <si>
    <r>
      <rPr>
        <rFont val="Times New Roman"/>
        <b/>
        <color theme="1"/>
        <sz val="14.0"/>
      </rPr>
      <t>Importe</t>
    </r>
  </si>
  <si>
    <r>
      <rPr>
        <rFont val="Times New Roman"/>
        <b/>
        <color rgb="FF000000"/>
        <sz val="14.0"/>
      </rPr>
      <t xml:space="preserve">|
</t>
    </r>
    <r>
      <rPr>
        <rFont val="Times New Roman"/>
        <b/>
        <color rgb="FF000000"/>
        <sz val="14.0"/>
      </rPr>
      <t>|</t>
    </r>
  </si>
  <si>
    <r>
      <rPr>
        <rFont val="Times New Roman"/>
        <color theme="1"/>
        <sz val="14.0"/>
      </rPr>
      <t>PF2.5</t>
    </r>
  </si>
  <si>
    <r>
      <rPr>
        <rFont val="Times New Roman"/>
        <color theme="1"/>
        <sz val="14.0"/>
      </rPr>
      <t>TUBO TERMOCONT.DIAM.2,5 MM</t>
    </r>
  </si>
  <si>
    <r>
      <rPr>
        <rFont val="Times New Roman"/>
        <color theme="1"/>
        <sz val="14.0"/>
      </rPr>
      <t>24001IC04070829T   UNI</t>
    </r>
  </si>
  <si>
    <r>
      <rPr>
        <rFont val="Times New Roman"/>
        <color theme="1"/>
        <sz val="14.0"/>
      </rPr>
      <t>450.30 40.00</t>
    </r>
  </si>
  <si>
    <r>
      <rPr>
        <rFont val="Times New Roman"/>
        <color theme="1"/>
        <sz val="14.0"/>
      </rPr>
      <t>PF3.5</t>
    </r>
  </si>
  <si>
    <r>
      <rPr>
        <rFont val="Times New Roman"/>
        <color theme="1"/>
        <sz val="14.0"/>
      </rPr>
      <t>TUBO TERMOCONT.DIAM.3,5 MM</t>
    </r>
  </si>
  <si>
    <r>
      <rPr>
        <rFont val="Times New Roman"/>
        <color theme="1"/>
        <sz val="14.0"/>
      </rPr>
      <t>24001IC04070829T   UNI</t>
    </r>
  </si>
  <si>
    <r>
      <rPr>
        <rFont val="Times New Roman"/>
        <color theme="1"/>
        <sz val="14.0"/>
      </rPr>
      <t>521.40 40.00</t>
    </r>
  </si>
  <si>
    <r>
      <rPr>
        <rFont val="Times New Roman"/>
        <color theme="1"/>
        <sz val="14.0"/>
      </rPr>
      <t>PF5.0</t>
    </r>
  </si>
  <si>
    <r>
      <rPr>
        <rFont val="Times New Roman"/>
        <color theme="1"/>
        <sz val="14.0"/>
      </rPr>
      <t>24001IC04164362P   UNI</t>
    </r>
  </si>
  <si>
    <r>
      <rPr>
        <rFont val="Times New Roman"/>
        <color theme="1"/>
        <sz val="14.0"/>
      </rPr>
      <t>687.30 40.00</t>
    </r>
  </si>
  <si>
    <r>
      <rPr>
        <rFont val="Times New Roman"/>
        <color theme="1"/>
        <sz val="14.0"/>
      </rPr>
      <t>PF7.0</t>
    </r>
  </si>
  <si>
    <r>
      <rPr>
        <rFont val="Times New Roman"/>
        <color theme="1"/>
        <sz val="14.0"/>
      </rPr>
      <t>TUBO TERMOCONT.DIAM.7.0 MM</t>
    </r>
  </si>
  <si>
    <r>
      <rPr>
        <rFont val="Times New Roman"/>
        <color theme="1"/>
        <sz val="14.0"/>
      </rPr>
      <t>24001IC04164362P   UNI</t>
    </r>
  </si>
  <si>
    <r>
      <rPr>
        <rFont val="Times New Roman"/>
        <color theme="1"/>
        <sz val="14.0"/>
      </rPr>
      <t>734.70 40.00</t>
    </r>
  </si>
  <si>
    <r>
      <rPr>
        <rFont val="Times New Roman"/>
        <color theme="1"/>
        <sz val="14.0"/>
      </rPr>
      <t>PF10.0</t>
    </r>
  </si>
  <si>
    <r>
      <rPr>
        <rFont val="Times New Roman"/>
        <color theme="1"/>
        <sz val="14.0"/>
      </rPr>
      <t>TUBO TERMOCONT.DIAM.10,0 MM</t>
    </r>
  </si>
  <si>
    <r>
      <rPr>
        <rFont val="Times New Roman"/>
        <color theme="1"/>
        <sz val="14.0"/>
      </rPr>
      <t>24001IC04164362P   UNI</t>
    </r>
  </si>
  <si>
    <r>
      <rPr>
        <rFont val="Times New Roman"/>
        <color theme="1"/>
        <sz val="14.0"/>
      </rPr>
      <t>924.30 40.00</t>
    </r>
  </si>
  <si>
    <r>
      <rPr>
        <rFont val="Times New Roman"/>
        <color theme="1"/>
        <sz val="14.0"/>
      </rPr>
      <t>2502NG</t>
    </r>
  </si>
  <si>
    <r>
      <rPr>
        <rFont val="Times New Roman"/>
        <color theme="1"/>
        <sz val="14.0"/>
      </rPr>
      <t>CINTA HELICOIDAL Ø 8 MM NG.</t>
    </r>
  </si>
  <si>
    <r>
      <rPr>
        <rFont val="Times New Roman"/>
        <color theme="1"/>
        <sz val="14.0"/>
      </rPr>
      <t>24001IC04105876U   UNI</t>
    </r>
  </si>
  <si>
    <r>
      <rPr>
        <rFont val="Times New Roman"/>
        <color theme="1"/>
        <sz val="14.0"/>
      </rPr>
      <t>865.05 40.00</t>
    </r>
  </si>
  <si>
    <r>
      <rPr>
        <rFont val="Times New Roman"/>
        <color theme="1"/>
        <sz val="14.0"/>
      </rPr>
      <t>2502BL</t>
    </r>
  </si>
  <si>
    <r>
      <rPr>
        <rFont val="Times New Roman"/>
        <color theme="1"/>
        <sz val="14.0"/>
      </rPr>
      <t>CINTA HELICOIDAL Ø 8 MM BL.</t>
    </r>
  </si>
  <si>
    <r>
      <rPr>
        <rFont val="Times New Roman"/>
        <color theme="1"/>
        <sz val="14.0"/>
      </rPr>
      <t>UNI</t>
    </r>
  </si>
  <si>
    <r>
      <rPr>
        <rFont val="Times New Roman"/>
        <color theme="1"/>
        <sz val="14.0"/>
      </rPr>
      <t>865.05 40.00</t>
    </r>
  </si>
  <si>
    <r>
      <rPr>
        <rFont val="Times New Roman"/>
        <color theme="1"/>
        <sz val="14.0"/>
      </rPr>
      <t>2504NG</t>
    </r>
  </si>
  <si>
    <r>
      <rPr>
        <rFont val="Times New Roman"/>
        <color theme="1"/>
        <sz val="14.0"/>
      </rPr>
      <t>CINTA HELICOIDAL Ø 12 MM NG.</t>
    </r>
  </si>
  <si>
    <r>
      <rPr>
        <rFont val="Times New Roman"/>
        <color theme="1"/>
        <sz val="14.0"/>
      </rPr>
      <t>24001IC04124438P   UNI</t>
    </r>
  </si>
  <si>
    <r>
      <rPr>
        <rFont val="Times New Roman"/>
        <color theme="1"/>
        <sz val="14.0"/>
      </rPr>
      <t>1469.40 40.00</t>
    </r>
  </si>
  <si>
    <r>
      <rPr>
        <rFont val="Times New Roman"/>
        <color theme="1"/>
        <sz val="14.0"/>
      </rPr>
      <t>2504BL</t>
    </r>
  </si>
  <si>
    <r>
      <rPr>
        <rFont val="Times New Roman"/>
        <color theme="1"/>
        <sz val="14.0"/>
      </rPr>
      <t>CINTA HELICOIDAL Ø 12 MM BL.</t>
    </r>
  </si>
  <si>
    <r>
      <rPr>
        <rFont val="Times New Roman"/>
        <color theme="1"/>
        <sz val="14.0"/>
      </rPr>
      <t>23001IC04098729E   UNI</t>
    </r>
  </si>
  <si>
    <r>
      <rPr>
        <rFont val="Times New Roman"/>
        <color theme="1"/>
        <sz val="14.0"/>
      </rPr>
      <t>1469.40 40.00</t>
    </r>
  </si>
  <si>
    <r>
      <rPr>
        <rFont val="Times New Roman"/>
        <color theme="1"/>
        <sz val="14.0"/>
      </rPr>
      <t>2505NG</t>
    </r>
  </si>
  <si>
    <r>
      <rPr>
        <rFont val="Times New Roman"/>
        <color theme="1"/>
        <sz val="14.0"/>
      </rPr>
      <t>CINTA HELICOIDAL Ø 15 MM NG.</t>
    </r>
  </si>
  <si>
    <r>
      <rPr>
        <rFont val="Times New Roman"/>
        <color theme="1"/>
        <sz val="14.0"/>
      </rPr>
      <t>24001IC04105876U   UNI</t>
    </r>
  </si>
  <si>
    <r>
      <rPr>
        <rFont val="Times New Roman"/>
        <color theme="1"/>
        <sz val="14.0"/>
      </rPr>
      <t>2215.95 40.00</t>
    </r>
  </si>
  <si>
    <r>
      <rPr>
        <rFont val="Times New Roman"/>
        <color theme="1"/>
        <sz val="14.0"/>
      </rPr>
      <t>2505BL</t>
    </r>
  </si>
  <si>
    <r>
      <rPr>
        <rFont val="Times New Roman"/>
        <color theme="1"/>
        <sz val="14.0"/>
      </rPr>
      <t>CINTA HELICOIDAL Ø 15 MM BL</t>
    </r>
  </si>
  <si>
    <r>
      <rPr>
        <rFont val="Times New Roman"/>
        <color theme="1"/>
        <sz val="14.0"/>
      </rPr>
      <t>UNI</t>
    </r>
  </si>
  <si>
    <r>
      <rPr>
        <rFont val="Times New Roman"/>
        <color theme="1"/>
        <sz val="14.0"/>
      </rPr>
      <t>2215.95 40.00</t>
    </r>
  </si>
  <si>
    <r>
      <rPr>
        <rFont val="Times New Roman"/>
        <color theme="1"/>
        <sz val="14.0"/>
      </rPr>
      <t>2506NG</t>
    </r>
  </si>
  <si>
    <r>
      <rPr>
        <rFont val="Times New Roman"/>
        <color theme="1"/>
        <sz val="14.0"/>
      </rPr>
      <t>CINTA HELICOIDAL Ø 19 MM NG</t>
    </r>
  </si>
  <si>
    <r>
      <rPr>
        <rFont val="Times New Roman"/>
        <color theme="1"/>
        <sz val="14.0"/>
      </rPr>
      <t>23001IC04098729E   UNI</t>
    </r>
  </si>
  <si>
    <r>
      <rPr>
        <rFont val="Times New Roman"/>
        <color theme="1"/>
        <sz val="14.0"/>
      </rPr>
      <t>2761.05 40.00</t>
    </r>
  </si>
  <si>
    <r>
      <rPr>
        <rFont val="Times New Roman"/>
        <color theme="1"/>
        <sz val="14.0"/>
      </rPr>
      <t>2506BL</t>
    </r>
  </si>
  <si>
    <r>
      <rPr>
        <rFont val="Times New Roman"/>
        <color theme="1"/>
        <sz val="14.0"/>
      </rPr>
      <t>CINTA HELICOIDAL Ø 19 MM BL.</t>
    </r>
  </si>
  <si>
    <r>
      <rPr>
        <rFont val="Times New Roman"/>
        <color theme="1"/>
        <sz val="14.0"/>
      </rPr>
      <t>25001IC04107249R   UNI</t>
    </r>
  </si>
  <si>
    <r>
      <rPr>
        <rFont val="Times New Roman"/>
        <color theme="1"/>
        <sz val="14.0"/>
      </rPr>
      <t>2761.05 40.00</t>
    </r>
  </si>
  <si>
    <r>
      <rPr>
        <rFont val="Times New Roman"/>
        <color theme="1"/>
        <sz val="14.0"/>
      </rPr>
      <t>2507NG</t>
    </r>
  </si>
  <si>
    <r>
      <rPr>
        <rFont val="Times New Roman"/>
        <color theme="1"/>
        <sz val="14.0"/>
      </rPr>
      <t>CINTA HELICOIDAL Ø 24 MM NG</t>
    </r>
  </si>
  <si>
    <r>
      <rPr>
        <rFont val="Times New Roman"/>
        <color theme="1"/>
        <sz val="14.0"/>
      </rPr>
      <t>23001IC04006106F   UNI</t>
    </r>
  </si>
  <si>
    <r>
      <rPr>
        <rFont val="Times New Roman"/>
        <color theme="1"/>
        <sz val="14.0"/>
      </rPr>
      <t>4799.25 40.00</t>
    </r>
  </si>
  <si>
    <r>
      <rPr>
        <rFont val="Times New Roman"/>
        <color theme="1"/>
        <sz val="14.0"/>
      </rPr>
      <t>2507BL</t>
    </r>
  </si>
  <si>
    <r>
      <rPr>
        <rFont val="Times New Roman"/>
        <color theme="1"/>
        <sz val="14.0"/>
      </rPr>
      <t>CINTA HELICOIDAL Ø 24 MM BL.</t>
    </r>
  </si>
  <si>
    <r>
      <rPr>
        <rFont val="Times New Roman"/>
        <color theme="1"/>
        <sz val="14.0"/>
      </rPr>
      <t>18001IC04001896U   UNI</t>
    </r>
  </si>
  <si>
    <r>
      <rPr>
        <rFont val="Times New Roman"/>
        <color theme="1"/>
        <sz val="14.0"/>
      </rPr>
      <t>4799.25 40.00</t>
    </r>
  </si>
  <si>
    <r>
      <rPr>
        <rFont val="Times New Roman"/>
        <b/>
        <color theme="1"/>
        <sz val="14.0"/>
      </rPr>
      <t>P.Unit. Dcto.</t>
    </r>
  </si>
  <si>
    <r>
      <rPr>
        <rFont val="Times New Roman"/>
        <b/>
        <color theme="1"/>
        <sz val="14.0"/>
      </rPr>
      <t>Importe</t>
    </r>
  </si>
  <si>
    <r>
      <rPr>
        <rFont val="Times New Roman"/>
        <b/>
        <color rgb="FF000000"/>
        <sz val="14.0"/>
      </rPr>
      <t xml:space="preserve">|
</t>
    </r>
    <r>
      <rPr>
        <rFont val="Times New Roman"/>
        <b/>
        <color rgb="FF000000"/>
        <sz val="14.0"/>
      </rPr>
      <t>|</t>
    </r>
  </si>
  <si>
    <t>02210PG-12</t>
  </si>
  <si>
    <t>Pack Ahorro cajas de embutir Rectangulares x 12 unidades</t>
  </si>
  <si>
    <t>$423.33</t>
  </si>
  <si>
    <t>02210PG-12U</t>
  </si>
  <si>
    <t>Caja de embutir Rectangular x UNIDAD</t>
  </si>
  <si>
    <t>02211PG-12</t>
  </si>
  <si>
    <t xml:space="preserve"> Pack Ahorro cajas de embutir Octogonal Chica x 12 unidades</t>
  </si>
  <si>
    <t>02211PG-12U</t>
  </si>
  <si>
    <t xml:space="preserve"> Caja de embutir Octogonal Chica x UNIDAD</t>
  </si>
  <si>
    <t xml:space="preserve">JLJC1610 </t>
  </si>
  <si>
    <t>Jabalina Lisa de Acero-Cobre 5/8" x 1000mm (L1610)</t>
  </si>
  <si>
    <t xml:space="preserve">JLJC1615 </t>
  </si>
  <si>
    <t>Jabalina Lisa de Acero-Cobre 5/8" x 1500mm (L1615)</t>
  </si>
  <si>
    <t>JLJC1620</t>
  </si>
  <si>
    <t xml:space="preserve"> Jabalina Lisa de Acero-Cobre 5/8" x 2000mm (L1620)</t>
  </si>
  <si>
    <t>JLJC1630</t>
  </si>
  <si>
    <t xml:space="preserve"> Jabalina Lisa de Acero-Cobre 5/8" x 3000mm (L1630)</t>
  </si>
  <si>
    <t>JLJC1910</t>
  </si>
  <si>
    <t xml:space="preserve"> Jabalina Lisa de Acero-Cobre 3/4" x 1000mm (L1810)</t>
  </si>
  <si>
    <t>JLJC1915</t>
  </si>
  <si>
    <t xml:space="preserve"> Jabalina Lisa de Acero-Cobre 3/4" x 1500mm (L1815)</t>
  </si>
  <si>
    <t>JLJC1920</t>
  </si>
  <si>
    <t xml:space="preserve"> Jabalina Lisa de Acero-Cobre 3/4" x 2000mm (L1820)</t>
  </si>
  <si>
    <t xml:space="preserve">JLJC1930 </t>
  </si>
  <si>
    <t>Jabalina Lisa de Acero-Cobre 3/4" x 3000mm (L1820)</t>
  </si>
  <si>
    <t>JLJC1015</t>
  </si>
  <si>
    <t xml:space="preserve"> Jabalina Lisa de Acero-Cobre 3/8" x 1500mm (L1015)</t>
  </si>
  <si>
    <t>JLJC1020</t>
  </si>
  <si>
    <t xml:space="preserve"> Jabalina Lisa de Acero-Cobre 3/8" x 2000mm (L1020)</t>
  </si>
  <si>
    <t>JLJC1215</t>
  </si>
  <si>
    <t xml:space="preserve"> Jabalina Lisa de Acero-Cobre 1/2" x 1500mm (L1415)</t>
  </si>
  <si>
    <t>JLJC1220</t>
  </si>
  <si>
    <t xml:space="preserve"> Jabalina Lisa de Acero-Cobre 1/2" x 2000mm (L1420)</t>
  </si>
  <si>
    <t>JLJC1210</t>
  </si>
  <si>
    <t xml:space="preserve"> Jabalina Lisa de Acero-Cobre 1/2" x 1000mm </t>
  </si>
  <si>
    <t xml:space="preserve"> Cablecanal Sistelectric 100x50</t>
  </si>
  <si>
    <t>Cablecanal Sistelectric 14x7 con cinta autoadhesiva</t>
  </si>
  <si>
    <t>Cablecanal Sistelectric 18x21 con cinta autoadhesiva</t>
  </si>
  <si>
    <t>241821R</t>
  </si>
  <si>
    <t xml:space="preserve"> Cablecanal Sistelectric 18x21 con retenedor y cinta autoadhesiva</t>
  </si>
  <si>
    <t xml:space="preserve"> Cablecanal Sistelectric 20x10 con cinta autoadhesiva</t>
  </si>
  <si>
    <t xml:space="preserve">242010R </t>
  </si>
  <si>
    <t xml:space="preserve">Cablecanal Sistelectric 20x10 con retenedor y cinta autoadhesiva </t>
  </si>
  <si>
    <t xml:space="preserve">242010T </t>
  </si>
  <si>
    <t>Cablecanal Sistelectric 20x10 con tapa abisagrada y cinta autoadhesiva</t>
  </si>
  <si>
    <t xml:space="preserve"> Cablecanal Sistelectric 27x30 con cinta autoadhesiva</t>
  </si>
  <si>
    <t xml:space="preserve"> Cablecanal Sistelectric 30x12 con cinta autoadhesiva</t>
  </si>
  <si>
    <t>GETC20S</t>
  </si>
  <si>
    <r>
      <rPr>
        <rFont val="Times New Roman"/>
        <color theme="1"/>
        <sz val="14.0"/>
      </rPr>
      <t xml:space="preserve"> Rollo Corrugado Semipesado por 25m de ø20mm </t>
    </r>
    <r>
      <rPr>
        <rFont val="Times New Roman"/>
        <b/>
        <color theme="1"/>
        <sz val="14.0"/>
      </rPr>
      <t>metro</t>
    </r>
  </si>
  <si>
    <t>GETC22S</t>
  </si>
  <si>
    <r>
      <rPr>
        <rFont val="Times New Roman"/>
        <color theme="1"/>
        <sz val="14.0"/>
      </rPr>
      <t xml:space="preserve"> Rollo Corrugado Semipesado por 25m de ø22mm </t>
    </r>
    <r>
      <rPr>
        <rFont val="Times New Roman"/>
        <b/>
        <color theme="1"/>
        <sz val="14.0"/>
      </rPr>
      <t>metro</t>
    </r>
  </si>
  <si>
    <t xml:space="preserve">GETC25S </t>
  </si>
  <si>
    <r>
      <rPr>
        <rFont val="Times New Roman"/>
        <color theme="1"/>
        <sz val="14.0"/>
      </rPr>
      <t xml:space="preserve">Rollo Corrugado Semipesado por 25m de ø25mm </t>
    </r>
    <r>
      <rPr>
        <rFont val="Times New Roman"/>
        <b/>
        <color theme="1"/>
        <sz val="14.0"/>
      </rPr>
      <t>metro</t>
    </r>
  </si>
  <si>
    <t>TR16SD</t>
  </si>
  <si>
    <t xml:space="preserve">Tubo rigido SISTELECTRIC SD ø16mm </t>
  </si>
  <si>
    <t>TR20SD</t>
  </si>
  <si>
    <t xml:space="preserve"> Tubo rigido SISTELECTRIC SD ø20mm </t>
  </si>
  <si>
    <t>TR22SD</t>
  </si>
  <si>
    <t xml:space="preserve"> Tubo rigido SISTELECTRIC SD ø22mm </t>
  </si>
  <si>
    <t>TR25SD</t>
  </si>
  <si>
    <t xml:space="preserve"> Tubo rigido SISTELECTRIC SD ø25mm </t>
  </si>
  <si>
    <t>02218PB</t>
  </si>
  <si>
    <t xml:space="preserve"> Caja cuadrada con tapa blanca sobrep.</t>
  </si>
  <si>
    <t xml:space="preserve"> Gab. Quadri Energy 245x230x150mm</t>
  </si>
  <si>
    <t xml:space="preserve"> Gab. Quadri Energy 200x277x150mm</t>
  </si>
  <si>
    <t>Gab. Quadri Energy 230x310x150mm</t>
  </si>
  <si>
    <t xml:space="preserve"> Gab. Quadri Energy 330x315x180mm</t>
  </si>
  <si>
    <t xml:space="preserve"> Gab. Quadri Energy 325x465x180mm</t>
  </si>
  <si>
    <t xml:space="preserve"> Gab. Quadri Energy 435x525x180mm</t>
  </si>
  <si>
    <t xml:space="preserve">12450T </t>
  </si>
  <si>
    <t>Gab. Quadri Energy P/8 Mod DIN 245x230x150mm</t>
  </si>
  <si>
    <t>12050T</t>
  </si>
  <si>
    <t xml:space="preserve"> Gab. Quadri Energy P/12 Mod DIN 200x277x150mm</t>
  </si>
  <si>
    <t>12350T</t>
  </si>
  <si>
    <t xml:space="preserve"> Gab. Quadri Energy P/16 Mod DIN 230x310x150mm</t>
  </si>
  <si>
    <t>12780T</t>
  </si>
  <si>
    <t xml:space="preserve"> Gab. Quadri Energy P/24 Mod DIN 330x315x180mm</t>
  </si>
  <si>
    <t>12280T</t>
  </si>
  <si>
    <t xml:space="preserve"> Gab. Quadri Energy P/36 Mod DIN 325x465x180mm</t>
  </si>
  <si>
    <t xml:space="preserve"> Caja de preinstalación para aire acondicionado</t>
  </si>
  <si>
    <t>CTRG016E</t>
  </si>
  <si>
    <t xml:space="preserve"> Conector para tubo Sistelectric 16 mm</t>
  </si>
  <si>
    <t>CTRG020E</t>
  </si>
  <si>
    <t xml:space="preserve"> Conector para tubo Sistelectric 20 mm</t>
  </si>
  <si>
    <t>CTRG022E</t>
  </si>
  <si>
    <t xml:space="preserve"> Conector para tubo Sistelectric 22 mm</t>
  </si>
  <si>
    <t>CTRG025E</t>
  </si>
  <si>
    <t xml:space="preserve"> Conector para tubo Sistelectric 25 mm</t>
  </si>
  <si>
    <t>UTR016E</t>
  </si>
  <si>
    <t xml:space="preserve"> Unión para tubo Sistelectric 16 mm</t>
  </si>
  <si>
    <t>UTR020E</t>
  </si>
  <si>
    <t xml:space="preserve"> Unión para tubo Sistelectric 20 mm</t>
  </si>
  <si>
    <t xml:space="preserve">UTR022E </t>
  </si>
  <si>
    <t>Unión para tubo Sistelectric 22 mm</t>
  </si>
  <si>
    <t>UTR025E</t>
  </si>
  <si>
    <t xml:space="preserve"> Unión para tubo Sistelectric 25 mm</t>
  </si>
  <si>
    <t>VTR016E</t>
  </si>
  <si>
    <t xml:space="preserve"> Curva para tubo Sistelectric 16 mm</t>
  </si>
  <si>
    <t>VTR020E</t>
  </si>
  <si>
    <t xml:space="preserve"> Curva para tubo Sistelectric 20 mm</t>
  </si>
  <si>
    <t>VTR022E</t>
  </si>
  <si>
    <t xml:space="preserve"> Curva para tubo Sistelectric 22 mm</t>
  </si>
  <si>
    <t>VTR025E</t>
  </si>
  <si>
    <t xml:space="preserve"> Curva para tubo Sistelectric 25 mm</t>
  </si>
  <si>
    <t>GRA016E</t>
  </si>
  <si>
    <t xml:space="preserve"> Grampa p/fijar tubo Sistelectric</t>
  </si>
  <si>
    <t>GRA020E</t>
  </si>
  <si>
    <t xml:space="preserve"> Grampa p/fijar tubo Sistelectric 20 mm</t>
  </si>
  <si>
    <t>GRA022E</t>
  </si>
  <si>
    <t xml:space="preserve"> Grampa p/fijar tubo Sistelectric 22 mm</t>
  </si>
  <si>
    <t xml:space="preserve">GRA025E </t>
  </si>
  <si>
    <t>Grampa p/fijar tubo Sistelectric 25 mm</t>
  </si>
  <si>
    <t>Tapa ciega para caja rectangular 12x8cm</t>
  </si>
  <si>
    <t>Tapa ciega para caja octogonal chica</t>
  </si>
  <si>
    <t xml:space="preserve"> Tapa ciega para caja octogonal grande</t>
  </si>
  <si>
    <t xml:space="preserve"> Tapa ciega para caja mignon (cuadrada)</t>
  </si>
  <si>
    <t>20024*</t>
  </si>
  <si>
    <t xml:space="preserve"> Kit x 200 tornillos para tapa ciega</t>
  </si>
  <si>
    <t xml:space="preserve"> Caja de pase de embutir 10 x 16</t>
  </si>
  <si>
    <t>Caja de pase de embutir 16 x 18</t>
  </si>
  <si>
    <t>Caja de pase de embutir 18 x 25</t>
  </si>
  <si>
    <t>GEMC</t>
  </si>
  <si>
    <t xml:space="preserve"> Caladora multiple p/cajas plasticas</t>
  </si>
  <si>
    <t xml:space="preserve">GETC </t>
  </si>
  <si>
    <t>Tijera Genrod Electric para Tubo Rígido</t>
  </si>
  <si>
    <t>GER16</t>
  </si>
  <si>
    <t xml:space="preserve"> Resorte p/tubo SISTELECTRIC SD y HD de ø16mm</t>
  </si>
  <si>
    <t>GER20</t>
  </si>
  <si>
    <t xml:space="preserve"> Resorte p/tubo SISTELECTRIC SD y HD de ø20mm</t>
  </si>
  <si>
    <t>GER22</t>
  </si>
  <si>
    <t xml:space="preserve"> Resorte p/tubo SISTELECTRIC SD y HD de ø22mm</t>
  </si>
  <si>
    <t>GER25</t>
  </si>
  <si>
    <t xml:space="preserve"> Resorte p/tubo SISTELECTRIC SD y HD de ø25mm</t>
  </si>
  <si>
    <t>02216PG</t>
  </si>
  <si>
    <t>CAJA OCTOGONAL TAPA GRIS SOBREPONER</t>
  </si>
  <si>
    <t>02215PG</t>
  </si>
  <si>
    <t xml:space="preserve"> Caja rectangular exterior Gris</t>
  </si>
  <si>
    <t>02215PB</t>
  </si>
  <si>
    <t xml:space="preserve"> Caja rectangular exterior Blanca</t>
  </si>
  <si>
    <t>02217PG</t>
  </si>
  <si>
    <t xml:space="preserve"> Caja Octogonal C/Tapa y Tapones Gris Sobreponer</t>
  </si>
  <si>
    <t>02218PG</t>
  </si>
  <si>
    <t xml:space="preserve"> Caja cuadrada con tapa gris sobrep.</t>
  </si>
  <si>
    <t xml:space="preserve">02219PG </t>
  </si>
  <si>
    <t>Caja Rectangular de Sobreponer Monoblock Gris</t>
  </si>
  <si>
    <t>02219PB</t>
  </si>
  <si>
    <t xml:space="preserve"> Caja Rectangular de Sobreponer Monoblock Blanca</t>
  </si>
  <si>
    <t xml:space="preserve">04904F </t>
  </si>
  <si>
    <t>Caja emb. 4 mod. DIN c/ tapa fume- frente blanco</t>
  </si>
  <si>
    <t>160400B</t>
  </si>
  <si>
    <t>Caja emb. 4 mod. DIN c/ tapa fume- Marco blanco</t>
  </si>
  <si>
    <t>04908F</t>
  </si>
  <si>
    <t xml:space="preserve"> Caja emb. 8 mod. DIN c/ tapa fume- frente blanco</t>
  </si>
  <si>
    <t>GEAD</t>
  </si>
  <si>
    <t>Adhesivo Sellador para tubos y accesorios</t>
  </si>
  <si>
    <r>
      <rPr>
        <rFont val="Times New Roman"/>
        <b/>
        <color theme="1"/>
        <sz val="14.0"/>
      </rPr>
      <t>P.Unit. Dcto.</t>
    </r>
  </si>
  <si>
    <r>
      <rPr>
        <rFont val="Times New Roman"/>
        <b/>
        <color theme="1"/>
        <sz val="14.0"/>
      </rPr>
      <t>Importe</t>
    </r>
  </si>
  <si>
    <r>
      <rPr>
        <rFont val="Times New Roman"/>
        <b/>
        <color rgb="FF000000"/>
        <sz val="14.0"/>
      </rPr>
      <t xml:space="preserve">|
</t>
    </r>
    <r>
      <rPr>
        <rFont val="Times New Roman"/>
        <b/>
        <color rgb="FF000000"/>
        <sz val="14.0"/>
      </rPr>
      <t>|</t>
    </r>
  </si>
  <si>
    <t>GETC20SC</t>
  </si>
  <si>
    <r>
      <rPr>
        <rFont val="Times New Roman"/>
        <color theme="1"/>
        <sz val="14.0"/>
      </rPr>
      <t xml:space="preserve"> Rollo Corrugado Semipesado por 25m de ø20mm </t>
    </r>
    <r>
      <rPr>
        <rFont val="Times New Roman"/>
        <b/>
        <i/>
        <color theme="1"/>
        <sz val="14.0"/>
      </rPr>
      <t>CERRADO</t>
    </r>
  </si>
  <si>
    <r>
      <rPr>
        <rFont val="Times New Roman"/>
        <color theme="1"/>
        <sz val="14.0"/>
      </rPr>
      <t xml:space="preserve"> Rollo Corrugado Semipesado por 25m de ø20mm </t>
    </r>
    <r>
      <rPr>
        <rFont val="Times New Roman"/>
        <b/>
        <color theme="1"/>
        <sz val="14.0"/>
      </rPr>
      <t>metro</t>
    </r>
  </si>
  <si>
    <t>GETC22SC</t>
  </si>
  <si>
    <r>
      <rPr>
        <rFont val="Times New Roman"/>
        <color theme="1"/>
        <sz val="14.0"/>
      </rPr>
      <t xml:space="preserve"> Rollo Corrugado Semipesado por 25m de ø22mm </t>
    </r>
    <r>
      <rPr>
        <rFont val="Times New Roman"/>
        <b/>
        <i/>
        <color theme="1"/>
        <sz val="14.0"/>
      </rPr>
      <t>CERRADO</t>
    </r>
  </si>
  <si>
    <r>
      <rPr>
        <rFont val="Times New Roman"/>
        <color theme="1"/>
        <sz val="14.0"/>
      </rPr>
      <t xml:space="preserve"> Rollo Corrugado Semipesado por 25m de ø22mm </t>
    </r>
    <r>
      <rPr>
        <rFont val="Times New Roman"/>
        <b/>
        <color theme="1"/>
        <sz val="14.0"/>
      </rPr>
      <t>metro</t>
    </r>
  </si>
  <si>
    <t>GETC25SC</t>
  </si>
  <si>
    <r>
      <rPr>
        <rFont val="Times New Roman"/>
        <color theme="1"/>
        <sz val="14.0"/>
      </rPr>
      <t>Rollo Corrugado Semipesado por 25m de ø25mm</t>
    </r>
    <r>
      <rPr>
        <rFont val="Times New Roman"/>
        <b/>
        <i/>
        <color theme="1"/>
        <sz val="14.0"/>
      </rPr>
      <t xml:space="preserve"> CERRADO</t>
    </r>
  </si>
  <si>
    <r>
      <rPr>
        <rFont val="Times New Roman"/>
        <color theme="1"/>
        <sz val="14.0"/>
      </rPr>
      <t xml:space="preserve">Rollo Corrugado Semipesado por 25m de ø25mm </t>
    </r>
    <r>
      <rPr>
        <rFont val="Times New Roman"/>
        <b/>
        <color theme="1"/>
        <sz val="14.0"/>
      </rPr>
      <t>metro</t>
    </r>
  </si>
  <si>
    <r>
      <rPr>
        <rFont val="Times New Roman"/>
        <b/>
        <color theme="1"/>
        <sz val="14.0"/>
      </rPr>
      <t>Despacho Nro.</t>
    </r>
  </si>
  <si>
    <r>
      <rPr>
        <rFont val="Times New Roman"/>
        <b/>
        <color theme="1"/>
        <sz val="14.0"/>
      </rPr>
      <t>U.M.</t>
    </r>
  </si>
  <si>
    <r>
      <rPr>
        <rFont val="Times New Roman"/>
        <b/>
        <color theme="1"/>
        <sz val="14.0"/>
      </rPr>
      <t>P.Unit. Dcto.</t>
    </r>
  </si>
  <si>
    <r>
      <rPr>
        <rFont val="Times New Roman"/>
        <b/>
        <color theme="1"/>
        <sz val="14.0"/>
      </rPr>
      <t>Importe</t>
    </r>
  </si>
  <si>
    <r>
      <rPr>
        <rFont val="Times New Roman"/>
        <b/>
        <color rgb="FF000000"/>
        <sz val="14.0"/>
      </rPr>
      <t xml:space="preserve">|
</t>
    </r>
    <r>
      <rPr>
        <rFont val="Times New Roman"/>
        <b/>
        <color rgb="FF000000"/>
        <sz val="14.0"/>
      </rPr>
      <t>|</t>
    </r>
  </si>
  <si>
    <t>JC-225030</t>
  </si>
  <si>
    <t>Interruptor Diferencial Bipolar 2P 25A 30mA AC</t>
  </si>
  <si>
    <t>JC-C21645</t>
  </si>
  <si>
    <t>Interruptor Termomagnetico 2P 16A 4,5kA</t>
  </si>
  <si>
    <t>JC-C21045</t>
  </si>
  <si>
    <t>Interruptor Termomagnetico 2P 10A 4,5kA</t>
  </si>
  <si>
    <t>JMI</t>
  </si>
  <si>
    <t>Modulo Interruptor 10A</t>
  </si>
  <si>
    <t>JMC</t>
  </si>
  <si>
    <t>Modulo Ciego</t>
  </si>
  <si>
    <t>JTB</t>
  </si>
  <si>
    <t xml:space="preserve">Tapa Bastidor </t>
  </si>
  <si>
    <t>*</t>
  </si>
  <si>
    <r>
      <rPr>
        <rFont val="Times New Roman"/>
        <b/>
        <color theme="1"/>
        <sz val="14.0"/>
      </rPr>
      <t>Despacho Nro.</t>
    </r>
  </si>
  <si>
    <r>
      <rPr>
        <rFont val="Times New Roman"/>
        <b/>
        <color theme="1"/>
        <sz val="14.0"/>
      </rPr>
      <t>U.M.</t>
    </r>
  </si>
  <si>
    <r>
      <rPr>
        <rFont val="Times New Roman"/>
        <b/>
        <color theme="1"/>
        <sz val="14.0"/>
      </rPr>
      <t>P.Unit. Dcto.</t>
    </r>
  </si>
  <si>
    <r>
      <rPr>
        <rFont val="Times New Roman"/>
        <b/>
        <color theme="1"/>
        <sz val="14.0"/>
      </rPr>
      <t>Importe</t>
    </r>
  </si>
  <si>
    <r>
      <rPr>
        <rFont val="Times New Roman"/>
        <b/>
        <color rgb="FF000000"/>
        <sz val="14.0"/>
      </rPr>
      <t xml:space="preserve">|
</t>
    </r>
    <r>
      <rPr>
        <rFont val="Times New Roman"/>
        <b/>
        <color rgb="FF000000"/>
        <sz val="14.0"/>
      </rPr>
      <t>|</t>
    </r>
  </si>
  <si>
    <t>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</si>
</sst>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[$ $]#,##0.00"/>
    <numFmt numFmtId="166" formatCode="[$ $]#,##0"/>
    <numFmt numFmtId="167" formatCode="0000000"/>
    <numFmt numFmtId="168" formatCode="#,##0.00\ [$€-1]"/>
    <numFmt numFmtId="169" formatCode="_(&quot;$&quot;\ * #,##0.00_);_(&quot;$&quot;\ * \(#,##0.00\);_(&quot;$&quot;\ * &quot;-&quot;??_);_(@_)"/>
    <numFmt numFmtId="170" formatCode="[$ $]#,##0.0000"/>
    <numFmt numFmtId="171" formatCode="[$ $]#,##0.0"/>
    <numFmt numFmtId="172" formatCode="H:mm:ss"/>
  </numFmts>
  <fonts count="58">
    <font>
      <sz val="10.0"/>
      <color rgb="FF000000"/>
      <name val="Times New Roman"/>
      <scheme val="minor"/>
    </font>
    <font>
      <color theme="1"/>
      <name val="Arial"/>
    </font>
    <font/>
    <font>
      <sz val="26.0"/>
      <color theme="1"/>
      <name val="SuperFrench"/>
    </font>
    <font>
      <color theme="1"/>
      <name val="Times New Roman"/>
      <scheme val="minor"/>
    </font>
    <font>
      <sz val="20.0"/>
      <color theme="1"/>
      <name val="SuperFrench"/>
    </font>
    <font>
      <sz val="17.0"/>
      <color theme="1"/>
      <name val="Calibri"/>
    </font>
    <font>
      <sz val="17.0"/>
      <color theme="1"/>
      <name val="Times New Roman"/>
      <scheme val="minor"/>
    </font>
    <font>
      <sz val="17.0"/>
      <color theme="1"/>
      <name val="Arial"/>
    </font>
    <font>
      <b/>
      <sz val="18.0"/>
      <color rgb="FFFFFFFF"/>
      <name val="Calibri"/>
    </font>
    <font>
      <sz val="18.0"/>
      <color theme="1"/>
      <name val="Calibri"/>
    </font>
    <font>
      <sz val="18.0"/>
      <color theme="1"/>
      <name val="Arial"/>
    </font>
    <font>
      <sz val="18.0"/>
      <color theme="1"/>
      <name val="SuperFrench"/>
    </font>
    <font>
      <b/>
      <sz val="20.0"/>
      <color theme="1"/>
      <name val="Calibri"/>
    </font>
    <font>
      <b/>
      <u/>
      <sz val="16.0"/>
      <color rgb="FFFFFFFF"/>
      <name val="Calibri"/>
    </font>
    <font>
      <b/>
      <sz val="16.0"/>
      <color rgb="FFFFFFFF"/>
      <name val="Calibri"/>
    </font>
    <font>
      <sz val="10.0"/>
      <color rgb="FF000000"/>
      <name val="Times New Roman"/>
    </font>
    <font>
      <b/>
      <sz val="14.0"/>
      <color rgb="FF000000"/>
      <name val="Times New Roman"/>
    </font>
    <font>
      <b/>
      <sz val="14.0"/>
      <color theme="1"/>
      <name val="Times New Roman"/>
    </font>
    <font>
      <b/>
      <sz val="14.0"/>
      <color theme="0"/>
      <name val="Times New Roman"/>
    </font>
    <font>
      <b/>
      <sz val="12.0"/>
      <color rgb="FF000000"/>
      <name val="Times New Roman"/>
    </font>
    <font>
      <sz val="14.0"/>
      <color rgb="FF000000"/>
      <name val="Times New Roman"/>
    </font>
    <font>
      <b/>
      <sz val="10.0"/>
      <color rgb="FF000000"/>
      <name val="Times New Roman"/>
    </font>
    <font>
      <sz val="15.0"/>
      <color rgb="FF000000"/>
      <name val="Times New Roman"/>
    </font>
    <font>
      <sz val="16.0"/>
      <color rgb="FF000000"/>
      <name val="Times New Roman"/>
    </font>
    <font>
      <b/>
      <sz val="8.0"/>
      <color theme="1"/>
      <name val="Arial"/>
    </font>
    <font>
      <b/>
      <color rgb="FF000000"/>
      <name val="Times New Roman"/>
    </font>
    <font>
      <sz val="14.0"/>
      <color theme="1"/>
      <name val="Times New Roman"/>
    </font>
    <font>
      <b/>
      <sz val="8.0"/>
      <color theme="1"/>
      <name val="Tahoma"/>
    </font>
    <font>
      <b/>
      <sz val="15.0"/>
      <color theme="1"/>
      <name val="Tahoma"/>
    </font>
    <font>
      <b/>
      <sz val="12.0"/>
      <color theme="1"/>
      <name val="Times New Roman"/>
    </font>
    <font>
      <sz val="11.0"/>
      <color theme="1"/>
      <name val="Times New Roman"/>
      <scheme val="minor"/>
    </font>
    <font>
      <color theme="1"/>
      <name val="Times New Roman"/>
    </font>
    <font>
      <sz val="8.0"/>
      <color rgb="FF696969"/>
      <name val="Tahoma"/>
    </font>
    <font>
      <b/>
      <sz val="11.0"/>
      <color theme="1"/>
      <name val="Times New Roman"/>
    </font>
    <font>
      <b/>
      <sz val="11.0"/>
      <color rgb="FF000000"/>
      <name val="Times New Roman"/>
    </font>
    <font>
      <sz val="8.0"/>
      <color theme="1"/>
      <name val="Tahoma"/>
    </font>
    <font>
      <b/>
      <sz val="12.0"/>
      <color rgb="FF101726"/>
      <name val="Times New Roman"/>
    </font>
    <font>
      <b/>
      <color theme="1"/>
      <name val="Times New Roman"/>
    </font>
    <font>
      <sz val="12.0"/>
      <color theme="1"/>
      <name val="Times New Roman"/>
    </font>
    <font>
      <sz val="12.0"/>
      <color rgb="FF101726"/>
      <name val="Times New Roman"/>
    </font>
    <font>
      <sz val="12.0"/>
      <color rgb="FF000000"/>
      <name val="Times New Roman"/>
    </font>
    <font>
      <b/>
      <sz val="13.0"/>
      <color theme="1"/>
      <name val="Times New Roman"/>
    </font>
    <font>
      <b/>
      <sz val="16.0"/>
      <color theme="1"/>
      <name val="Times New Roman"/>
    </font>
    <font>
      <b/>
      <sz val="16.0"/>
      <color rgb="FF101726"/>
      <name val="Times New Roman"/>
    </font>
    <font>
      <b/>
      <sz val="16.0"/>
      <color theme="1"/>
      <name val="Times New Roman"/>
      <scheme val="minor"/>
    </font>
    <font>
      <sz val="13.0"/>
      <color theme="1"/>
      <name val="Times New Roman"/>
      <scheme val="minor"/>
    </font>
    <font>
      <sz val="11.0"/>
      <color rgb="FF000000"/>
      <name val="Times New Roman"/>
    </font>
    <font>
      <sz val="18.0"/>
      <color theme="1"/>
      <name val="Times New Roman"/>
    </font>
    <font>
      <sz val="17.0"/>
      <color theme="1"/>
      <name val="Times New Roman"/>
    </font>
    <font>
      <sz val="16.0"/>
      <color theme="1"/>
      <name val="Times New Roman"/>
      <scheme val="minor"/>
    </font>
    <font>
      <b/>
      <color theme="1"/>
      <name val="Times New Roman"/>
      <scheme val="minor"/>
    </font>
    <font>
      <b/>
      <sz val="11.0"/>
      <color theme="1"/>
      <name val="Times New Roman"/>
      <scheme val="minor"/>
    </font>
    <font>
      <color theme="1"/>
      <name val="Courier New"/>
    </font>
    <font>
      <color rgb="FF000000"/>
      <name val="Courier New"/>
    </font>
    <font>
      <sz val="14.0"/>
      <color theme="1"/>
      <name val="Times New Roman"/>
      <scheme val="minor"/>
    </font>
    <font>
      <b/>
      <sz val="14.0"/>
      <color theme="1"/>
      <name val="Times New Roman"/>
      <scheme val="minor"/>
    </font>
    <font>
      <sz val="13.0"/>
      <color theme="1"/>
      <name val="Times New Roman"/>
    </font>
  </fonts>
  <fills count="46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494949"/>
        <bgColor rgb="FF494949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3D85C6"/>
        <bgColor rgb="FF3D85C6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3C78D8"/>
        <bgColor rgb="FF3C78D8"/>
      </patternFill>
    </fill>
    <fill>
      <patternFill patternType="solid">
        <fgColor rgb="FFEAD1DC"/>
        <bgColor rgb="FFEAD1DC"/>
      </patternFill>
    </fill>
    <fill>
      <patternFill patternType="solid">
        <fgColor rgb="FFDD7E6B"/>
        <bgColor rgb="FFDD7E6B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EA9999"/>
        <bgColor rgb="FFEA9999"/>
      </patternFill>
    </fill>
    <fill>
      <patternFill patternType="solid">
        <fgColor rgb="FFF5F5F5"/>
        <bgColor rgb="FFF5F5F5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EFEFEF"/>
        <bgColor rgb="FFEFEFEF"/>
      </patternFill>
    </fill>
    <fill>
      <patternFill patternType="solid">
        <fgColor rgb="FFF1C232"/>
        <bgColor rgb="FFF1C232"/>
      </patternFill>
    </fill>
    <fill>
      <patternFill patternType="solid">
        <fgColor theme="6"/>
        <bgColor theme="6"/>
      </patternFill>
    </fill>
    <fill>
      <patternFill patternType="solid">
        <fgColor rgb="FFB7B7B7"/>
        <bgColor rgb="FFB7B7B7"/>
      </patternFill>
    </fill>
    <fill>
      <patternFill patternType="solid">
        <fgColor rgb="FFE06666"/>
        <bgColor rgb="FFE06666"/>
      </patternFill>
    </fill>
    <fill>
      <patternFill patternType="solid">
        <fgColor rgb="FF38761D"/>
        <bgColor rgb="FF38761D"/>
      </patternFill>
    </fill>
    <fill>
      <patternFill patternType="solid">
        <fgColor rgb="FF1155CC"/>
        <bgColor rgb="FF1155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theme="5"/>
        <bgColor theme="5"/>
      </patternFill>
    </fill>
  </fills>
  <borders count="3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94949"/>
      </left>
      <top style="thin">
        <color rgb="FF494949"/>
      </top>
    </border>
    <border>
      <right/>
      <top style="thin">
        <color rgb="FF494949"/>
      </top>
    </border>
    <border>
      <left/>
      <right/>
      <top style="thin">
        <color rgb="FF494949"/>
      </top>
    </border>
    <border>
      <left/>
      <right style="thin">
        <color rgb="FF494949"/>
      </right>
      <top style="thin">
        <color rgb="FF494949"/>
      </top>
    </border>
    <border>
      <right style="thin">
        <color rgb="FF494949"/>
      </right>
      <top style="thin">
        <color rgb="FF494949"/>
      </top>
    </border>
    <border>
      <top style="thin">
        <color rgb="FF494949"/>
      </top>
    </border>
    <border>
      <right style="thin">
        <color rgb="FF000000"/>
      </right>
      <top style="thin">
        <color rgb="FF494949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35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2" fillId="0" fontId="2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4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5" fillId="0" fontId="1" numFmtId="0" xfId="0" applyAlignment="1" applyBorder="1" applyFont="1">
      <alignment horizontal="left" vertical="top"/>
    </xf>
    <xf borderId="0" fillId="0" fontId="3" numFmtId="0" xfId="0" applyAlignment="1" applyFont="1">
      <alignment horizontal="left" vertical="top"/>
    </xf>
    <xf borderId="5" fillId="0" fontId="4" numFmtId="0" xfId="0" applyAlignment="1" applyBorder="1" applyFont="1">
      <alignment horizontal="left" vertical="top"/>
    </xf>
    <xf borderId="0" fillId="0" fontId="5" numFmtId="0" xfId="0" applyAlignment="1" applyFont="1">
      <alignment horizontal="left" vertical="top"/>
    </xf>
    <xf borderId="0" fillId="0" fontId="6" numFmtId="0" xfId="0" applyAlignment="1" applyFont="1">
      <alignment horizontal="left" vertical="top"/>
    </xf>
    <xf borderId="0" fillId="0" fontId="6" numFmtId="164" xfId="0" applyAlignment="1" applyFont="1" applyNumberFormat="1">
      <alignment horizontal="left" readingOrder="0" vertical="top"/>
    </xf>
    <xf borderId="5" fillId="0" fontId="7" numFmtId="0" xfId="0" applyAlignment="1" applyBorder="1" applyFont="1">
      <alignment horizontal="left" vertical="top"/>
    </xf>
    <xf borderId="0" fillId="0" fontId="8" numFmtId="0" xfId="0" applyAlignment="1" applyFont="1">
      <alignment horizontal="left" vertical="top"/>
    </xf>
    <xf borderId="5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left" vertical="top"/>
    </xf>
    <xf borderId="6" fillId="0" fontId="2" numFmtId="0" xfId="0" applyAlignment="1" applyBorder="1" applyFont="1">
      <alignment horizontal="left" vertical="top"/>
    </xf>
    <xf borderId="7" fillId="0" fontId="2" numFmtId="0" xfId="0" applyAlignment="1" applyBorder="1" applyFont="1">
      <alignment horizontal="left" vertical="top"/>
    </xf>
    <xf borderId="8" fillId="0" fontId="2" numFmtId="0" xfId="0" applyAlignment="1" applyBorder="1" applyFont="1">
      <alignment horizontal="left" vertical="top"/>
    </xf>
    <xf borderId="6" fillId="2" fontId="9" numFmtId="0" xfId="0" applyAlignment="1" applyBorder="1" applyFill="1" applyFont="1">
      <alignment horizontal="center" vertical="bottom"/>
    </xf>
    <xf borderId="8" fillId="2" fontId="9" numFmtId="0" xfId="0" applyAlignment="1" applyBorder="1" applyFont="1">
      <alignment horizontal="center" vertical="bottom"/>
    </xf>
    <xf borderId="7" fillId="2" fontId="9" numFmtId="0" xfId="0" applyAlignment="1" applyBorder="1" applyFont="1">
      <alignment horizontal="center" vertical="bottom"/>
    </xf>
    <xf borderId="9" fillId="2" fontId="9" numFmtId="0" xfId="0" applyAlignment="1" applyBorder="1" applyFont="1">
      <alignment horizontal="center" vertical="bottom"/>
    </xf>
    <xf borderId="6" fillId="0" fontId="10" numFmtId="0" xfId="0" applyAlignment="1" applyBorder="1" applyFont="1">
      <alignment horizontal="left" vertical="bottom"/>
    </xf>
    <xf borderId="10" fillId="3" fontId="10" numFmtId="4" xfId="0" applyAlignment="1" applyBorder="1" applyFill="1" applyFont="1" applyNumberFormat="1">
      <alignment horizontal="center" readingOrder="0" vertical="top"/>
    </xf>
    <xf borderId="10" fillId="3" fontId="10" numFmtId="165" xfId="0" applyAlignment="1" applyBorder="1" applyFont="1" applyNumberFormat="1">
      <alignment horizontal="center" readingOrder="0" vertical="top"/>
    </xf>
    <xf borderId="7" fillId="3" fontId="10" numFmtId="165" xfId="0" applyAlignment="1" applyBorder="1" applyFont="1" applyNumberFormat="1">
      <alignment horizontal="center" vertical="top"/>
    </xf>
    <xf borderId="9" fillId="3" fontId="10" numFmtId="165" xfId="0" applyAlignment="1" applyBorder="1" applyFont="1" applyNumberFormat="1">
      <alignment horizontal="center" vertical="top"/>
    </xf>
    <xf borderId="6" fillId="0" fontId="10" numFmtId="0" xfId="0" applyAlignment="1" applyBorder="1" applyFont="1">
      <alignment horizontal="left" vertical="top"/>
    </xf>
    <xf borderId="10" fillId="4" fontId="10" numFmtId="4" xfId="0" applyAlignment="1" applyBorder="1" applyFill="1" applyFont="1" applyNumberFormat="1">
      <alignment horizontal="center" vertical="top"/>
    </xf>
    <xf borderId="10" fillId="0" fontId="10" numFmtId="165" xfId="0" applyAlignment="1" applyBorder="1" applyFont="1" applyNumberFormat="1">
      <alignment horizontal="center" vertical="top"/>
    </xf>
    <xf borderId="11" fillId="3" fontId="10" numFmtId="0" xfId="0" applyAlignment="1" applyBorder="1" applyFont="1">
      <alignment horizontal="left" vertical="top"/>
    </xf>
    <xf borderId="12" fillId="0" fontId="2" numFmtId="0" xfId="0" applyAlignment="1" applyBorder="1" applyFont="1">
      <alignment horizontal="left" vertical="top"/>
    </xf>
    <xf borderId="13" fillId="0" fontId="2" numFmtId="0" xfId="0" applyAlignment="1" applyBorder="1" applyFont="1">
      <alignment horizontal="left" vertical="top"/>
    </xf>
    <xf borderId="10" fillId="3" fontId="10" numFmtId="4" xfId="0" applyAlignment="1" applyBorder="1" applyFont="1" applyNumberFormat="1">
      <alignment horizontal="center" vertical="top"/>
    </xf>
    <xf borderId="10" fillId="3" fontId="10" numFmtId="165" xfId="0" applyAlignment="1" applyBorder="1" applyFont="1" applyNumberFormat="1">
      <alignment horizontal="center" vertical="top"/>
    </xf>
    <xf borderId="11" fillId="0" fontId="10" numFmtId="0" xfId="0" applyAlignment="1" applyBorder="1" applyFont="1">
      <alignment horizontal="left" vertical="top"/>
    </xf>
    <xf borderId="10" fillId="0" fontId="10" numFmtId="4" xfId="0" applyAlignment="1" applyBorder="1" applyFont="1" applyNumberFormat="1">
      <alignment horizontal="center" vertical="top"/>
    </xf>
    <xf borderId="11" fillId="3" fontId="11" numFmtId="0" xfId="0" applyAlignment="1" applyBorder="1" applyFont="1">
      <alignment horizontal="left" vertical="top"/>
    </xf>
    <xf borderId="10" fillId="3" fontId="11" numFmtId="4" xfId="0" applyAlignment="1" applyBorder="1" applyFont="1" applyNumberFormat="1">
      <alignment horizontal="left" vertical="top"/>
    </xf>
    <xf borderId="10" fillId="3" fontId="11" numFmtId="165" xfId="0" applyAlignment="1" applyBorder="1" applyFont="1" applyNumberFormat="1">
      <alignment horizontal="left" vertical="top"/>
    </xf>
    <xf borderId="1" fillId="0" fontId="11" numFmtId="0" xfId="0" applyAlignment="1" applyBorder="1" applyFont="1">
      <alignment horizontal="left" vertical="top"/>
    </xf>
    <xf borderId="5" fillId="0" fontId="11" numFmtId="4" xfId="0" applyAlignment="1" applyBorder="1" applyFont="1" applyNumberFormat="1">
      <alignment horizontal="left" vertical="top"/>
    </xf>
    <xf borderId="5" fillId="0" fontId="11" numFmtId="165" xfId="0" applyAlignment="1" applyBorder="1" applyFont="1" applyNumberFormat="1">
      <alignment horizontal="left" vertical="top"/>
    </xf>
    <xf borderId="11" fillId="5" fontId="12" numFmtId="0" xfId="0" applyAlignment="1" applyBorder="1" applyFill="1" applyFont="1">
      <alignment horizontal="center" vertical="bottom"/>
    </xf>
    <xf borderId="11" fillId="5" fontId="13" numFmtId="165" xfId="0" applyAlignment="1" applyBorder="1" applyFont="1" applyNumberFormat="1">
      <alignment horizontal="center" vertical="bottom"/>
    </xf>
    <xf borderId="10" fillId="5" fontId="13" numFmtId="165" xfId="0" applyAlignment="1" applyBorder="1" applyFont="1" applyNumberFormat="1">
      <alignment horizontal="center" vertical="bottom"/>
    </xf>
    <xf borderId="4" fillId="0" fontId="4" numFmtId="0" xfId="0" applyAlignment="1" applyBorder="1" applyFont="1">
      <alignment horizontal="left" vertical="top"/>
    </xf>
    <xf borderId="7" fillId="2" fontId="14" numFmtId="0" xfId="0" applyAlignment="1" applyBorder="1" applyFont="1">
      <alignment horizontal="center" readingOrder="0" shrinkToFit="0" vertical="top" wrapText="0"/>
    </xf>
    <xf borderId="0" fillId="2" fontId="15" numFmtId="0" xfId="0" applyAlignment="1" applyFont="1">
      <alignment horizontal="center" readingOrder="0" shrinkToFit="0" vertical="top" wrapText="0"/>
    </xf>
    <xf borderId="0" fillId="6" fontId="16" numFmtId="0" xfId="0" applyAlignment="1" applyFill="1" applyFont="1">
      <alignment horizontal="center" shrinkToFit="0" vertical="top" wrapText="1"/>
    </xf>
    <xf borderId="0" fillId="0" fontId="16" numFmtId="0" xfId="0" applyAlignment="1" applyFont="1">
      <alignment horizontal="left" vertical="center"/>
    </xf>
    <xf borderId="0" fillId="0" fontId="16" numFmtId="0" xfId="0" applyAlignment="1" applyFont="1">
      <alignment horizontal="left" vertical="top"/>
    </xf>
    <xf borderId="14" fillId="7" fontId="17" numFmtId="0" xfId="0" applyAlignment="1" applyBorder="1" applyFill="1" applyFont="1">
      <alignment horizontal="center" shrinkToFit="0" vertical="center" wrapText="1"/>
    </xf>
    <xf borderId="10" fillId="4" fontId="17" numFmtId="0" xfId="0" applyAlignment="1" applyBorder="1" applyFont="1">
      <alignment horizontal="center" shrinkToFit="0" vertical="center" wrapText="1"/>
    </xf>
    <xf borderId="10" fillId="4" fontId="17" numFmtId="3" xfId="0" applyAlignment="1" applyBorder="1" applyFont="1" applyNumberFormat="1">
      <alignment horizontal="center" shrinkToFit="0" vertical="center" wrapText="1"/>
    </xf>
    <xf borderId="15" fillId="6" fontId="18" numFmtId="0" xfId="0" applyAlignment="1" applyBorder="1" applyFont="1">
      <alignment horizontal="center" shrinkToFit="0" vertical="center" wrapText="1"/>
    </xf>
    <xf borderId="16" fillId="6" fontId="19" numFmtId="0" xfId="0" applyAlignment="1" applyBorder="1" applyFont="1">
      <alignment horizontal="center" shrinkToFit="0" vertical="center" wrapText="1"/>
    </xf>
    <xf borderId="17" fillId="6" fontId="19" numFmtId="0" xfId="0" applyAlignment="1" applyBorder="1" applyFont="1">
      <alignment horizontal="center" shrinkToFit="0" vertical="center" wrapText="1"/>
    </xf>
    <xf borderId="17" fillId="8" fontId="17" numFmtId="0" xfId="0" applyAlignment="1" applyBorder="1" applyFill="1" applyFont="1">
      <alignment horizontal="center" shrinkToFit="0" vertical="center" wrapText="1"/>
    </xf>
    <xf borderId="18" fillId="0" fontId="17" numFmtId="0" xfId="0" applyAlignment="1" applyBorder="1" applyFont="1">
      <alignment horizontal="center" shrinkToFit="0" vertical="center" wrapText="1"/>
    </xf>
    <xf borderId="17" fillId="9" fontId="17" numFmtId="0" xfId="0" applyAlignment="1" applyBorder="1" applyFill="1" applyFont="1">
      <alignment horizontal="center" shrinkToFit="0" vertical="center" wrapText="1"/>
    </xf>
    <xf borderId="0" fillId="10" fontId="20" numFmtId="0" xfId="0" applyAlignment="1" applyFill="1" applyFont="1">
      <alignment horizontal="center" readingOrder="0" vertical="center"/>
    </xf>
    <xf borderId="0" fillId="11" fontId="20" numFmtId="0" xfId="0" applyAlignment="1" applyFill="1" applyFont="1">
      <alignment horizontal="center" vertical="center"/>
    </xf>
    <xf borderId="0" fillId="0" fontId="16" numFmtId="0" xfId="0" applyAlignment="1" applyFont="1">
      <alignment horizontal="left" readingOrder="0" vertical="top"/>
    </xf>
    <xf borderId="10" fillId="7" fontId="21" numFmtId="0" xfId="0" applyAlignment="1" applyBorder="1" applyFont="1">
      <alignment horizontal="center" shrinkToFit="0" vertical="top" wrapText="1"/>
    </xf>
    <xf borderId="10" fillId="0" fontId="21" numFmtId="0" xfId="0" applyAlignment="1" applyBorder="1" applyFont="1">
      <alignment horizontal="left" readingOrder="0" shrinkToFit="0" vertical="top" wrapText="1"/>
    </xf>
    <xf borderId="10" fillId="0" fontId="21" numFmtId="3" xfId="0" applyAlignment="1" applyBorder="1" applyFont="1" applyNumberFormat="1">
      <alignment horizontal="center" shrinkToFit="1" vertical="top" wrapText="0"/>
    </xf>
    <xf borderId="10" fillId="0" fontId="21" numFmtId="2" xfId="0" applyAlignment="1" applyBorder="1" applyFont="1" applyNumberFormat="1">
      <alignment horizontal="center" shrinkToFit="1" vertical="top" wrapText="0"/>
    </xf>
    <xf borderId="10" fillId="0" fontId="21" numFmtId="4" xfId="0" applyAlignment="1" applyBorder="1" applyFont="1" applyNumberFormat="1">
      <alignment horizontal="center" shrinkToFit="1" vertical="top" wrapText="0"/>
    </xf>
    <xf borderId="10" fillId="8" fontId="21" numFmtId="4" xfId="0" applyAlignment="1" applyBorder="1" applyFont="1" applyNumberFormat="1">
      <alignment horizontal="center" shrinkToFit="1" vertical="top" wrapText="0"/>
    </xf>
    <xf borderId="10" fillId="9" fontId="21" numFmtId="4" xfId="0" applyAlignment="1" applyBorder="1" applyFont="1" applyNumberFormat="1">
      <alignment horizontal="center" shrinkToFit="1" vertical="top" wrapText="0"/>
    </xf>
    <xf borderId="11" fillId="10" fontId="22" numFmtId="0" xfId="0" applyAlignment="1" applyBorder="1" applyFont="1">
      <alignment horizontal="center" readingOrder="0" vertical="center"/>
    </xf>
    <xf borderId="13" fillId="11" fontId="22" numFmtId="3" xfId="0" applyAlignment="1" applyBorder="1" applyFont="1" applyNumberFormat="1">
      <alignment horizontal="center" readingOrder="0" vertical="center"/>
    </xf>
    <xf borderId="0" fillId="0" fontId="16" numFmtId="165" xfId="0" applyAlignment="1" applyFont="1" applyNumberFormat="1">
      <alignment horizontal="left" vertical="top"/>
    </xf>
    <xf borderId="10" fillId="12" fontId="21" numFmtId="0" xfId="0" applyAlignment="1" applyBorder="1" applyFill="1" applyFont="1">
      <alignment horizontal="left" shrinkToFit="0" vertical="top" wrapText="1"/>
    </xf>
    <xf borderId="11" fillId="10" fontId="22" numFmtId="0" xfId="0" applyAlignment="1" applyBorder="1" applyFont="1">
      <alignment horizontal="center" vertical="center"/>
    </xf>
    <xf borderId="10" fillId="13" fontId="21" numFmtId="0" xfId="0" applyAlignment="1" applyBorder="1" applyFill="1" applyFont="1">
      <alignment horizontal="left" readingOrder="0" shrinkToFit="0" vertical="top" wrapText="1"/>
    </xf>
    <xf borderId="10" fillId="13" fontId="21" numFmtId="0" xfId="0" applyAlignment="1" applyBorder="1" applyFont="1">
      <alignment horizontal="left" shrinkToFit="0" vertical="top" wrapText="1"/>
    </xf>
    <xf borderId="10" fillId="14" fontId="21" numFmtId="0" xfId="0" applyAlignment="1" applyBorder="1" applyFill="1" applyFont="1">
      <alignment horizontal="left" shrinkToFit="0" vertical="top" wrapText="1"/>
    </xf>
    <xf borderId="10" fillId="8" fontId="21" numFmtId="4" xfId="0" applyAlignment="1" applyBorder="1" applyFont="1" applyNumberFormat="1">
      <alignment horizontal="center" readingOrder="0" shrinkToFit="1" vertical="top" wrapText="0"/>
    </xf>
    <xf borderId="10" fillId="3" fontId="21" numFmtId="0" xfId="0" applyAlignment="1" applyBorder="1" applyFont="1">
      <alignment horizontal="left" shrinkToFit="0" vertical="top" wrapText="1"/>
    </xf>
    <xf borderId="10" fillId="15" fontId="21" numFmtId="0" xfId="0" applyAlignment="1" applyBorder="1" applyFill="1" applyFont="1">
      <alignment horizontal="left" readingOrder="0" shrinkToFit="0" vertical="top" wrapText="1"/>
    </xf>
    <xf borderId="10" fillId="15" fontId="21" numFmtId="0" xfId="0" applyAlignment="1" applyBorder="1" applyFont="1">
      <alignment horizontal="left" shrinkToFit="0" vertical="top" wrapText="1"/>
    </xf>
    <xf borderId="10" fillId="0" fontId="21" numFmtId="0" xfId="0" applyAlignment="1" applyBorder="1" applyFont="1">
      <alignment horizontal="left" shrinkToFit="0" vertical="top" wrapText="1"/>
    </xf>
    <xf borderId="10" fillId="16" fontId="21" numFmtId="0" xfId="0" applyAlignment="1" applyBorder="1" applyFill="1" applyFont="1">
      <alignment horizontal="left" shrinkToFit="0" vertical="top" wrapText="1"/>
    </xf>
    <xf borderId="10" fillId="17" fontId="21" numFmtId="0" xfId="0" applyAlignment="1" applyBorder="1" applyFill="1" applyFont="1">
      <alignment horizontal="left" readingOrder="0" shrinkToFit="0" vertical="top" wrapText="1"/>
    </xf>
    <xf borderId="10" fillId="17" fontId="21" numFmtId="0" xfId="0" applyAlignment="1" applyBorder="1" applyFont="1">
      <alignment horizontal="left" shrinkToFit="0" vertical="top" wrapText="1"/>
    </xf>
    <xf borderId="13" fillId="11" fontId="22" numFmtId="0" xfId="0" applyAlignment="1" applyBorder="1" applyFont="1">
      <alignment horizontal="center" readingOrder="0" vertical="center"/>
    </xf>
    <xf borderId="10" fillId="0" fontId="21" numFmtId="3" xfId="0" applyAlignment="1" applyBorder="1" applyFont="1" applyNumberFormat="1">
      <alignment horizontal="center" shrinkToFit="0" vertical="top" wrapText="1"/>
    </xf>
    <xf borderId="0" fillId="0" fontId="21" numFmtId="4" xfId="0" applyAlignment="1" applyFont="1" applyNumberFormat="1">
      <alignment horizontal="center" shrinkToFit="1" vertical="top" wrapText="0"/>
    </xf>
    <xf borderId="19" fillId="0" fontId="21" numFmtId="2" xfId="0" applyAlignment="1" applyBorder="1" applyFont="1" applyNumberFormat="1">
      <alignment horizontal="center" shrinkToFit="1" vertical="top" wrapText="0"/>
    </xf>
    <xf borderId="5" fillId="0" fontId="21" numFmtId="4" xfId="0" applyAlignment="1" applyBorder="1" applyFont="1" applyNumberFormat="1">
      <alignment horizontal="center" shrinkToFit="1" vertical="top" wrapText="0"/>
    </xf>
    <xf borderId="20" fillId="0" fontId="21" numFmtId="4" xfId="0" applyAlignment="1" applyBorder="1" applyFont="1" applyNumberFormat="1">
      <alignment horizontal="center" shrinkToFit="1" vertical="top" wrapText="0"/>
    </xf>
    <xf borderId="10" fillId="18" fontId="21" numFmtId="0" xfId="0" applyAlignment="1" applyBorder="1" applyFill="1" applyFont="1">
      <alignment horizontal="left" shrinkToFit="0" vertical="top" wrapText="1"/>
    </xf>
    <xf borderId="0" fillId="19" fontId="21" numFmtId="0" xfId="0" applyAlignment="1" applyFill="1" applyFont="1">
      <alignment horizontal="center" vertical="top"/>
    </xf>
    <xf borderId="19" fillId="0" fontId="21" numFmtId="4" xfId="0" applyAlignment="1" applyBorder="1" applyFont="1" applyNumberFormat="1">
      <alignment horizontal="center" shrinkToFit="1" vertical="top" wrapText="0"/>
    </xf>
    <xf borderId="10" fillId="20" fontId="21" numFmtId="0" xfId="0" applyAlignment="1" applyBorder="1" applyFill="1" applyFont="1">
      <alignment horizontal="left" shrinkToFit="0" vertical="top" wrapText="1"/>
    </xf>
    <xf borderId="0" fillId="0" fontId="4" numFmtId="0" xfId="0" applyAlignment="1" applyFont="1">
      <alignment horizontal="left" vertical="center"/>
    </xf>
    <xf borderId="0" fillId="0" fontId="16" numFmtId="0" xfId="0" applyAlignment="1" applyFont="1">
      <alignment horizontal="center" vertical="top"/>
    </xf>
    <xf borderId="0" fillId="0" fontId="16" numFmtId="3" xfId="0" applyAlignment="1" applyFont="1" applyNumberFormat="1">
      <alignment horizontal="center" vertical="top"/>
    </xf>
    <xf borderId="0" fillId="0" fontId="21" numFmtId="0" xfId="0" applyAlignment="1" applyFont="1">
      <alignment horizontal="right" shrinkToFit="0" vertical="top" wrapText="1"/>
    </xf>
    <xf borderId="0" fillId="0" fontId="23" numFmtId="4" xfId="0" applyAlignment="1" applyFont="1" applyNumberFormat="1">
      <alignment horizontal="center" vertical="top"/>
    </xf>
    <xf borderId="0" fillId="0" fontId="21" numFmtId="0" xfId="0" applyAlignment="1" applyFont="1">
      <alignment horizontal="right" readingOrder="0" shrinkToFit="0" vertical="top" wrapText="1"/>
    </xf>
    <xf borderId="21" fillId="21" fontId="24" numFmtId="0" xfId="0" applyAlignment="1" applyBorder="1" applyFill="1" applyFont="1">
      <alignment horizontal="center" readingOrder="0" vertical="center"/>
    </xf>
    <xf borderId="22" fillId="21" fontId="16" numFmtId="165" xfId="0" applyAlignment="1" applyBorder="1" applyFont="1" applyNumberFormat="1">
      <alignment horizontal="center" readingOrder="0" vertical="top"/>
    </xf>
    <xf borderId="10" fillId="19" fontId="21" numFmtId="4" xfId="0" applyAlignment="1" applyBorder="1" applyFont="1" applyNumberFormat="1">
      <alignment horizontal="center" shrinkToFit="1" vertical="top" wrapText="0"/>
    </xf>
    <xf borderId="22" fillId="19" fontId="16" numFmtId="165" xfId="0" applyAlignment="1" applyBorder="1" applyFont="1" applyNumberFormat="1">
      <alignment horizontal="center" vertical="top"/>
    </xf>
    <xf borderId="11" fillId="19" fontId="22" numFmtId="0" xfId="0" applyAlignment="1" applyBorder="1" applyFont="1">
      <alignment horizontal="center" vertical="center"/>
    </xf>
    <xf borderId="13" fillId="19" fontId="22" numFmtId="0" xfId="0" applyAlignment="1" applyBorder="1" applyFont="1">
      <alignment horizontal="center" readingOrder="0" vertical="center"/>
    </xf>
    <xf borderId="0" fillId="19" fontId="16" numFmtId="0" xfId="0" applyAlignment="1" applyFont="1">
      <alignment horizontal="left" vertical="top"/>
    </xf>
    <xf borderId="0" fillId="19" fontId="16" numFmtId="165" xfId="0" applyAlignment="1" applyFont="1" applyNumberFormat="1">
      <alignment horizontal="left" vertical="top"/>
    </xf>
    <xf borderId="23" fillId="21" fontId="16" numFmtId="165" xfId="0" applyAlignment="1" applyBorder="1" applyFont="1" applyNumberFormat="1">
      <alignment horizontal="center" readingOrder="0" vertical="top"/>
    </xf>
    <xf borderId="0" fillId="0" fontId="16" numFmtId="0" xfId="0" applyAlignment="1" applyFont="1">
      <alignment horizontal="center" readingOrder="0" vertical="top"/>
    </xf>
    <xf borderId="0" fillId="0" fontId="4" numFmtId="10" xfId="0" applyAlignment="1" applyFont="1" applyNumberFormat="1">
      <alignment horizontal="center" readingOrder="0" vertical="top"/>
    </xf>
    <xf borderId="0" fillId="0" fontId="16" numFmtId="165" xfId="0" applyAlignment="1" applyFont="1" applyNumberFormat="1">
      <alignment horizontal="center" readingOrder="0" vertical="top"/>
    </xf>
    <xf borderId="0" fillId="0" fontId="16" numFmtId="166" xfId="0" applyAlignment="1" applyFont="1" applyNumberFormat="1">
      <alignment horizontal="center" readingOrder="0" vertical="top"/>
    </xf>
    <xf borderId="0" fillId="0" fontId="16" numFmtId="166" xfId="0" applyAlignment="1" applyFont="1" applyNumberFormat="1">
      <alignment horizontal="center" vertical="top"/>
    </xf>
    <xf borderId="0" fillId="0" fontId="16" numFmtId="9" xfId="0" applyAlignment="1" applyFont="1" applyNumberFormat="1">
      <alignment horizontal="center" readingOrder="0" vertical="top"/>
    </xf>
    <xf borderId="0" fillId="0" fontId="16" numFmtId="10" xfId="0" applyAlignment="1" applyFont="1" applyNumberFormat="1">
      <alignment horizontal="center" vertical="top"/>
    </xf>
    <xf borderId="0" fillId="0" fontId="16" numFmtId="0" xfId="0" applyAlignment="1" applyFont="1">
      <alignment horizontal="left" readingOrder="0" vertical="center"/>
    </xf>
    <xf borderId="0" fillId="0" fontId="25" numFmtId="0" xfId="0" applyAlignment="1" applyFont="1">
      <alignment horizontal="left" shrinkToFit="0" vertical="top" wrapText="1"/>
    </xf>
    <xf borderId="10" fillId="7" fontId="18" numFmtId="0" xfId="0" applyAlignment="1" applyBorder="1" applyFont="1">
      <alignment horizontal="center" shrinkToFit="0" vertical="center" wrapText="1"/>
    </xf>
    <xf borderId="11" fillId="0" fontId="18" numFmtId="0" xfId="0" applyAlignment="1" applyBorder="1" applyFont="1">
      <alignment horizontal="center" shrinkToFit="0" vertical="center" wrapText="1"/>
    </xf>
    <xf borderId="10" fillId="0" fontId="18" numFmtId="0" xfId="0" applyAlignment="1" applyBorder="1" applyFont="1">
      <alignment horizontal="center" shrinkToFit="0" vertical="center" wrapText="1"/>
    </xf>
    <xf borderId="10" fillId="0" fontId="18" numFmtId="0" xfId="0" applyAlignment="1" applyBorder="1" applyFont="1">
      <alignment horizontal="center" readingOrder="0" shrinkToFit="0" vertical="center" wrapText="1"/>
    </xf>
    <xf borderId="10" fillId="8" fontId="18" numFmtId="0" xfId="0" applyAlignment="1" applyBorder="1" applyFont="1">
      <alignment horizontal="center" shrinkToFit="0" vertical="center" wrapText="1"/>
    </xf>
    <xf borderId="10" fillId="9" fontId="18" numFmtId="0" xfId="0" applyAlignment="1" applyBorder="1" applyFont="1">
      <alignment horizontal="center" shrinkToFit="0" vertical="center" wrapText="1"/>
    </xf>
    <xf borderId="10" fillId="22" fontId="26" numFmtId="0" xfId="0" applyAlignment="1" applyBorder="1" applyFill="1" applyFont="1">
      <alignment horizontal="center" readingOrder="0" vertical="center"/>
    </xf>
    <xf borderId="10" fillId="11" fontId="26" numFmtId="0" xfId="0" applyAlignment="1" applyBorder="1" applyFont="1">
      <alignment horizontal="center" vertical="center"/>
    </xf>
    <xf borderId="0" fillId="0" fontId="4" numFmtId="0" xfId="0" applyAlignment="1" applyFont="1">
      <alignment horizontal="left" readingOrder="0" vertical="top"/>
    </xf>
    <xf borderId="10" fillId="7" fontId="21" numFmtId="167" xfId="0" applyAlignment="1" applyBorder="1" applyFont="1" applyNumberFormat="1">
      <alignment horizontal="center" shrinkToFit="1" vertical="center" wrapText="0"/>
    </xf>
    <xf borderId="11" fillId="23" fontId="27" numFmtId="0" xfId="0" applyAlignment="1" applyBorder="1" applyFill="1" applyFont="1">
      <alignment horizontal="center" readingOrder="0" shrinkToFit="0" vertical="center" wrapText="1"/>
    </xf>
    <xf borderId="11" fillId="0" fontId="21" numFmtId="1" xfId="0" applyAlignment="1" applyBorder="1" applyFont="1" applyNumberFormat="1">
      <alignment horizontal="center" shrinkToFit="1" vertical="center" wrapText="0"/>
    </xf>
    <xf borderId="10" fillId="0" fontId="27" numFmtId="0" xfId="0" applyAlignment="1" applyBorder="1" applyFont="1">
      <alignment horizontal="center" shrinkToFit="0" vertical="center" wrapText="1"/>
    </xf>
    <xf borderId="10" fillId="0" fontId="21" numFmtId="1" xfId="0" applyAlignment="1" applyBorder="1" applyFont="1" applyNumberFormat="1">
      <alignment horizontal="center" shrinkToFit="1" vertical="center" wrapText="0"/>
    </xf>
    <xf borderId="11" fillId="0" fontId="27" numFmtId="0" xfId="0" applyAlignment="1" applyBorder="1" applyFont="1">
      <alignment horizontal="center" shrinkToFit="0" vertical="center" wrapText="1"/>
    </xf>
    <xf borderId="10" fillId="0" fontId="27" numFmtId="2" xfId="0" applyAlignment="1" applyBorder="1" applyFont="1" applyNumberFormat="1">
      <alignment horizontal="center" shrinkToFit="0" vertical="center" wrapText="1"/>
    </xf>
    <xf borderId="10" fillId="8" fontId="21" numFmtId="165" xfId="0" applyAlignment="1" applyBorder="1" applyFont="1" applyNumberFormat="1">
      <alignment horizontal="center" shrinkToFit="0" vertical="center" wrapText="1"/>
    </xf>
    <xf borderId="10" fillId="0" fontId="27" numFmtId="165" xfId="0" applyAlignment="1" applyBorder="1" applyFont="1" applyNumberFormat="1">
      <alignment horizontal="center" vertical="center"/>
    </xf>
    <xf borderId="10" fillId="9" fontId="27" numFmtId="165" xfId="0" applyAlignment="1" applyBorder="1" applyFont="1" applyNumberFormat="1">
      <alignment horizontal="center" vertical="center"/>
    </xf>
    <xf borderId="11" fillId="22" fontId="26" numFmtId="0" xfId="0" applyAlignment="1" applyBorder="1" applyFont="1">
      <alignment horizontal="center" vertical="center"/>
    </xf>
    <xf borderId="13" fillId="11" fontId="26" numFmtId="1" xfId="0" applyAlignment="1" applyBorder="1" applyFont="1" applyNumberFormat="1">
      <alignment horizontal="center" vertical="center"/>
    </xf>
    <xf borderId="0" fillId="0" fontId="4" numFmtId="165" xfId="0" applyAlignment="1" applyFont="1" applyNumberFormat="1">
      <alignment horizontal="left" vertical="top"/>
    </xf>
    <xf borderId="11" fillId="24" fontId="27" numFmtId="0" xfId="0" applyAlignment="1" applyBorder="1" applyFill="1" applyFont="1">
      <alignment horizontal="center" readingOrder="0" shrinkToFit="0" vertical="center" wrapText="1"/>
    </xf>
    <xf borderId="11" fillId="0" fontId="27" numFmtId="4" xfId="0" applyAlignment="1" applyBorder="1" applyFont="1" applyNumberFormat="1">
      <alignment horizontal="center" readingOrder="0" shrinkToFit="0" vertical="center" wrapText="1"/>
    </xf>
    <xf borderId="11" fillId="24" fontId="27" numFmtId="0" xfId="0" applyAlignment="1" applyBorder="1" applyFont="1">
      <alignment horizontal="center" shrinkToFit="0" vertical="center" wrapText="1"/>
    </xf>
    <xf borderId="11" fillId="25" fontId="27" numFmtId="0" xfId="0" applyAlignment="1" applyBorder="1" applyFill="1" applyFont="1">
      <alignment horizontal="center" shrinkToFit="0" vertical="center" wrapText="1"/>
    </xf>
    <xf borderId="11" fillId="18" fontId="27" numFmtId="0" xfId="0" applyAlignment="1" applyBorder="1" applyFont="1">
      <alignment horizontal="center" shrinkToFit="0" vertical="center" wrapText="1"/>
    </xf>
    <xf borderId="11" fillId="22" fontId="26" numFmtId="0" xfId="0" applyAlignment="1" applyBorder="1" applyFont="1">
      <alignment horizontal="center" readingOrder="0" vertical="center"/>
    </xf>
    <xf borderId="10" fillId="7" fontId="21" numFmtId="1" xfId="0" applyAlignment="1" applyBorder="1" applyFont="1" applyNumberFormat="1">
      <alignment horizontal="center" shrinkToFit="1" vertical="center" wrapText="0"/>
    </xf>
    <xf borderId="10" fillId="7" fontId="27" numFmtId="0" xfId="0" applyAlignment="1" applyBorder="1" applyFont="1">
      <alignment horizontal="center" shrinkToFit="0" vertical="center" wrapText="1"/>
    </xf>
    <xf borderId="11" fillId="26" fontId="27" numFmtId="0" xfId="0" applyAlignment="1" applyBorder="1" applyFill="1" applyFont="1">
      <alignment horizontal="center" shrinkToFit="0" vertical="center" wrapText="1"/>
    </xf>
    <xf borderId="0" fillId="27" fontId="28" numFmtId="0" xfId="0" applyAlignment="1" applyFill="1" applyFont="1">
      <alignment horizontal="center" shrinkToFit="0" vertical="top" wrapText="1"/>
    </xf>
    <xf borderId="0" fillId="0" fontId="29" numFmtId="168" xfId="0" applyAlignment="1" applyFont="1" applyNumberFormat="1">
      <alignment horizontal="center" readingOrder="0" shrinkToFit="0" vertical="center" wrapText="1"/>
    </xf>
    <xf borderId="10" fillId="27" fontId="28" numFmtId="0" xfId="0" applyAlignment="1" applyBorder="1" applyFont="1">
      <alignment horizontal="center" shrinkToFit="0" vertical="top" wrapText="1"/>
    </xf>
    <xf borderId="10" fillId="27" fontId="18" numFmtId="0" xfId="0" applyAlignment="1" applyBorder="1" applyFont="1">
      <alignment horizontal="right" shrinkToFit="0" vertical="top" wrapText="1"/>
    </xf>
    <xf borderId="11" fillId="27" fontId="18" numFmtId="0" xfId="0" applyAlignment="1" applyBorder="1" applyFont="1">
      <alignment horizontal="left" shrinkToFit="0" vertical="top" wrapText="1"/>
    </xf>
    <xf borderId="10" fillId="27" fontId="18" numFmtId="0" xfId="0" applyAlignment="1" applyBorder="1" applyFont="1">
      <alignment horizontal="left" shrinkToFit="0" vertical="top" wrapText="1"/>
    </xf>
    <xf borderId="10" fillId="0" fontId="21" numFmtId="169" xfId="0" applyAlignment="1" applyBorder="1" applyFont="1" applyNumberFormat="1">
      <alignment horizontal="left" readingOrder="0" vertical="top"/>
    </xf>
    <xf borderId="10" fillId="28" fontId="17" numFmtId="169" xfId="0" applyAlignment="1" applyBorder="1" applyFill="1" applyFont="1" applyNumberFormat="1">
      <alignment horizontal="center" readingOrder="0" shrinkToFit="0" vertical="top" wrapText="1"/>
    </xf>
    <xf borderId="10" fillId="8" fontId="17" numFmtId="169" xfId="0" applyAlignment="1" applyBorder="1" applyFont="1" applyNumberFormat="1">
      <alignment horizontal="center" shrinkToFit="0" vertical="top" wrapText="1"/>
    </xf>
    <xf borderId="0" fillId="0" fontId="18" numFmtId="0" xfId="0" applyAlignment="1" applyFont="1">
      <alignment horizontal="left" vertical="top"/>
    </xf>
    <xf borderId="10" fillId="9" fontId="17" numFmtId="169" xfId="0" applyAlignment="1" applyBorder="1" applyFont="1" applyNumberFormat="1">
      <alignment horizontal="center" shrinkToFit="0" vertical="top" wrapText="1"/>
    </xf>
    <xf borderId="10" fillId="22" fontId="30" numFmtId="0" xfId="0" applyAlignment="1" applyBorder="1" applyFont="1">
      <alignment horizontal="center" readingOrder="0" vertical="center"/>
    </xf>
    <xf borderId="10" fillId="11" fontId="30" numFmtId="0" xfId="0" applyAlignment="1" applyBorder="1" applyFont="1">
      <alignment horizontal="center" vertical="center"/>
    </xf>
    <xf borderId="0" fillId="0" fontId="31" numFmtId="0" xfId="0" applyAlignment="1" applyFont="1">
      <alignment horizontal="left" readingOrder="0" vertical="top"/>
    </xf>
    <xf borderId="10" fillId="0" fontId="16" numFmtId="0" xfId="0" applyAlignment="1" applyBorder="1" applyFont="1">
      <alignment horizontal="left" shrinkToFit="0" vertical="bottom" wrapText="1"/>
    </xf>
    <xf borderId="0" fillId="7" fontId="16" numFmtId="0" xfId="0" applyAlignment="1" applyFont="1">
      <alignment horizontal="center" shrinkToFit="0" vertical="bottom" wrapText="1"/>
    </xf>
    <xf borderId="0" fillId="0" fontId="16" numFmtId="0" xfId="0" applyAlignment="1" applyFont="1">
      <alignment horizontal="left" shrinkToFit="0" vertical="bottom" wrapText="1"/>
    </xf>
    <xf borderId="0" fillId="0" fontId="16" numFmtId="0" xfId="0" applyAlignment="1" applyFont="1">
      <alignment horizontal="center" shrinkToFit="0" vertical="bottom" wrapText="1"/>
    </xf>
    <xf borderId="0" fillId="0" fontId="16" numFmtId="169" xfId="0" applyAlignment="1" applyFont="1" applyNumberFormat="1">
      <alignment horizontal="left" shrinkToFit="0" vertical="bottom" wrapText="1"/>
    </xf>
    <xf borderId="0" fillId="28" fontId="16" numFmtId="169" xfId="0" applyAlignment="1" applyFont="1" applyNumberFormat="1">
      <alignment horizontal="left" vertical="top"/>
    </xf>
    <xf borderId="0" fillId="8" fontId="16" numFmtId="169" xfId="0" applyAlignment="1" applyFont="1" applyNumberFormat="1">
      <alignment horizontal="left" vertical="top"/>
    </xf>
    <xf borderId="0" fillId="0" fontId="32" numFmtId="0" xfId="0" applyAlignment="1" applyFont="1">
      <alignment horizontal="left" vertical="top"/>
    </xf>
    <xf borderId="0" fillId="9" fontId="32" numFmtId="0" xfId="0" applyAlignment="1" applyFont="1">
      <alignment horizontal="left" vertical="top"/>
    </xf>
    <xf borderId="24" fillId="22" fontId="32" numFmtId="0" xfId="0" applyAlignment="1" applyBorder="1" applyFont="1">
      <alignment horizontal="left" vertical="top"/>
    </xf>
    <xf borderId="24" fillId="11" fontId="32" numFmtId="0" xfId="0" applyAlignment="1" applyBorder="1" applyFont="1">
      <alignment horizontal="left" vertical="top"/>
    </xf>
    <xf borderId="10" fillId="0" fontId="33" numFmtId="1" xfId="0" applyAlignment="1" applyBorder="1" applyFont="1" applyNumberFormat="1">
      <alignment horizontal="center" shrinkToFit="1" vertical="top" wrapText="0"/>
    </xf>
    <xf borderId="10" fillId="7" fontId="21" numFmtId="1" xfId="0" applyAlignment="1" applyBorder="1" applyFont="1" applyNumberFormat="1">
      <alignment horizontal="center" shrinkToFit="1" vertical="top" wrapText="0"/>
    </xf>
    <xf borderId="11" fillId="0" fontId="27" numFmtId="0" xfId="0" applyAlignment="1" applyBorder="1" applyFont="1">
      <alignment horizontal="left" readingOrder="0" shrinkToFit="0" vertical="top" wrapText="1"/>
    </xf>
    <xf borderId="10" fillId="0" fontId="21" numFmtId="1" xfId="0" applyAlignment="1" applyBorder="1" applyFont="1" applyNumberFormat="1">
      <alignment horizontal="center" shrinkToFit="1" vertical="top" wrapText="0"/>
    </xf>
    <xf borderId="10" fillId="0" fontId="21" numFmtId="4" xfId="0" applyAlignment="1" applyBorder="1" applyFont="1" applyNumberFormat="1">
      <alignment horizontal="right" shrinkToFit="1" vertical="top" wrapText="0"/>
    </xf>
    <xf borderId="11" fillId="0" fontId="21" numFmtId="2" xfId="0" applyAlignment="1" applyBorder="1" applyFont="1" applyNumberFormat="1">
      <alignment horizontal="left" shrinkToFit="1" vertical="top" wrapText="0"/>
    </xf>
    <xf borderId="10" fillId="0" fontId="21" numFmtId="169" xfId="0" applyAlignment="1" applyBorder="1" applyFont="1" applyNumberFormat="1">
      <alignment horizontal="left" shrinkToFit="0" vertical="bottom" wrapText="1"/>
    </xf>
    <xf borderId="10" fillId="28" fontId="21" numFmtId="169" xfId="0" applyAlignment="1" applyBorder="1" applyFont="1" applyNumberFormat="1">
      <alignment horizontal="left" vertical="top"/>
    </xf>
    <xf borderId="10" fillId="8" fontId="21" numFmtId="169" xfId="0" applyAlignment="1" applyBorder="1" applyFont="1" applyNumberFormat="1">
      <alignment horizontal="left" vertical="top"/>
    </xf>
    <xf borderId="10" fillId="0" fontId="27" numFmtId="0" xfId="0" applyAlignment="1" applyBorder="1" applyFont="1">
      <alignment horizontal="left" vertical="top"/>
    </xf>
    <xf borderId="11" fillId="9" fontId="21" numFmtId="169" xfId="0" applyAlignment="1" applyBorder="1" applyFont="1" applyNumberFormat="1">
      <alignment horizontal="left" vertical="top"/>
    </xf>
    <xf borderId="11" fillId="22" fontId="34" numFmtId="0" xfId="0" applyAlignment="1" applyBorder="1" applyFont="1">
      <alignment horizontal="center" readingOrder="0" vertical="top"/>
    </xf>
    <xf borderId="12" fillId="11" fontId="34" numFmtId="1" xfId="0" applyAlignment="1" applyBorder="1" applyFont="1" applyNumberFormat="1">
      <alignment horizontal="center" vertical="top"/>
    </xf>
    <xf borderId="11" fillId="0" fontId="27" numFmtId="0" xfId="0" applyAlignment="1" applyBorder="1" applyFont="1">
      <alignment horizontal="left" shrinkToFit="0" vertical="top" wrapText="1"/>
    </xf>
    <xf borderId="10" fillId="0" fontId="21" numFmtId="2" xfId="0" applyAlignment="1" applyBorder="1" applyFont="1" applyNumberFormat="1">
      <alignment horizontal="right" shrinkToFit="1" vertical="top" wrapText="0"/>
    </xf>
    <xf borderId="11" fillId="22" fontId="34" numFmtId="0" xfId="0" applyAlignment="1" applyBorder="1" applyFont="1">
      <alignment horizontal="center" vertical="top"/>
    </xf>
    <xf borderId="11" fillId="15" fontId="27" numFmtId="0" xfId="0" applyAlignment="1" applyBorder="1" applyFont="1">
      <alignment horizontal="left" shrinkToFit="0" vertical="top" wrapText="1"/>
    </xf>
    <xf borderId="11" fillId="22" fontId="35" numFmtId="0" xfId="0" applyAlignment="1" applyBorder="1" applyFont="1">
      <alignment horizontal="center" readingOrder="0" vertical="top"/>
    </xf>
    <xf borderId="11" fillId="29" fontId="27" numFmtId="0" xfId="0" applyAlignment="1" applyBorder="1" applyFill="1" applyFont="1">
      <alignment horizontal="left" shrinkToFit="0" vertical="top" wrapText="1"/>
    </xf>
    <xf borderId="10" fillId="0" fontId="32" numFmtId="0" xfId="0" applyAlignment="1" applyBorder="1" applyFont="1">
      <alignment horizontal="left" vertical="top"/>
    </xf>
    <xf borderId="11" fillId="29" fontId="27" numFmtId="0" xfId="0" applyAlignment="1" applyBorder="1" applyFont="1">
      <alignment horizontal="left" readingOrder="0" shrinkToFit="0" vertical="top" wrapText="1"/>
    </xf>
    <xf borderId="11" fillId="21" fontId="27" numFmtId="0" xfId="0" applyAlignment="1" applyBorder="1" applyFont="1">
      <alignment horizontal="left" shrinkToFit="0" vertical="top" wrapText="1"/>
    </xf>
    <xf borderId="11" fillId="30" fontId="27" numFmtId="0" xfId="0" applyAlignment="1" applyBorder="1" applyFill="1" applyFont="1">
      <alignment horizontal="left" shrinkToFit="0" vertical="top" wrapText="1"/>
    </xf>
    <xf borderId="11" fillId="0" fontId="33" numFmtId="0" xfId="0" applyAlignment="1" applyBorder="1" applyFont="1">
      <alignment horizontal="left" shrinkToFit="0" vertical="top" wrapText="1"/>
    </xf>
    <xf borderId="10" fillId="7" fontId="27" numFmtId="0" xfId="0" applyAlignment="1" applyBorder="1" applyFont="1">
      <alignment horizontal="center" shrinkToFit="0" vertical="top" wrapText="1"/>
    </xf>
    <xf borderId="11" fillId="31" fontId="27" numFmtId="0" xfId="0" applyAlignment="1" applyBorder="1" applyFill="1" applyFont="1">
      <alignment horizontal="left" shrinkToFit="0" vertical="top" wrapText="1"/>
    </xf>
    <xf borderId="11" fillId="0" fontId="36" numFmtId="0" xfId="0" applyAlignment="1" applyBorder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0"/>
    </xf>
    <xf borderId="11" fillId="32" fontId="27" numFmtId="0" xfId="0" applyAlignment="1" applyBorder="1" applyFill="1" applyFont="1">
      <alignment horizontal="left" shrinkToFit="0" vertical="top" wrapText="1"/>
    </xf>
    <xf borderId="11" fillId="24" fontId="27" numFmtId="0" xfId="0" applyAlignment="1" applyBorder="1" applyFont="1">
      <alignment horizontal="left" shrinkToFit="0" vertical="top" wrapText="1"/>
    </xf>
    <xf borderId="11" fillId="24" fontId="21" numFmtId="0" xfId="0" applyAlignment="1" applyBorder="1" applyFont="1">
      <alignment horizontal="left" shrinkToFit="0" vertical="top" wrapText="1"/>
    </xf>
    <xf borderId="10" fillId="0" fontId="21" numFmtId="1" xfId="0" applyAlignment="1" applyBorder="1" applyFont="1" applyNumberFormat="1">
      <alignment horizontal="center" readingOrder="0" shrinkToFit="1" vertical="top" wrapText="0"/>
    </xf>
    <xf borderId="0" fillId="0" fontId="32" numFmtId="0" xfId="0" applyAlignment="1" applyFont="1">
      <alignment horizontal="center" vertical="top"/>
    </xf>
    <xf borderId="0" fillId="0" fontId="16" numFmtId="169" xfId="0" applyAlignment="1" applyFont="1" applyNumberFormat="1">
      <alignment horizontal="left" vertical="top"/>
    </xf>
    <xf borderId="0" fillId="7" fontId="32" numFmtId="0" xfId="0" applyAlignment="1" applyFont="1">
      <alignment horizontal="center" vertical="top"/>
    </xf>
    <xf borderId="11" fillId="15" fontId="27" numFmtId="0" xfId="0" applyAlignment="1" applyBorder="1" applyFont="1">
      <alignment horizontal="left" readingOrder="0" shrinkToFit="0" vertical="top" wrapText="1"/>
    </xf>
    <xf borderId="0" fillId="7" fontId="16" numFmtId="0" xfId="0" applyAlignment="1" applyFont="1">
      <alignment horizontal="center" vertical="center"/>
    </xf>
    <xf borderId="0" fillId="4" fontId="16" numFmtId="0" xfId="0" applyAlignment="1" applyFont="1">
      <alignment horizontal="left" vertical="top"/>
    </xf>
    <xf borderId="0" fillId="0" fontId="22" numFmtId="3" xfId="0" applyAlignment="1" applyFont="1" applyNumberFormat="1">
      <alignment horizontal="center" vertical="top"/>
    </xf>
    <xf borderId="10" fillId="7" fontId="30" numFmtId="0" xfId="0" applyAlignment="1" applyBorder="1" applyFont="1">
      <alignment horizontal="center" vertical="center"/>
    </xf>
    <xf borderId="11" fillId="0" fontId="37" numFmtId="0" xfId="0" applyAlignment="1" applyBorder="1" applyFont="1">
      <alignment horizontal="center" shrinkToFit="0" vertical="center" wrapText="1"/>
    </xf>
    <xf borderId="10" fillId="0" fontId="30" numFmtId="3" xfId="0" applyAlignment="1" applyBorder="1" applyFont="1" applyNumberFormat="1">
      <alignment horizontal="center" shrinkToFit="0" vertical="center" wrapText="1"/>
    </xf>
    <xf borderId="10" fillId="0" fontId="30" numFmtId="0" xfId="0" applyAlignment="1" applyBorder="1" applyFont="1">
      <alignment horizontal="center" shrinkToFit="0" vertical="center" wrapText="1"/>
    </xf>
    <xf borderId="10" fillId="33" fontId="30" numFmtId="169" xfId="0" applyAlignment="1" applyBorder="1" applyFill="1" applyFont="1" applyNumberFormat="1">
      <alignment horizontal="center" shrinkToFit="0" vertical="center" wrapText="1"/>
    </xf>
    <xf borderId="10" fillId="4" fontId="30" numFmtId="169" xfId="0" applyAlignment="1" applyBorder="1" applyFont="1" applyNumberFormat="1">
      <alignment horizontal="center" shrinkToFit="0" vertical="center" wrapText="1"/>
    </xf>
    <xf borderId="10" fillId="34" fontId="30" numFmtId="169" xfId="0" applyAlignment="1" applyBorder="1" applyFill="1" applyFont="1" applyNumberFormat="1">
      <alignment horizontal="center" shrinkToFit="0" vertical="center" wrapText="1"/>
    </xf>
    <xf borderId="10" fillId="19" fontId="30" numFmtId="3" xfId="0" applyAlignment="1" applyBorder="1" applyFont="1" applyNumberFormat="1">
      <alignment horizontal="center" readingOrder="0" vertical="top"/>
    </xf>
    <xf borderId="10" fillId="11" fontId="30" numFmtId="3" xfId="0" applyAlignment="1" applyBorder="1" applyFont="1" applyNumberFormat="1">
      <alignment horizontal="center" vertical="top"/>
    </xf>
    <xf borderId="0" fillId="0" fontId="22" numFmtId="0" xfId="0" applyAlignment="1" applyFont="1">
      <alignment horizontal="center" readingOrder="0" vertical="center"/>
    </xf>
    <xf borderId="0" fillId="0" fontId="38" numFmtId="0" xfId="0" applyAlignment="1" applyFont="1">
      <alignment horizontal="center" readingOrder="0" vertical="center"/>
    </xf>
    <xf borderId="0" fillId="0" fontId="22" numFmtId="0" xfId="0" applyAlignment="1" applyFont="1">
      <alignment horizontal="center" vertical="center"/>
    </xf>
    <xf borderId="10" fillId="7" fontId="39" numFmtId="0" xfId="0" applyAlignment="1" applyBorder="1" applyFont="1">
      <alignment horizontal="center" vertical="center"/>
    </xf>
    <xf borderId="11" fillId="30" fontId="40" numFmtId="0" xfId="0" applyAlignment="1" applyBorder="1" applyFont="1">
      <alignment horizontal="center" shrinkToFit="0" vertical="center" wrapText="1"/>
    </xf>
    <xf borderId="13" fillId="30" fontId="40" numFmtId="0" xfId="0" applyAlignment="1" applyBorder="1" applyFont="1">
      <alignment horizontal="center" shrinkToFit="0" vertical="center" wrapText="1"/>
    </xf>
    <xf borderId="10" fillId="0" fontId="39" numFmtId="3" xfId="0" applyAlignment="1" applyBorder="1" applyFont="1" applyNumberFormat="1">
      <alignment horizontal="center" readingOrder="0" shrinkToFit="0" vertical="center" wrapText="1"/>
    </xf>
    <xf borderId="10" fillId="0" fontId="40" numFmtId="4" xfId="0" applyAlignment="1" applyBorder="1" applyFont="1" applyNumberFormat="1">
      <alignment horizontal="center" shrinkToFit="1" vertical="center" wrapText="0"/>
    </xf>
    <xf borderId="10" fillId="33" fontId="41" numFmtId="169" xfId="0" applyAlignment="1" applyBorder="1" applyFont="1" applyNumberFormat="1">
      <alignment horizontal="center" shrinkToFit="0" vertical="center" wrapText="1"/>
    </xf>
    <xf borderId="10" fillId="4" fontId="41" numFmtId="165" xfId="0" applyAlignment="1" applyBorder="1" applyFont="1" applyNumberFormat="1">
      <alignment horizontal="center" vertical="center"/>
    </xf>
    <xf borderId="10" fillId="34" fontId="41" numFmtId="165" xfId="0" applyAlignment="1" applyBorder="1" applyFont="1" applyNumberFormat="1">
      <alignment horizontal="center" vertical="center"/>
    </xf>
    <xf borderId="11" fillId="19" fontId="38" numFmtId="3" xfId="0" applyAlignment="1" applyBorder="1" applyFont="1" applyNumberFormat="1">
      <alignment horizontal="center" vertical="top"/>
    </xf>
    <xf borderId="13" fillId="11" fontId="42" numFmtId="3" xfId="0" applyAlignment="1" applyBorder="1" applyFont="1" applyNumberFormat="1">
      <alignment horizontal="center" vertical="top"/>
    </xf>
    <xf borderId="0" fillId="0" fontId="16" numFmtId="165" xfId="0" applyAlignment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11" fillId="35" fontId="40" numFmtId="0" xfId="0" applyAlignment="1" applyBorder="1" applyFill="1" applyFont="1">
      <alignment horizontal="center" shrinkToFit="0" vertical="center" wrapText="1"/>
    </xf>
    <xf borderId="13" fillId="35" fontId="40" numFmtId="0" xfId="0" applyAlignment="1" applyBorder="1" applyFont="1">
      <alignment horizontal="center" shrinkToFit="0" vertical="center" wrapText="1"/>
    </xf>
    <xf borderId="11" fillId="36" fontId="40" numFmtId="0" xfId="0" applyAlignment="1" applyBorder="1" applyFill="1" applyFont="1">
      <alignment horizontal="center" shrinkToFit="0" vertical="center" wrapText="1"/>
    </xf>
    <xf borderId="13" fillId="36" fontId="40" numFmtId="0" xfId="0" applyAlignment="1" applyBorder="1" applyFont="1">
      <alignment horizontal="center" shrinkToFit="0" vertical="center" wrapText="1"/>
    </xf>
    <xf borderId="11" fillId="0" fontId="40" numFmtId="0" xfId="0" applyAlignment="1" applyBorder="1" applyFont="1">
      <alignment horizontal="center" shrinkToFit="0" vertical="center" wrapText="1"/>
    </xf>
    <xf borderId="13" fillId="0" fontId="40" numFmtId="0" xfId="0" applyAlignment="1" applyBorder="1" applyFont="1">
      <alignment horizontal="center" shrinkToFit="0" vertical="center" wrapText="1"/>
    </xf>
    <xf borderId="11" fillId="23" fontId="40" numFmtId="0" xfId="0" applyAlignment="1" applyBorder="1" applyFont="1">
      <alignment horizontal="center" readingOrder="0" shrinkToFit="0" vertical="center" wrapText="1"/>
    </xf>
    <xf borderId="13" fillId="23" fontId="40" numFmtId="0" xfId="0" applyAlignment="1" applyBorder="1" applyFont="1">
      <alignment horizontal="center" readingOrder="0" shrinkToFit="0" vertical="center" wrapText="1"/>
    </xf>
    <xf borderId="10" fillId="0" fontId="40" numFmtId="3" xfId="0" applyAlignment="1" applyBorder="1" applyFont="1" applyNumberFormat="1">
      <alignment horizontal="center" readingOrder="0" shrinkToFit="0" vertical="center" wrapText="1"/>
    </xf>
    <xf borderId="11" fillId="19" fontId="38" numFmtId="3" xfId="0" applyAlignment="1" applyBorder="1" applyFont="1" applyNumberFormat="1">
      <alignment horizontal="center" readingOrder="0" vertical="top"/>
    </xf>
    <xf borderId="11" fillId="18" fontId="40" numFmtId="0" xfId="0" applyAlignment="1" applyBorder="1" applyFont="1">
      <alignment horizontal="center" shrinkToFit="0" vertical="center" wrapText="1"/>
    </xf>
    <xf borderId="13" fillId="18" fontId="40" numFmtId="0" xfId="0" applyAlignment="1" applyBorder="1" applyFont="1">
      <alignment horizontal="center" shrinkToFit="0" vertical="center" wrapText="1"/>
    </xf>
    <xf borderId="11" fillId="18" fontId="40" numFmtId="0" xfId="0" applyAlignment="1" applyBorder="1" applyFont="1">
      <alignment horizontal="center" shrinkToFit="0" vertical="top" wrapText="1"/>
    </xf>
    <xf borderId="13" fillId="18" fontId="40" numFmtId="0" xfId="0" applyAlignment="1" applyBorder="1" applyFont="1">
      <alignment horizontal="center" shrinkToFit="0" vertical="top" wrapText="1"/>
    </xf>
    <xf borderId="11" fillId="5" fontId="40" numFmtId="0" xfId="0" applyAlignment="1" applyBorder="1" applyFont="1">
      <alignment horizontal="center" shrinkToFit="0" vertical="center" wrapText="1"/>
    </xf>
    <xf borderId="13" fillId="5" fontId="40" numFmtId="0" xfId="0" applyAlignment="1" applyBorder="1" applyFont="1">
      <alignment horizontal="center" shrinkToFit="0" vertical="center" wrapText="1"/>
    </xf>
    <xf borderId="11" fillId="5" fontId="40" numFmtId="0" xfId="0" applyAlignment="1" applyBorder="1" applyFont="1">
      <alignment horizontal="center" readingOrder="0" shrinkToFit="0" vertical="center" wrapText="1"/>
    </xf>
    <xf borderId="13" fillId="5" fontId="40" numFmtId="0" xfId="0" applyAlignment="1" applyBorder="1" applyFont="1">
      <alignment horizontal="center" readingOrder="0" shrinkToFit="0" vertical="center" wrapText="1"/>
    </xf>
    <xf borderId="11" fillId="12" fontId="40" numFmtId="0" xfId="0" applyAlignment="1" applyBorder="1" applyFont="1">
      <alignment horizontal="center" shrinkToFit="0" vertical="center" wrapText="1"/>
    </xf>
    <xf borderId="13" fillId="12" fontId="40" numFmtId="0" xfId="0" applyAlignment="1" applyBorder="1" applyFont="1">
      <alignment horizontal="center" shrinkToFit="0" vertical="center" wrapText="1"/>
    </xf>
    <xf borderId="10" fillId="0" fontId="40" numFmtId="2" xfId="0" applyAlignment="1" applyBorder="1" applyFont="1" applyNumberFormat="1">
      <alignment horizontal="center" shrinkToFit="1" vertical="center" wrapText="0"/>
    </xf>
    <xf borderId="10" fillId="33" fontId="41" numFmtId="169" xfId="0" applyAlignment="1" applyBorder="1" applyFont="1" applyNumberFormat="1">
      <alignment horizontal="center" readingOrder="0" shrinkToFit="0" vertical="center" wrapText="1"/>
    </xf>
    <xf borderId="10" fillId="4" fontId="41" numFmtId="165" xfId="0" applyAlignment="1" applyBorder="1" applyFont="1" applyNumberFormat="1">
      <alignment horizontal="center" readingOrder="0" vertical="center"/>
    </xf>
    <xf borderId="10" fillId="34" fontId="41" numFmtId="165" xfId="0" applyAlignment="1" applyBorder="1" applyFont="1" applyNumberFormat="1">
      <alignment horizontal="center" readingOrder="0" vertical="center"/>
    </xf>
    <xf borderId="13" fillId="4" fontId="40" numFmtId="0" xfId="0" applyAlignment="1" applyBorder="1" applyFont="1">
      <alignment horizontal="center" shrinkToFit="0" vertical="center" wrapText="1"/>
    </xf>
    <xf borderId="11" fillId="25" fontId="37" numFmtId="0" xfId="0" applyAlignment="1" applyBorder="1" applyFont="1">
      <alignment horizontal="center" shrinkToFit="0" vertical="center" wrapText="1"/>
    </xf>
    <xf borderId="13" fillId="4" fontId="37" numFmtId="0" xfId="0" applyAlignment="1" applyBorder="1" applyFont="1">
      <alignment horizontal="center" shrinkToFit="0" vertical="center" wrapText="1"/>
    </xf>
    <xf borderId="11" fillId="10" fontId="37" numFmtId="0" xfId="0" applyAlignment="1" applyBorder="1" applyFont="1">
      <alignment horizontal="center" shrinkToFit="0" vertical="center" wrapText="1"/>
    </xf>
    <xf borderId="11" fillId="19" fontId="22" numFmtId="3" xfId="0" applyAlignment="1" applyBorder="1" applyFont="1" applyNumberFormat="1">
      <alignment horizontal="center" readingOrder="0" vertical="center"/>
    </xf>
    <xf borderId="11" fillId="37" fontId="37" numFmtId="0" xfId="0" applyAlignment="1" applyBorder="1" applyFill="1" applyFont="1">
      <alignment horizontal="center" shrinkToFit="0" vertical="center" wrapText="1"/>
    </xf>
    <xf borderId="11" fillId="19" fontId="22" numFmtId="3" xfId="0" applyAlignment="1" applyBorder="1" applyFont="1" applyNumberFormat="1">
      <alignment horizontal="center" vertical="center"/>
    </xf>
    <xf borderId="24" fillId="7" fontId="39" numFmtId="0" xfId="0" applyAlignment="1" applyBorder="1" applyFont="1">
      <alignment horizontal="center" vertical="center"/>
    </xf>
    <xf borderId="1" fillId="38" fontId="37" numFmtId="0" xfId="0" applyAlignment="1" applyBorder="1" applyFill="1" applyFont="1">
      <alignment horizontal="center" shrinkToFit="0" vertical="center" wrapText="1"/>
    </xf>
    <xf borderId="3" fillId="4" fontId="37" numFmtId="0" xfId="0" applyAlignment="1" applyBorder="1" applyFont="1">
      <alignment horizontal="center" shrinkToFit="0" vertical="center" wrapText="1"/>
    </xf>
    <xf borderId="24" fillId="0" fontId="39" numFmtId="3" xfId="0" applyAlignment="1" applyBorder="1" applyFont="1" applyNumberFormat="1">
      <alignment horizontal="center" readingOrder="0" shrinkToFit="0" vertical="center" wrapText="1"/>
    </xf>
    <xf borderId="24" fillId="0" fontId="40" numFmtId="2" xfId="0" applyAlignment="1" applyBorder="1" applyFont="1" applyNumberFormat="1">
      <alignment horizontal="center" shrinkToFit="1" vertical="center" wrapText="0"/>
    </xf>
    <xf borderId="24" fillId="33" fontId="41" numFmtId="169" xfId="0" applyAlignment="1" applyBorder="1" applyFont="1" applyNumberFormat="1">
      <alignment horizontal="center" shrinkToFit="0" vertical="center" wrapText="1"/>
    </xf>
    <xf borderId="24" fillId="4" fontId="41" numFmtId="165" xfId="0" applyAlignment="1" applyBorder="1" applyFont="1" applyNumberFormat="1">
      <alignment horizontal="center" vertical="center"/>
    </xf>
    <xf borderId="24" fillId="34" fontId="41" numFmtId="165" xfId="0" applyAlignment="1" applyBorder="1" applyFont="1" applyNumberFormat="1">
      <alignment horizontal="center" vertical="center"/>
    </xf>
    <xf borderId="11" fillId="38" fontId="37" numFmtId="0" xfId="0" applyAlignment="1" applyBorder="1" applyFont="1">
      <alignment horizontal="center" shrinkToFit="0" vertical="center" wrapText="1"/>
    </xf>
    <xf borderId="10" fillId="4" fontId="37" numFmtId="0" xfId="0" applyAlignment="1" applyBorder="1" applyFont="1">
      <alignment horizontal="center" shrinkToFit="0" vertical="center" wrapText="1"/>
    </xf>
    <xf borderId="12" fillId="19" fontId="22" numFmtId="3" xfId="0" applyAlignment="1" applyBorder="1" applyFont="1" applyNumberFormat="1">
      <alignment horizontal="center" readingOrder="0" vertical="center"/>
    </xf>
    <xf borderId="9" fillId="7" fontId="39" numFmtId="0" xfId="0" applyAlignment="1" applyBorder="1" applyFont="1">
      <alignment horizontal="center" vertical="center"/>
    </xf>
    <xf borderId="6" fillId="26" fontId="37" numFmtId="0" xfId="0" applyAlignment="1" applyBorder="1" applyFont="1">
      <alignment horizontal="center" shrinkToFit="0" vertical="center" wrapText="1"/>
    </xf>
    <xf borderId="8" fillId="4" fontId="37" numFmtId="0" xfId="0" applyAlignment="1" applyBorder="1" applyFont="1">
      <alignment horizontal="center" shrinkToFit="0" vertical="center" wrapText="1"/>
    </xf>
    <xf borderId="9" fillId="0" fontId="39" numFmtId="3" xfId="0" applyAlignment="1" applyBorder="1" applyFont="1" applyNumberFormat="1">
      <alignment horizontal="center" readingOrder="0" shrinkToFit="0" vertical="center" wrapText="1"/>
    </xf>
    <xf borderId="9" fillId="0" fontId="40" numFmtId="2" xfId="0" applyAlignment="1" applyBorder="1" applyFont="1" applyNumberFormat="1">
      <alignment horizontal="center" shrinkToFit="1" vertical="center" wrapText="0"/>
    </xf>
    <xf borderId="9" fillId="33" fontId="41" numFmtId="169" xfId="0" applyAlignment="1" applyBorder="1" applyFont="1" applyNumberFormat="1">
      <alignment horizontal="center" shrinkToFit="0" vertical="center" wrapText="1"/>
    </xf>
    <xf borderId="9" fillId="4" fontId="41" numFmtId="165" xfId="0" applyAlignment="1" applyBorder="1" applyFont="1" applyNumberFormat="1">
      <alignment horizontal="center" vertical="center"/>
    </xf>
    <xf borderId="9" fillId="34" fontId="41" numFmtId="165" xfId="0" applyAlignment="1" applyBorder="1" applyFont="1" applyNumberFormat="1">
      <alignment horizontal="center" vertical="center"/>
    </xf>
    <xf borderId="11" fillId="26" fontId="37" numFmtId="0" xfId="0" applyAlignment="1" applyBorder="1" applyFont="1">
      <alignment horizontal="center" shrinkToFit="0" vertical="center" wrapText="1"/>
    </xf>
    <xf borderId="11" fillId="20" fontId="37" numFmtId="0" xfId="0" applyAlignment="1" applyBorder="1" applyFont="1">
      <alignment horizontal="center" shrinkToFit="0" vertical="center" wrapText="1"/>
    </xf>
    <xf borderId="11" fillId="39" fontId="40" numFmtId="0" xfId="0" applyAlignment="1" applyBorder="1" applyFill="1" applyFont="1">
      <alignment horizontal="center" shrinkToFit="0" vertical="center" wrapText="1"/>
    </xf>
    <xf borderId="13" fillId="39" fontId="40" numFmtId="0" xfId="0" applyAlignment="1" applyBorder="1" applyFont="1">
      <alignment horizontal="center" shrinkToFit="0" vertical="center" wrapText="1"/>
    </xf>
    <xf borderId="11" fillId="0" fontId="40" numFmtId="0" xfId="0" applyAlignment="1" applyBorder="1" applyFont="1">
      <alignment horizontal="center" readingOrder="0" shrinkToFit="0" vertical="center" wrapText="1"/>
    </xf>
    <xf borderId="13" fillId="0" fontId="40" numFmtId="0" xfId="0" applyAlignment="1" applyBorder="1" applyFont="1">
      <alignment horizontal="center" readingOrder="0" shrinkToFit="0" vertical="center" wrapText="1"/>
    </xf>
    <xf borderId="11" fillId="32" fontId="40" numFmtId="0" xfId="0" applyAlignment="1" applyBorder="1" applyFont="1">
      <alignment horizontal="center" readingOrder="0" shrinkToFit="0" vertical="center" wrapText="1"/>
    </xf>
    <xf borderId="13" fillId="32" fontId="40" numFmtId="0" xfId="0" applyAlignment="1" applyBorder="1" applyFont="1">
      <alignment horizontal="center" readingOrder="0" shrinkToFit="0" vertical="center" wrapText="1"/>
    </xf>
    <xf borderId="10" fillId="0" fontId="21" numFmtId="0" xfId="0" applyAlignment="1" applyBorder="1" applyFont="1">
      <alignment horizontal="center" shrinkToFit="0" vertical="center" wrapText="1"/>
    </xf>
    <xf borderId="10" fillId="0" fontId="21" numFmtId="0" xfId="0" applyAlignment="1" applyBorder="1" applyFont="1">
      <alignment horizontal="center" readingOrder="0" shrinkToFit="0" vertical="center" wrapText="1"/>
    </xf>
    <xf borderId="11" fillId="23" fontId="40" numFmtId="0" xfId="0" applyAlignment="1" applyBorder="1" applyFont="1">
      <alignment horizontal="center" shrinkToFit="0" vertical="center" wrapText="1"/>
    </xf>
    <xf borderId="13" fillId="23" fontId="40" numFmtId="0" xfId="0" applyAlignment="1" applyBorder="1" applyFont="1">
      <alignment horizontal="center" shrinkToFit="0" vertical="center" wrapText="1"/>
    </xf>
    <xf borderId="11" fillId="11" fontId="40" numFmtId="0" xfId="0" applyAlignment="1" applyBorder="1" applyFont="1">
      <alignment horizontal="center" shrinkToFit="0" vertical="center" wrapText="1"/>
    </xf>
    <xf borderId="13" fillId="11" fontId="40" numFmtId="0" xfId="0" applyAlignment="1" applyBorder="1" applyFont="1">
      <alignment horizontal="center" shrinkToFit="0" vertical="center" wrapText="1"/>
    </xf>
    <xf borderId="11" fillId="18" fontId="40" numFmtId="0" xfId="0" applyAlignment="1" applyBorder="1" applyFont="1">
      <alignment horizontal="center" readingOrder="0" shrinkToFit="0" vertical="center" wrapText="1"/>
    </xf>
    <xf borderId="13" fillId="18" fontId="40" numFmtId="0" xfId="0" applyAlignment="1" applyBorder="1" applyFont="1">
      <alignment horizontal="center" readingOrder="0" shrinkToFit="0" vertical="center" wrapText="1"/>
    </xf>
    <xf borderId="11" fillId="26" fontId="40" numFmtId="0" xfId="0" applyAlignment="1" applyBorder="1" applyFont="1">
      <alignment horizontal="center" readingOrder="0" shrinkToFit="0" vertical="center" wrapText="1"/>
    </xf>
    <xf borderId="13" fillId="26" fontId="40" numFmtId="0" xfId="0" applyAlignment="1" applyBorder="1" applyFont="1">
      <alignment horizontal="center" readingOrder="0" shrinkToFit="0" vertical="center" wrapText="1"/>
    </xf>
    <xf borderId="11" fillId="36" fontId="40" numFmtId="0" xfId="0" applyAlignment="1" applyBorder="1" applyFont="1">
      <alignment horizontal="center" readingOrder="0" shrinkToFit="0" vertical="center" wrapText="1"/>
    </xf>
    <xf borderId="13" fillId="36" fontId="40" numFmtId="0" xfId="0" applyAlignment="1" applyBorder="1" applyFont="1">
      <alignment horizontal="center" readingOrder="0" shrinkToFit="0" vertical="center" wrapText="1"/>
    </xf>
    <xf borderId="11" fillId="25" fontId="40" numFmtId="0" xfId="0" applyAlignment="1" applyBorder="1" applyFont="1">
      <alignment horizontal="center" shrinkToFit="0" vertical="center" wrapText="1"/>
    </xf>
    <xf borderId="13" fillId="25" fontId="40" numFmtId="0" xfId="0" applyAlignment="1" applyBorder="1" applyFont="1">
      <alignment horizontal="center" shrinkToFit="0" vertical="center" wrapText="1"/>
    </xf>
    <xf borderId="11" fillId="8" fontId="40" numFmtId="0" xfId="0" applyAlignment="1" applyBorder="1" applyFont="1">
      <alignment horizontal="center" shrinkToFit="0" vertical="center" wrapText="1"/>
    </xf>
    <xf borderId="13" fillId="8" fontId="40" numFmtId="0" xfId="0" applyAlignment="1" applyBorder="1" applyFont="1">
      <alignment horizontal="center" shrinkToFit="0" vertical="center" wrapText="1"/>
    </xf>
    <xf borderId="11" fillId="31" fontId="40" numFmtId="0" xfId="0" applyAlignment="1" applyBorder="1" applyFont="1">
      <alignment horizontal="center" shrinkToFit="0" vertical="center" wrapText="1"/>
    </xf>
    <xf borderId="13" fillId="31" fontId="40" numFmtId="0" xfId="0" applyAlignment="1" applyBorder="1" applyFont="1">
      <alignment horizontal="center" shrinkToFit="0" vertical="center" wrapText="1"/>
    </xf>
    <xf borderId="11" fillId="29" fontId="40" numFmtId="0" xfId="0" applyAlignment="1" applyBorder="1" applyFont="1">
      <alignment horizontal="center" readingOrder="0" shrinkToFit="0" vertical="center" wrapText="1"/>
    </xf>
    <xf borderId="13" fillId="29" fontId="40" numFmtId="0" xfId="0" applyAlignment="1" applyBorder="1" applyFont="1">
      <alignment horizontal="center" readingOrder="0" shrinkToFit="0" vertical="center" wrapText="1"/>
    </xf>
    <xf borderId="1" fillId="0" fontId="40" numFmtId="0" xfId="0" applyAlignment="1" applyBorder="1" applyFont="1">
      <alignment horizontal="center" shrinkToFit="0" vertical="center" wrapText="1"/>
    </xf>
    <xf borderId="3" fillId="0" fontId="40" numFmtId="0" xfId="0" applyAlignment="1" applyBorder="1" applyFont="1">
      <alignment horizontal="center" shrinkToFit="0" vertical="center" wrapText="1"/>
    </xf>
    <xf borderId="24" fillId="0" fontId="40" numFmtId="4" xfId="0" applyAlignment="1" applyBorder="1" applyFont="1" applyNumberFormat="1">
      <alignment horizontal="center" shrinkToFit="1" vertical="center" wrapText="0"/>
    </xf>
    <xf borderId="10" fillId="0" fontId="39" numFmtId="0" xfId="0" applyAlignment="1" applyBorder="1" applyFont="1">
      <alignment horizontal="center" readingOrder="0" shrinkToFit="0" vertical="center" wrapText="1"/>
    </xf>
    <xf borderId="25" fillId="19" fontId="43" numFmtId="0" xfId="0" applyAlignment="1" applyBorder="1" applyFont="1">
      <alignment horizontal="center" readingOrder="0" vertical="center"/>
    </xf>
    <xf borderId="26" fillId="0" fontId="2" numFmtId="0" xfId="0" applyAlignment="1" applyBorder="1" applyFont="1">
      <alignment horizontal="left" vertical="top"/>
    </xf>
    <xf borderId="27" fillId="0" fontId="2" numFmtId="0" xfId="0" applyAlignment="1" applyBorder="1" applyFont="1">
      <alignment horizontal="left" vertical="top"/>
    </xf>
    <xf borderId="8" fillId="0" fontId="39" numFmtId="3" xfId="0" applyAlignment="1" applyBorder="1" applyFont="1" applyNumberFormat="1">
      <alignment horizontal="center" readingOrder="0" shrinkToFit="0" vertical="center" wrapText="1"/>
    </xf>
    <xf borderId="9" fillId="0" fontId="40" numFmtId="4" xfId="0" applyAlignment="1" applyBorder="1" applyFont="1" applyNumberFormat="1">
      <alignment horizontal="center" shrinkToFit="1" vertical="center" wrapText="0"/>
    </xf>
    <xf borderId="6" fillId="29" fontId="40" numFmtId="0" xfId="0" applyAlignment="1" applyBorder="1" applyFont="1">
      <alignment horizontal="center" readingOrder="0" shrinkToFit="0" vertical="center" wrapText="1"/>
    </xf>
    <xf borderId="8" fillId="29" fontId="40" numFmtId="0" xfId="0" applyAlignment="1" applyBorder="1" applyFont="1">
      <alignment horizontal="center" readingOrder="0" shrinkToFit="0" vertical="center" wrapText="1"/>
    </xf>
    <xf borderId="1" fillId="29" fontId="40" numFmtId="0" xfId="0" applyAlignment="1" applyBorder="1" applyFont="1">
      <alignment horizontal="center" readingOrder="0" shrinkToFit="0" vertical="center" wrapText="1"/>
    </xf>
    <xf borderId="3" fillId="29" fontId="40" numFmtId="0" xfId="0" applyAlignment="1" applyBorder="1" applyFont="1">
      <alignment horizontal="center" readingOrder="0" shrinkToFit="0" vertical="center" wrapText="1"/>
    </xf>
    <xf borderId="28" fillId="19" fontId="44" numFmtId="0" xfId="0" applyAlignment="1" applyBorder="1" applyFont="1">
      <alignment horizontal="center" readingOrder="0" shrinkToFit="0" vertical="center" wrapText="1"/>
    </xf>
    <xf borderId="29" fillId="0" fontId="2" numFmtId="0" xfId="0" applyAlignment="1" applyBorder="1" applyFont="1">
      <alignment horizontal="left" vertical="top"/>
    </xf>
    <xf borderId="30" fillId="0" fontId="2" numFmtId="0" xfId="0" applyAlignment="1" applyBorder="1" applyFont="1">
      <alignment horizontal="left" vertical="top"/>
    </xf>
    <xf borderId="13" fillId="0" fontId="39" numFmtId="3" xfId="0" applyAlignment="1" applyBorder="1" applyFont="1" applyNumberFormat="1">
      <alignment horizontal="center" readingOrder="0" shrinkToFit="0" vertical="center" wrapText="1"/>
    </xf>
    <xf borderId="28" fillId="19" fontId="45" numFmtId="0" xfId="0" applyAlignment="1" applyBorder="1" applyFont="1">
      <alignment horizontal="center" readingOrder="0" vertical="top"/>
    </xf>
    <xf borderId="0" fillId="4" fontId="4" numFmtId="0" xfId="0" applyAlignment="1" applyFont="1">
      <alignment horizontal="left" vertical="top"/>
    </xf>
    <xf borderId="0" fillId="0" fontId="46" numFmtId="0" xfId="0" applyAlignment="1" applyFont="1">
      <alignment horizontal="left" vertical="top"/>
    </xf>
    <xf borderId="10" fillId="0" fontId="41" numFmtId="3" xfId="0" applyAlignment="1" applyBorder="1" applyFont="1" applyNumberFormat="1">
      <alignment horizontal="center" readingOrder="0" shrinkToFit="0" vertical="center" wrapText="1"/>
    </xf>
    <xf borderId="10" fillId="7" fontId="39" numFmtId="0" xfId="0" applyAlignment="1" applyBorder="1" applyFont="1">
      <alignment horizontal="center" readingOrder="0" vertical="center"/>
    </xf>
    <xf borderId="28" fillId="19" fontId="43" numFmtId="0" xfId="0" applyAlignment="1" applyBorder="1" applyFont="1">
      <alignment horizontal="center" readingOrder="0" vertical="center"/>
    </xf>
    <xf borderId="0" fillId="0" fontId="4" numFmtId="4" xfId="0" applyAlignment="1" applyFont="1" applyNumberFormat="1">
      <alignment horizontal="left" vertical="top"/>
    </xf>
    <xf borderId="0" fillId="7" fontId="32" numFmtId="0" xfId="0" applyAlignment="1" applyFont="1">
      <alignment horizontal="center" readingOrder="0" vertical="center"/>
    </xf>
    <xf borderId="0" fillId="0" fontId="41" numFmtId="0" xfId="0" applyAlignment="1" applyFont="1">
      <alignment horizontal="center" readingOrder="0" vertical="top"/>
    </xf>
    <xf borderId="0" fillId="0" fontId="16" numFmtId="0" xfId="0" applyAlignment="1" applyFont="1">
      <alignment horizontal="center" readingOrder="0" vertical="center"/>
    </xf>
    <xf borderId="0" fillId="33" fontId="47" numFmtId="169" xfId="0" applyAlignment="1" applyFont="1" applyNumberFormat="1">
      <alignment horizontal="left" readingOrder="0" vertical="center"/>
    </xf>
    <xf borderId="0" fillId="4" fontId="41" numFmtId="3" xfId="0" applyAlignment="1" applyFont="1" applyNumberFormat="1">
      <alignment horizontal="left" readingOrder="0" vertical="top"/>
    </xf>
    <xf borderId="0" fillId="34" fontId="41" numFmtId="3" xfId="0" applyAlignment="1" applyFont="1" applyNumberFormat="1">
      <alignment horizontal="left" readingOrder="0" vertical="top"/>
    </xf>
    <xf borderId="11" fillId="19" fontId="22" numFmtId="3" xfId="0" applyAlignment="1" applyBorder="1" applyFont="1" applyNumberFormat="1">
      <alignment horizontal="center" readingOrder="0" vertical="top"/>
    </xf>
    <xf borderId="13" fillId="11" fontId="38" numFmtId="3" xfId="0" applyAlignment="1" applyBorder="1" applyFont="1" applyNumberFormat="1">
      <alignment horizontal="center" vertical="top"/>
    </xf>
    <xf borderId="0" fillId="7" fontId="32" numFmtId="0" xfId="0" applyAlignment="1" applyFont="1">
      <alignment horizontal="center" vertical="center"/>
    </xf>
    <xf borderId="0" fillId="0" fontId="16" numFmtId="3" xfId="0" applyAlignment="1" applyFont="1" applyNumberFormat="1">
      <alignment horizontal="center" vertical="center"/>
    </xf>
    <xf borderId="0" fillId="28" fontId="16" numFmtId="169" xfId="0" applyAlignment="1" applyFont="1" applyNumberFormat="1">
      <alignment horizontal="left" vertical="center"/>
    </xf>
    <xf borderId="0" fillId="28" fontId="16" numFmtId="0" xfId="0" applyAlignment="1" applyFont="1">
      <alignment horizontal="left" vertical="top"/>
    </xf>
    <xf borderId="0" fillId="28" fontId="22" numFmtId="3" xfId="0" applyAlignment="1" applyFont="1" applyNumberFormat="1">
      <alignment horizontal="center" vertical="top"/>
    </xf>
    <xf borderId="0" fillId="0" fontId="16" numFmtId="169" xfId="0" applyAlignment="1" applyFont="1" applyNumberFormat="1">
      <alignment horizontal="left" vertical="center"/>
    </xf>
    <xf borderId="0" fillId="0" fontId="16" numFmtId="169" xfId="0" applyAlignment="1" applyFont="1" applyNumberFormat="1">
      <alignment horizontal="left" readingOrder="0" vertical="center"/>
    </xf>
    <xf borderId="10" fillId="0" fontId="30" numFmtId="3" xfId="0" applyAlignment="1" applyBorder="1" applyFont="1" applyNumberFormat="1">
      <alignment horizontal="center" readingOrder="0" shrinkToFit="0" vertical="center" wrapText="1"/>
    </xf>
    <xf borderId="10" fillId="21" fontId="30" numFmtId="3" xfId="0" applyAlignment="1" applyBorder="1" applyFont="1" applyNumberFormat="1">
      <alignment horizontal="center" readingOrder="0" shrinkToFit="0" vertical="center" wrapText="1"/>
    </xf>
    <xf borderId="10" fillId="21" fontId="39" numFmtId="3" xfId="0" applyAlignment="1" applyBorder="1" applyFont="1" applyNumberFormat="1">
      <alignment horizontal="center" readingOrder="0" shrinkToFit="0" vertical="center" wrapText="1"/>
    </xf>
    <xf borderId="11" fillId="0" fontId="39" numFmtId="3" xfId="0" applyAlignment="1" applyBorder="1" applyFont="1" applyNumberFormat="1">
      <alignment horizontal="center" readingOrder="0" shrinkToFit="0" vertical="center" wrapText="1"/>
    </xf>
    <xf borderId="13" fillId="0" fontId="40" numFmtId="2" xfId="0" applyAlignment="1" applyBorder="1" applyFont="1" applyNumberFormat="1">
      <alignment horizontal="center" shrinkToFit="1" vertical="center" wrapText="0"/>
    </xf>
    <xf borderId="3" fillId="0" fontId="39" numFmtId="0" xfId="0" applyAlignment="1" applyBorder="1" applyFont="1">
      <alignment horizontal="center" readingOrder="0" shrinkToFit="0" vertical="center" wrapText="1"/>
    </xf>
    <xf borderId="0" fillId="0" fontId="41" numFmtId="3" xfId="0" applyAlignment="1" applyFont="1" applyNumberFormat="1">
      <alignment horizontal="center" readingOrder="0" shrinkToFit="0" vertical="center" wrapText="1"/>
    </xf>
    <xf borderId="0" fillId="0" fontId="48" numFmtId="0" xfId="0" applyAlignment="1" applyFont="1">
      <alignment horizontal="center" vertical="top"/>
    </xf>
    <xf borderId="0" fillId="0" fontId="49" numFmtId="0" xfId="0" applyAlignment="1" applyFont="1">
      <alignment horizontal="center" vertical="top"/>
    </xf>
    <xf borderId="0" fillId="4" fontId="4" numFmtId="165" xfId="0" applyAlignment="1" applyFont="1" applyNumberFormat="1">
      <alignment horizontal="left" vertical="top"/>
    </xf>
    <xf borderId="28" fillId="39" fontId="50" numFmtId="0" xfId="0" applyAlignment="1" applyBorder="1" applyFont="1">
      <alignment horizontal="right" readingOrder="0" vertical="center"/>
    </xf>
    <xf borderId="30" fillId="39" fontId="50" numFmtId="0" xfId="0" applyAlignment="1" applyBorder="1" applyFont="1">
      <alignment horizontal="left" vertical="center"/>
    </xf>
    <xf borderId="0" fillId="0" fontId="51" numFmtId="0" xfId="0" applyAlignment="1" applyFont="1">
      <alignment horizontal="left" vertical="top"/>
    </xf>
    <xf borderId="10" fillId="0" fontId="49" numFmtId="0" xfId="0" applyAlignment="1" applyBorder="1" applyFont="1">
      <alignment horizontal="center" vertical="center"/>
    </xf>
    <xf borderId="10" fillId="0" fontId="38" numFmtId="0" xfId="0" applyAlignment="1" applyBorder="1" applyFont="1">
      <alignment horizontal="center" readingOrder="0" vertical="center"/>
    </xf>
    <xf borderId="10" fillId="4" fontId="38" numFmtId="165" xfId="0" applyAlignment="1" applyBorder="1" applyFont="1" applyNumberFormat="1">
      <alignment horizontal="center" readingOrder="0" vertical="center"/>
    </xf>
    <xf borderId="9" fillId="8" fontId="38" numFmtId="0" xfId="0" applyAlignment="1" applyBorder="1" applyFont="1">
      <alignment horizontal="center" vertical="center"/>
    </xf>
    <xf borderId="6" fillId="9" fontId="38" numFmtId="0" xfId="0" applyAlignment="1" applyBorder="1" applyFont="1">
      <alignment horizontal="center" vertical="center"/>
    </xf>
    <xf borderId="10" fillId="22" fontId="34" numFmtId="0" xfId="0" applyAlignment="1" applyBorder="1" applyFont="1">
      <alignment horizontal="center" readingOrder="0" vertical="center"/>
    </xf>
    <xf borderId="10" fillId="11" fontId="52" numFmtId="0" xfId="0" applyAlignment="1" applyBorder="1" applyFont="1">
      <alignment horizontal="center" readingOrder="0" vertical="center"/>
    </xf>
    <xf borderId="10" fillId="0" fontId="4" numFmtId="0" xfId="0" applyAlignment="1" applyBorder="1" applyFont="1">
      <alignment horizontal="left" readingOrder="0" vertical="top"/>
    </xf>
    <xf borderId="10" fillId="7" fontId="4" numFmtId="0" xfId="0" applyAlignment="1" applyBorder="1" applyFont="1">
      <alignment horizontal="left" readingOrder="0" vertical="top"/>
    </xf>
    <xf borderId="10" fillId="0" fontId="32" numFmtId="3" xfId="0" applyAlignment="1" applyBorder="1" applyFont="1" applyNumberFormat="1">
      <alignment horizontal="center" readingOrder="0" vertical="center"/>
    </xf>
    <xf borderId="10" fillId="4" fontId="4" numFmtId="170" xfId="0" applyAlignment="1" applyBorder="1" applyFont="1" applyNumberFormat="1">
      <alignment horizontal="center" readingOrder="0" vertical="top"/>
    </xf>
    <xf borderId="10" fillId="0" fontId="4" numFmtId="165" xfId="0" applyAlignment="1" applyBorder="1" applyFont="1" applyNumberFormat="1">
      <alignment horizontal="center" readingOrder="0" vertical="top"/>
    </xf>
    <xf borderId="10" fillId="8" fontId="32" numFmtId="165" xfId="0" applyAlignment="1" applyBorder="1" applyFont="1" applyNumberFormat="1">
      <alignment horizontal="center" vertical="center"/>
    </xf>
    <xf borderId="10" fillId="9" fontId="32" numFmtId="165" xfId="0" applyAlignment="1" applyBorder="1" applyFont="1" applyNumberFormat="1">
      <alignment horizontal="center" vertical="center"/>
    </xf>
    <xf borderId="0" fillId="22" fontId="38" numFmtId="0" xfId="0" applyAlignment="1" applyFont="1">
      <alignment horizontal="center" readingOrder="0" vertical="top"/>
    </xf>
    <xf borderId="0" fillId="11" fontId="51" numFmtId="3" xfId="0" applyAlignment="1" applyFont="1" applyNumberFormat="1">
      <alignment horizontal="center" vertical="top"/>
    </xf>
    <xf borderId="0" fillId="0" fontId="4" numFmtId="0" xfId="0" applyAlignment="1" applyFont="1">
      <alignment horizontal="left" vertical="top"/>
    </xf>
    <xf borderId="0" fillId="22" fontId="38" numFmtId="0" xfId="0" applyAlignment="1" applyFont="1">
      <alignment horizontal="center" vertical="top"/>
    </xf>
    <xf borderId="0" fillId="22" fontId="51" numFmtId="0" xfId="0" applyAlignment="1" applyFont="1">
      <alignment horizontal="center" vertical="top"/>
    </xf>
    <xf borderId="10" fillId="40" fontId="4" numFmtId="0" xfId="0" applyAlignment="1" applyBorder="1" applyFill="1" applyFont="1">
      <alignment horizontal="left" readingOrder="0" vertical="top"/>
    </xf>
    <xf borderId="10" fillId="40" fontId="32" numFmtId="3" xfId="0" applyAlignment="1" applyBorder="1" applyFont="1" applyNumberFormat="1">
      <alignment horizontal="center" readingOrder="0" vertical="center"/>
    </xf>
    <xf borderId="10" fillId="40" fontId="4" numFmtId="170" xfId="0" applyAlignment="1" applyBorder="1" applyFont="1" applyNumberFormat="1">
      <alignment horizontal="center" readingOrder="0" vertical="top"/>
    </xf>
    <xf borderId="10" fillId="40" fontId="4" numFmtId="165" xfId="0" applyAlignment="1" applyBorder="1" applyFont="1" applyNumberFormat="1">
      <alignment horizontal="center" readingOrder="0" vertical="top"/>
    </xf>
    <xf borderId="10" fillId="40" fontId="32" numFmtId="165" xfId="0" applyAlignment="1" applyBorder="1" applyFont="1" applyNumberFormat="1">
      <alignment horizontal="center" vertical="center"/>
    </xf>
    <xf borderId="0" fillId="40" fontId="38" numFmtId="0" xfId="0" applyAlignment="1" applyFont="1">
      <alignment horizontal="center" vertical="top"/>
    </xf>
    <xf borderId="0" fillId="40" fontId="51" numFmtId="0" xfId="0" applyAlignment="1" applyFont="1">
      <alignment horizontal="center" vertical="top"/>
    </xf>
    <xf borderId="0" fillId="40" fontId="4" numFmtId="0" xfId="0" applyAlignment="1" applyFont="1">
      <alignment horizontal="left" vertical="top"/>
    </xf>
    <xf borderId="10" fillId="9" fontId="4" numFmtId="0" xfId="0" applyAlignment="1" applyBorder="1" applyFont="1">
      <alignment horizontal="left" readingOrder="0" vertical="top"/>
    </xf>
    <xf borderId="10" fillId="41" fontId="4" numFmtId="0" xfId="0" applyAlignment="1" applyBorder="1" applyFill="1" applyFont="1">
      <alignment horizontal="left" readingOrder="0" vertical="top"/>
    </xf>
    <xf borderId="10" fillId="8" fontId="4" numFmtId="0" xfId="0" applyAlignment="1" applyBorder="1" applyFont="1">
      <alignment horizontal="left" readingOrder="0" vertical="top"/>
    </xf>
    <xf borderId="10" fillId="30" fontId="4" numFmtId="0" xfId="0" applyAlignment="1" applyBorder="1" applyFont="1">
      <alignment horizontal="left" readingOrder="0" vertical="top"/>
    </xf>
    <xf borderId="10" fillId="0" fontId="4" numFmtId="0" xfId="0" applyAlignment="1" applyBorder="1" applyFont="1">
      <alignment horizontal="center" readingOrder="0" vertical="top"/>
    </xf>
    <xf borderId="0" fillId="11" fontId="51" numFmtId="0" xfId="0" applyAlignment="1" applyFont="1">
      <alignment horizontal="center" vertical="top"/>
    </xf>
    <xf borderId="10" fillId="42" fontId="4" numFmtId="0" xfId="0" applyAlignment="1" applyBorder="1" applyFill="1" applyFont="1">
      <alignment horizontal="left" readingOrder="0" vertical="top"/>
    </xf>
    <xf borderId="10" fillId="40" fontId="4" numFmtId="0" xfId="0" applyAlignment="1" applyBorder="1" applyFont="1">
      <alignment horizontal="center" readingOrder="0" vertical="top"/>
    </xf>
    <xf borderId="10" fillId="43" fontId="4" numFmtId="0" xfId="0" applyAlignment="1" applyBorder="1" applyFill="1" applyFont="1">
      <alignment horizontal="left" readingOrder="0" vertical="top"/>
    </xf>
    <xf borderId="0" fillId="22" fontId="51" numFmtId="0" xfId="0" applyAlignment="1" applyFont="1">
      <alignment horizontal="center" readingOrder="0" vertical="top"/>
    </xf>
    <xf borderId="24" fillId="40" fontId="4" numFmtId="0" xfId="0" applyAlignment="1" applyBorder="1" applyFont="1">
      <alignment horizontal="left" readingOrder="0" vertical="top"/>
    </xf>
    <xf borderId="24" fillId="40" fontId="4" numFmtId="0" xfId="0" applyAlignment="1" applyBorder="1" applyFont="1">
      <alignment horizontal="center" readingOrder="0" vertical="top"/>
    </xf>
    <xf borderId="24" fillId="40" fontId="4" numFmtId="170" xfId="0" applyAlignment="1" applyBorder="1" applyFont="1" applyNumberFormat="1">
      <alignment horizontal="center" readingOrder="0" vertical="top"/>
    </xf>
    <xf borderId="24" fillId="40" fontId="4" numFmtId="165" xfId="0" applyAlignment="1" applyBorder="1" applyFont="1" applyNumberFormat="1">
      <alignment horizontal="center" readingOrder="0" vertical="top"/>
    </xf>
    <xf borderId="24" fillId="40" fontId="32" numFmtId="165" xfId="0" applyAlignment="1" applyBorder="1" applyFont="1" applyNumberFormat="1">
      <alignment horizontal="center" vertical="center"/>
    </xf>
    <xf borderId="10" fillId="22" fontId="51" numFmtId="0" xfId="0" applyAlignment="1" applyBorder="1" applyFont="1">
      <alignment horizontal="center" vertical="top"/>
    </xf>
    <xf borderId="10" fillId="11" fontId="51" numFmtId="0" xfId="0" applyAlignment="1" applyBorder="1" applyFont="1">
      <alignment horizontal="center" vertical="top"/>
    </xf>
    <xf borderId="0" fillId="0" fontId="4" numFmtId="0" xfId="0" applyAlignment="1" applyFont="1">
      <alignment horizontal="center" readingOrder="0" vertical="top"/>
    </xf>
    <xf borderId="0" fillId="0" fontId="4" numFmtId="170" xfId="0" applyAlignment="1" applyFont="1" applyNumberFormat="1">
      <alignment horizontal="center" readingOrder="0" vertical="top"/>
    </xf>
    <xf borderId="0" fillId="0" fontId="4" numFmtId="165" xfId="0" applyAlignment="1" applyFont="1" applyNumberFormat="1">
      <alignment horizontal="center" readingOrder="0" vertical="top"/>
    </xf>
    <xf borderId="0" fillId="0" fontId="32" numFmtId="165" xfId="0" applyAlignment="1" applyFont="1" applyNumberFormat="1">
      <alignment horizontal="center" vertical="center"/>
    </xf>
    <xf borderId="0" fillId="0" fontId="51" numFmtId="0" xfId="0" applyAlignment="1" applyFont="1">
      <alignment horizontal="center" vertical="top"/>
    </xf>
    <xf borderId="0" fillId="0" fontId="51" numFmtId="0" xfId="0" applyAlignment="1" applyFont="1">
      <alignment horizontal="center" readingOrder="0" vertical="top"/>
    </xf>
    <xf borderId="0" fillId="0" fontId="4" numFmtId="165" xfId="0" applyAlignment="1" applyFont="1" applyNumberFormat="1">
      <alignment horizontal="left" vertical="top"/>
    </xf>
    <xf borderId="0" fillId="0" fontId="38" numFmtId="0" xfId="0" applyAlignment="1" applyFont="1">
      <alignment horizontal="center" shrinkToFit="0" vertical="top" wrapText="1"/>
    </xf>
    <xf borderId="10" fillId="0" fontId="17" numFmtId="0" xfId="0" applyAlignment="1" applyBorder="1" applyFont="1">
      <alignment horizontal="center" shrinkToFit="0" vertical="center" wrapText="1"/>
    </xf>
    <xf borderId="10" fillId="0" fontId="18" numFmtId="0" xfId="0" applyAlignment="1" applyBorder="1" applyFont="1">
      <alignment horizontal="center" vertical="center"/>
    </xf>
    <xf borderId="10" fillId="28" fontId="18" numFmtId="0" xfId="0" applyAlignment="1" applyBorder="1" applyFont="1">
      <alignment horizontal="center" shrinkToFit="0" vertical="center" wrapText="1"/>
    </xf>
    <xf borderId="10" fillId="19" fontId="38" numFmtId="0" xfId="0" applyAlignment="1" applyBorder="1" applyFont="1">
      <alignment horizontal="center" readingOrder="0" vertical="center"/>
    </xf>
    <xf borderId="10" fillId="11" fontId="38" numFmtId="0" xfId="0" applyAlignment="1" applyBorder="1" applyFont="1">
      <alignment horizontal="center" vertical="center"/>
    </xf>
    <xf borderId="11" fillId="0" fontId="27" numFmtId="4" xfId="0" applyAlignment="1" applyBorder="1" applyFont="1" applyNumberFormat="1">
      <alignment horizontal="center" shrinkToFit="0" vertical="center" wrapText="1"/>
    </xf>
    <xf borderId="10" fillId="0" fontId="27" numFmtId="2" xfId="0" applyAlignment="1" applyBorder="1" applyFont="1" applyNumberFormat="1">
      <alignment horizontal="center" vertical="center"/>
    </xf>
    <xf borderId="10" fillId="28" fontId="27" numFmtId="165" xfId="0" applyAlignment="1" applyBorder="1" applyFont="1" applyNumberFormat="1">
      <alignment horizontal="center" vertical="center"/>
    </xf>
    <xf borderId="10" fillId="8" fontId="27" numFmtId="165" xfId="0" applyAlignment="1" applyBorder="1" applyFont="1" applyNumberFormat="1">
      <alignment horizontal="center" vertical="center"/>
    </xf>
    <xf borderId="11" fillId="19" fontId="38" numFmtId="0" xfId="0" applyAlignment="1" applyBorder="1" applyFont="1">
      <alignment horizontal="center" vertical="center"/>
    </xf>
    <xf borderId="13" fillId="11" fontId="38" numFmtId="1" xfId="0" applyAlignment="1" applyBorder="1" applyFont="1" applyNumberFormat="1">
      <alignment horizontal="center" vertical="center"/>
    </xf>
    <xf borderId="11" fillId="0" fontId="27" numFmtId="0" xfId="0" applyAlignment="1" applyBorder="1" applyFont="1">
      <alignment horizontal="center" readingOrder="0" shrinkToFit="0" vertical="center" wrapText="1"/>
    </xf>
    <xf borderId="11" fillId="5" fontId="27" numFmtId="0" xfId="0" applyAlignment="1" applyBorder="1" applyFont="1">
      <alignment horizontal="center" shrinkToFit="0" vertical="center" wrapText="1"/>
    </xf>
    <xf borderId="2" fillId="0" fontId="53" numFmtId="0" xfId="0" applyAlignment="1" applyBorder="1" applyFont="1">
      <alignment horizontal="left" vertical="top"/>
    </xf>
    <xf borderId="13" fillId="0" fontId="27" numFmtId="0" xfId="0" applyAlignment="1" applyBorder="1" applyFont="1">
      <alignment horizontal="center" readingOrder="0" shrinkToFit="0" vertical="center" wrapText="1"/>
    </xf>
    <xf borderId="13" fillId="11" fontId="38" numFmtId="0" xfId="0" applyAlignment="1" applyBorder="1" applyFont="1">
      <alignment horizontal="center" vertical="center"/>
    </xf>
    <xf borderId="10" fillId="7" fontId="27" numFmtId="0" xfId="0" applyAlignment="1" applyBorder="1" applyFont="1">
      <alignment horizontal="center" readingOrder="0" shrinkToFit="0" vertical="center" wrapText="1"/>
    </xf>
    <xf borderId="11" fillId="21" fontId="27" numFmtId="0" xfId="0" applyAlignment="1" applyBorder="1" applyFont="1">
      <alignment horizontal="center" shrinkToFit="0" vertical="center" wrapText="1"/>
    </xf>
    <xf borderId="0" fillId="0" fontId="53" numFmtId="0" xfId="0" applyAlignment="1" applyFont="1">
      <alignment horizontal="left" vertical="top"/>
    </xf>
    <xf borderId="13" fillId="0" fontId="27" numFmtId="0" xfId="0" applyAlignment="1" applyBorder="1" applyFont="1">
      <alignment horizontal="center" shrinkToFit="0" vertical="center" wrapText="1"/>
    </xf>
    <xf borderId="2" fillId="0" fontId="54" numFmtId="0" xfId="0" applyAlignment="1" applyBorder="1" applyFont="1">
      <alignment horizontal="left" shrinkToFit="0" vertical="top" wrapText="0"/>
    </xf>
    <xf borderId="10" fillId="0" fontId="27" numFmtId="2" xfId="0" applyAlignment="1" applyBorder="1" applyFont="1" applyNumberFormat="1">
      <alignment horizontal="center" readingOrder="0" vertical="center"/>
    </xf>
    <xf borderId="0" fillId="0" fontId="54" numFmtId="0" xfId="0" applyAlignment="1" applyFont="1">
      <alignment horizontal="left" shrinkToFit="0" vertical="top" wrapText="0"/>
    </xf>
    <xf borderId="11" fillId="19" fontId="38" numFmtId="0" xfId="0" applyAlignment="1" applyBorder="1" applyFont="1">
      <alignment horizontal="center" readingOrder="0" vertical="center"/>
    </xf>
    <xf borderId="0" fillId="21" fontId="55" numFmtId="0" xfId="0" applyAlignment="1" applyFont="1">
      <alignment horizontal="center" readingOrder="0" vertical="top"/>
    </xf>
    <xf borderId="0" fillId="0" fontId="4" numFmtId="0" xfId="0" applyAlignment="1" applyFont="1">
      <alignment horizontal="center" vertical="top"/>
    </xf>
    <xf borderId="0" fillId="0" fontId="55" numFmtId="0" xfId="0" applyAlignment="1" applyFont="1">
      <alignment horizontal="center" readingOrder="0" vertical="top"/>
    </xf>
    <xf borderId="0" fillId="0" fontId="55" numFmtId="0" xfId="0" applyAlignment="1" applyFont="1">
      <alignment horizontal="center" vertical="top"/>
    </xf>
    <xf borderId="0" fillId="19" fontId="51" numFmtId="0" xfId="0" applyAlignment="1" applyFont="1">
      <alignment horizontal="center" readingOrder="0" vertical="top"/>
    </xf>
    <xf borderId="0" fillId="11" fontId="51" numFmtId="0" xfId="0" applyAlignment="1" applyFont="1">
      <alignment horizontal="center" readingOrder="0" vertical="top"/>
    </xf>
    <xf borderId="0" fillId="0" fontId="54" numFmtId="0" xfId="0" applyAlignment="1" applyFont="1">
      <alignment horizontal="center" shrinkToFit="0" vertical="top" wrapText="0"/>
    </xf>
    <xf borderId="0" fillId="0" fontId="53" numFmtId="0" xfId="0" applyAlignment="1" applyFont="1">
      <alignment horizontal="right" vertical="top"/>
    </xf>
    <xf borderId="11" fillId="12" fontId="27" numFmtId="0" xfId="0" applyAlignment="1" applyBorder="1" applyFont="1">
      <alignment horizontal="center" readingOrder="0" shrinkToFit="0" vertical="center" wrapText="1"/>
    </xf>
    <xf borderId="11" fillId="18" fontId="27" numFmtId="0" xfId="0" applyAlignment="1" applyBorder="1" applyFont="1">
      <alignment horizontal="center" readingOrder="0" shrinkToFit="0" vertical="center" wrapText="1"/>
    </xf>
    <xf borderId="0" fillId="28" fontId="4" numFmtId="0" xfId="0" applyAlignment="1" applyFont="1">
      <alignment horizontal="left" vertical="top"/>
    </xf>
    <xf borderId="0" fillId="0" fontId="38" numFmtId="46" xfId="0" applyAlignment="1" applyFont="1" applyNumberFormat="1">
      <alignment horizontal="center" shrinkToFit="0" vertical="top" wrapText="1"/>
    </xf>
    <xf borderId="0" fillId="0" fontId="56" numFmtId="0" xfId="0" applyAlignment="1" applyFont="1">
      <alignment horizontal="left" vertical="top"/>
    </xf>
    <xf borderId="10" fillId="0" fontId="18" numFmtId="1" xfId="0" applyAlignment="1" applyBorder="1" applyFont="1" applyNumberFormat="1">
      <alignment horizontal="center" shrinkToFit="0" vertical="center" wrapText="1"/>
    </xf>
    <xf borderId="11" fillId="9" fontId="18" numFmtId="0" xfId="0" applyAlignment="1" applyBorder="1" applyFont="1">
      <alignment horizontal="center" shrinkToFit="0" vertical="center" wrapText="1"/>
    </xf>
    <xf borderId="10" fillId="19" fontId="30" numFmtId="0" xfId="0" applyAlignment="1" applyBorder="1" applyFont="1">
      <alignment horizontal="center" readingOrder="0" vertical="center"/>
    </xf>
    <xf borderId="10" fillId="11" fontId="18" numFmtId="0" xfId="0" applyAlignment="1" applyBorder="1" applyFont="1">
      <alignment horizontal="center" vertical="center"/>
    </xf>
    <xf borderId="10" fillId="0" fontId="27" numFmtId="171" xfId="0" applyAlignment="1" applyBorder="1" applyFont="1" applyNumberFormat="1">
      <alignment horizontal="center" shrinkToFit="0" vertical="center" wrapText="1"/>
    </xf>
    <xf borderId="11" fillId="0" fontId="21" numFmtId="1" xfId="0" applyAlignment="1" applyBorder="1" applyFont="1" applyNumberFormat="1">
      <alignment horizontal="center" readingOrder="0" shrinkToFit="1" vertical="center" wrapText="0"/>
    </xf>
    <xf borderId="10" fillId="8" fontId="27" numFmtId="165" xfId="0" applyAlignment="1" applyBorder="1" applyFont="1" applyNumberFormat="1">
      <alignment horizontal="center" shrinkToFit="0" vertical="center" wrapText="1"/>
    </xf>
    <xf borderId="0" fillId="0" fontId="27" numFmtId="165" xfId="0" applyAlignment="1" applyFont="1" applyNumberFormat="1">
      <alignment horizontal="center" readingOrder="0" vertical="center"/>
    </xf>
    <xf borderId="11" fillId="9" fontId="27" numFmtId="0" xfId="0" applyAlignment="1" applyBorder="1" applyFont="1">
      <alignment horizontal="center" shrinkToFit="0" vertical="center" wrapText="1"/>
    </xf>
    <xf borderId="13" fillId="11" fontId="18" numFmtId="1" xfId="0" applyAlignment="1" applyBorder="1" applyFont="1" applyNumberFormat="1">
      <alignment horizontal="center" readingOrder="0" vertical="center"/>
    </xf>
    <xf borderId="10" fillId="0" fontId="27" numFmtId="0" xfId="0" applyAlignment="1" applyBorder="1" applyFont="1">
      <alignment horizontal="center" readingOrder="0" shrinkToFit="0" vertical="center" wrapText="1"/>
    </xf>
    <xf borderId="0" fillId="0" fontId="4" numFmtId="2" xfId="0" applyAlignment="1" applyFont="1" applyNumberFormat="1">
      <alignment horizontal="left" vertical="top"/>
    </xf>
    <xf borderId="0" fillId="0" fontId="27" numFmtId="165" xfId="0" applyAlignment="1" applyFont="1" applyNumberFormat="1">
      <alignment horizontal="center" vertical="center"/>
    </xf>
    <xf borderId="0" fillId="0" fontId="1" numFmtId="172" xfId="0" applyAlignment="1" applyFont="1" applyNumberFormat="1">
      <alignment horizontal="left" vertical="top"/>
    </xf>
    <xf borderId="10" fillId="0" fontId="21" numFmtId="1" xfId="0" applyAlignment="1" applyBorder="1" applyFont="1" applyNumberFormat="1">
      <alignment horizontal="right" readingOrder="0" shrinkToFit="1" vertical="center" wrapText="0"/>
    </xf>
    <xf borderId="11" fillId="9" fontId="27" numFmtId="165" xfId="0" applyAlignment="1" applyBorder="1" applyFont="1" applyNumberFormat="1">
      <alignment horizontal="center" shrinkToFit="0" vertical="center" wrapText="1"/>
    </xf>
    <xf borderId="11" fillId="32" fontId="27" numFmtId="0" xfId="0" applyAlignment="1" applyBorder="1" applyFont="1">
      <alignment horizontal="center" shrinkToFit="0" vertical="center" wrapText="1"/>
    </xf>
    <xf borderId="0" fillId="0" fontId="4" numFmtId="166" xfId="0" applyAlignment="1" applyFont="1" applyNumberFormat="1">
      <alignment horizontal="left" vertical="top"/>
    </xf>
    <xf borderId="11" fillId="32" fontId="27" numFmtId="0" xfId="0" applyAlignment="1" applyBorder="1" applyFont="1">
      <alignment horizontal="center" readingOrder="0" shrinkToFit="0" vertical="center" wrapText="1"/>
    </xf>
    <xf borderId="11" fillId="44" fontId="27" numFmtId="0" xfId="0" applyAlignment="1" applyBorder="1" applyFill="1" applyFont="1">
      <alignment horizontal="center" readingOrder="0" shrinkToFit="0" vertical="top" wrapText="1"/>
    </xf>
    <xf borderId="10" fillId="0" fontId="21" numFmtId="1" xfId="0" applyAlignment="1" applyBorder="1" applyFont="1" applyNumberFormat="1">
      <alignment horizontal="center" readingOrder="0" shrinkToFit="1" vertical="center" wrapText="0"/>
    </xf>
    <xf borderId="11" fillId="44" fontId="27" numFmtId="0" xfId="0" applyAlignment="1" applyBorder="1" applyFont="1">
      <alignment horizontal="center" readingOrder="0" shrinkToFit="0" vertical="center" wrapText="1"/>
    </xf>
    <xf borderId="11" fillId="9" fontId="27" numFmtId="166" xfId="0" applyAlignment="1" applyBorder="1" applyFont="1" applyNumberFormat="1">
      <alignment horizontal="center" readingOrder="0" shrinkToFit="0" vertical="center" wrapText="1"/>
    </xf>
    <xf borderId="10" fillId="4" fontId="27" numFmtId="0" xfId="0" applyAlignment="1" applyBorder="1" applyFont="1">
      <alignment horizontal="center" shrinkToFit="0" vertical="center" wrapText="1"/>
    </xf>
    <xf borderId="11" fillId="12" fontId="27" numFmtId="0" xfId="0" applyAlignment="1" applyBorder="1" applyFont="1">
      <alignment horizontal="center" shrinkToFit="0" vertical="center" wrapText="1"/>
    </xf>
    <xf borderId="11" fillId="30" fontId="27" numFmtId="0" xfId="0" applyAlignment="1" applyBorder="1" applyFont="1">
      <alignment horizontal="center" shrinkToFit="0" vertical="center" wrapText="1"/>
    </xf>
    <xf borderId="11" fillId="22" fontId="27" numFmtId="0" xfId="0" applyAlignment="1" applyBorder="1" applyFont="1">
      <alignment horizontal="center" shrinkToFit="0" vertical="center" wrapText="1"/>
    </xf>
    <xf borderId="11" fillId="10" fontId="27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left" vertical="top"/>
    </xf>
    <xf borderId="24" fillId="0" fontId="27" numFmtId="0" xfId="0" applyAlignment="1" applyBorder="1" applyFont="1">
      <alignment horizontal="center" readingOrder="0" shrinkToFit="0" vertical="center" wrapText="1"/>
    </xf>
    <xf borderId="12" fillId="0" fontId="21" numFmtId="1" xfId="0" applyAlignment="1" applyBorder="1" applyFont="1" applyNumberFormat="1">
      <alignment horizontal="center" readingOrder="0" shrinkToFit="1" vertical="center" wrapText="0"/>
    </xf>
    <xf borderId="13" fillId="11" fontId="18" numFmtId="0" xfId="0" applyAlignment="1" applyBorder="1" applyFont="1">
      <alignment horizontal="center" readingOrder="0" vertical="center"/>
    </xf>
    <xf borderId="12" fillId="0" fontId="21" numFmtId="1" xfId="0" applyAlignment="1" applyBorder="1" applyFont="1" applyNumberFormat="1">
      <alignment horizontal="center" shrinkToFit="1" vertical="center" wrapText="0"/>
    </xf>
    <xf borderId="0" fillId="0" fontId="4" numFmtId="168" xfId="0" applyAlignment="1" applyFont="1" applyNumberFormat="1">
      <alignment horizontal="left" vertical="top"/>
    </xf>
    <xf borderId="0" fillId="0" fontId="4" numFmtId="1" xfId="0" applyAlignment="1" applyFont="1" applyNumberFormat="1">
      <alignment horizontal="left" vertical="top"/>
    </xf>
    <xf borderId="10" fillId="8" fontId="27" numFmtId="171" xfId="0" applyAlignment="1" applyBorder="1" applyFont="1" applyNumberFormat="1">
      <alignment horizontal="center" shrinkToFit="0" vertical="center" wrapText="1"/>
    </xf>
    <xf borderId="11" fillId="9" fontId="27" numFmtId="171" xfId="0" applyAlignment="1" applyBorder="1" applyFont="1" applyNumberFormat="1">
      <alignment horizontal="center" shrinkToFit="0" vertical="center" wrapText="1"/>
    </xf>
    <xf borderId="10" fillId="45" fontId="27" numFmtId="0" xfId="0" applyAlignment="1" applyBorder="1" applyFill="1" applyFont="1">
      <alignment horizontal="center" readingOrder="0" shrinkToFit="0" vertical="center" wrapText="1"/>
    </xf>
    <xf borderId="11" fillId="45" fontId="27" numFmtId="0" xfId="0" applyAlignment="1" applyBorder="1" applyFont="1">
      <alignment horizontal="center" readingOrder="0" shrinkToFit="0" vertical="center" wrapText="1"/>
    </xf>
    <xf borderId="10" fillId="45" fontId="27" numFmtId="0" xfId="0" applyAlignment="1" applyBorder="1" applyFont="1">
      <alignment horizontal="center" shrinkToFit="0" vertical="center" wrapText="1"/>
    </xf>
    <xf borderId="11" fillId="45" fontId="21" numFmtId="1" xfId="0" applyAlignment="1" applyBorder="1" applyFont="1" applyNumberFormat="1">
      <alignment horizontal="center" readingOrder="0" shrinkToFit="1" vertical="center" wrapText="0"/>
    </xf>
    <xf borderId="0" fillId="45" fontId="4" numFmtId="0" xfId="0" applyAlignment="1" applyFont="1">
      <alignment horizontal="left" vertical="top"/>
    </xf>
    <xf borderId="0" fillId="45" fontId="4" numFmtId="0" xfId="0" applyAlignment="1" applyFont="1">
      <alignment horizontal="left" readingOrder="0" vertical="top"/>
    </xf>
    <xf borderId="10" fillId="45" fontId="57" numFmtId="165" xfId="0" applyAlignment="1" applyBorder="1" applyFont="1" applyNumberFormat="1">
      <alignment horizontal="left" readingOrder="0" vertical="top"/>
    </xf>
    <xf borderId="11" fillId="45" fontId="38" numFmtId="0" xfId="0" applyAlignment="1" applyBorder="1" applyFont="1">
      <alignment horizontal="center" vertical="center"/>
    </xf>
    <xf borderId="13" fillId="45" fontId="18" numFmtId="1" xfId="0" applyAlignment="1" applyBorder="1" applyFont="1" applyNumberFormat="1">
      <alignment horizontal="center" readingOrder="0" vertical="center"/>
    </xf>
    <xf borderId="11" fillId="45" fontId="27" numFmtId="0" xfId="0" applyAlignment="1" applyBorder="1" applyFont="1">
      <alignment horizontal="center" readingOrder="0" shrinkToFit="0" vertical="top" wrapText="1"/>
    </xf>
    <xf borderId="10" fillId="45" fontId="21" numFmtId="1" xfId="0" applyAlignment="1" applyBorder="1" applyFont="1" applyNumberFormat="1">
      <alignment horizontal="center" readingOrder="0" shrinkToFit="1" vertical="center" wrapText="0"/>
    </xf>
    <xf borderId="10" fillId="45" fontId="21" numFmtId="1" xfId="0" applyAlignment="1" applyBorder="1" applyFont="1" applyNumberFormat="1">
      <alignment horizontal="center" shrinkToFit="1" vertical="center" wrapText="0"/>
    </xf>
    <xf borderId="10" fillId="45" fontId="46" numFmtId="165" xfId="0" applyAlignment="1" applyBorder="1" applyFont="1" applyNumberFormat="1">
      <alignment horizontal="left" readingOrder="0" vertical="top"/>
    </xf>
    <xf borderId="11" fillId="45" fontId="38" numFmtId="0" xfId="0" applyAlignment="1" applyBorder="1" applyFont="1">
      <alignment horizontal="center" readingOrder="0" vertical="center"/>
    </xf>
    <xf borderId="10" fillId="0" fontId="27" numFmtId="0" xfId="0" applyAlignment="1" applyBorder="1" applyFont="1">
      <alignment horizontal="center" readingOrder="0" shrinkToFit="0" vertical="center" wrapText="1"/>
    </xf>
    <xf borderId="11" fillId="0" fontId="18" numFmtId="1" xfId="0" applyAlignment="1" applyBorder="1" applyFont="1" applyNumberFormat="1">
      <alignment horizontal="center" shrinkToFit="0" vertical="center" wrapText="1"/>
    </xf>
    <xf borderId="10" fillId="8" fontId="27" numFmtId="166" xfId="0" applyAlignment="1" applyBorder="1" applyFont="1" applyNumberFormat="1">
      <alignment horizontal="center" vertical="bottom"/>
    </xf>
    <xf borderId="10" fillId="0" fontId="27" numFmtId="166" xfId="0" applyAlignment="1" applyBorder="1" applyFont="1" applyNumberFormat="1">
      <alignment horizontal="center" vertical="center"/>
    </xf>
    <xf borderId="11" fillId="9" fontId="27" numFmtId="166" xfId="0" applyAlignment="1" applyBorder="1" applyFont="1" applyNumberFormat="1">
      <alignment horizontal="center" readingOrder="0" vertical="bottom"/>
    </xf>
    <xf borderId="13" fillId="11" fontId="38" numFmtId="1" xfId="0" applyAlignment="1" applyBorder="1" applyFont="1" applyNumberFormat="1">
      <alignment horizontal="center" readingOrder="0" vertical="center"/>
    </xf>
    <xf borderId="10" fillId="19" fontId="4" numFmtId="0" xfId="0" applyAlignment="1" applyBorder="1" applyFont="1">
      <alignment horizontal="left" vertical="top"/>
    </xf>
    <xf borderId="1" fillId="0" fontId="21" numFmtId="1" xfId="0" applyAlignment="1" applyBorder="1" applyFont="1" applyNumberFormat="1">
      <alignment horizontal="center" shrinkToFit="1" vertical="center" wrapText="0"/>
    </xf>
    <xf borderId="1" fillId="0" fontId="27" numFmtId="0" xfId="0" applyAlignment="1" applyBorder="1" applyFont="1">
      <alignment horizontal="center" shrinkToFit="0" vertical="center" wrapText="1"/>
    </xf>
    <xf borderId="12" fillId="0" fontId="27" numFmtId="0" xfId="0" applyAlignment="1" applyBorder="1" applyFont="1">
      <alignment horizontal="center" shrinkToFit="0" vertical="center" wrapText="1"/>
    </xf>
    <xf borderId="12" fillId="0" fontId="27" numFmtId="4" xfId="0" applyAlignment="1" applyBorder="1" applyFont="1" applyNumberFormat="1">
      <alignment horizontal="center" shrinkToFit="0" vertical="center" wrapText="1"/>
    </xf>
    <xf borderId="11" fillId="0" fontId="27" numFmtId="1" xfId="0" applyAlignment="1" applyBorder="1" applyFont="1" applyNumberFormat="1">
      <alignment horizontal="center" shrinkToFit="0" vertical="center" wrapText="1"/>
    </xf>
    <xf borderId="12" fillId="0" fontId="4" numFmtId="0" xfId="0" applyAlignment="1" applyBorder="1" applyFont="1">
      <alignment horizontal="left" vertical="top"/>
    </xf>
    <xf borderId="13" fillId="0" fontId="4" numFmtId="0" xfId="0" applyAlignment="1" applyBorder="1" applyFont="1">
      <alignment horizontal="left" vertical="top"/>
    </xf>
    <xf borderId="12" fillId="0" fontId="53" numFmtId="0" xfId="0" applyAlignment="1" applyBorder="1" applyFont="1">
      <alignment horizontal="left" vertical="top"/>
    </xf>
    <xf borderId="12" fillId="0" fontId="53" numFmtId="0" xfId="0" applyAlignment="1" applyBorder="1" applyFont="1">
      <alignment horizontal="right" vertical="top"/>
    </xf>
    <xf borderId="13" fillId="0" fontId="21" numFmtId="1" xfId="0" applyAlignment="1" applyBorder="1" applyFont="1" applyNumberFormat="1">
      <alignment horizontal="center" shrinkToFit="1" vertical="center" wrapText="0"/>
    </xf>
    <xf borderId="13" fillId="0" fontId="27" numFmtId="1" xfId="0" applyAlignment="1" applyBorder="1" applyFont="1" applyNumberFormat="1">
      <alignment horizontal="center" shrinkToFit="0" vertical="center" wrapText="1"/>
    </xf>
    <xf borderId="11" fillId="0" fontId="54" numFmtId="0" xfId="0" applyAlignment="1" applyBorder="1" applyFont="1">
      <alignment horizontal="left" shrinkToFit="0" vertical="top" wrapText="0"/>
    </xf>
    <xf borderId="11" fillId="0" fontId="53" numFmtId="0" xfId="0" applyAlignment="1" applyBorder="1" applyFont="1">
      <alignment horizontal="left" vertical="top"/>
    </xf>
    <xf borderId="11" fillId="0" fontId="54" numFmtId="0" xfId="0" applyAlignment="1" applyBorder="1" applyFont="1">
      <alignment horizontal="center" shrinkToFit="0" vertical="top" wrapText="0"/>
    </xf>
    <xf borderId="11" fillId="0" fontId="53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190500" cy="190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285750</xdr:colOff>
      <xdr:row>0</xdr:row>
      <xdr:rowOff>0</xdr:rowOff>
    </xdr:from>
    <xdr:ext cx="2771775" cy="5334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763125" cy="533400"/>
    <xdr:pic>
      <xdr:nvPicPr>
        <xdr:cNvPr id="0" name="image3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285750</xdr:colOff>
      <xdr:row>0</xdr:row>
      <xdr:rowOff>0</xdr:rowOff>
    </xdr:from>
    <xdr:ext cx="2771775" cy="5334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763125" cy="533400"/>
    <xdr:pic>
      <xdr:nvPicPr>
        <xdr:cNvPr id="0" name="image3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943725" cy="704850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943725" cy="704850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8648700" cy="485775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8648700" cy="485775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-76200</xdr:colOff>
      <xdr:row>0</xdr:row>
      <xdr:rowOff>-38100</xdr:rowOff>
    </xdr:from>
    <xdr:ext cx="11715750" cy="723900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-76200</xdr:colOff>
      <xdr:row>0</xdr:row>
      <xdr:rowOff>-38100</xdr:rowOff>
    </xdr:from>
    <xdr:ext cx="11715750" cy="723900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810375" cy="781050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810375" cy="781050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743825" cy="733425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743825" cy="733425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677650" cy="733425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677650" cy="733425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410575" cy="733425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410575" cy="733425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venantmaterialesyelectricidad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4" max="4" width="16.71"/>
    <col customWidth="1" min="5" max="5" width="17.71"/>
    <col customWidth="1" min="7" max="7" width="22.71"/>
    <col customWidth="1" min="8" max="8" width="22.43"/>
    <col customWidth="1" min="9" max="9" width="26.57"/>
    <col customWidth="1" min="10" max="10" width="26.0"/>
  </cols>
  <sheetData>
    <row r="2">
      <c r="B2" s="1"/>
      <c r="C2" s="2"/>
      <c r="D2" s="3"/>
      <c r="E2" s="3"/>
      <c r="F2" s="3"/>
      <c r="G2" s="2"/>
      <c r="H2" s="2"/>
      <c r="I2" s="2"/>
      <c r="J2" s="4"/>
    </row>
    <row r="3">
      <c r="B3" s="5"/>
      <c r="G3" s="6"/>
      <c r="H3" s="6"/>
      <c r="I3" s="6"/>
      <c r="J3" s="7"/>
    </row>
    <row r="4">
      <c r="B4" s="5"/>
      <c r="G4" s="6"/>
      <c r="H4" s="8" t="s">
        <v>0</v>
      </c>
      <c r="J4" s="9"/>
    </row>
    <row r="5">
      <c r="B5" s="5"/>
      <c r="G5" s="6"/>
      <c r="H5" s="10" t="s">
        <v>1</v>
      </c>
      <c r="J5" s="9"/>
    </row>
    <row r="6">
      <c r="B6" s="5"/>
      <c r="G6" s="6"/>
      <c r="H6" s="6"/>
      <c r="I6" s="6"/>
      <c r="J6" s="9"/>
    </row>
    <row r="7">
      <c r="B7" s="5"/>
      <c r="G7" s="6"/>
      <c r="H7" s="6"/>
      <c r="I7" s="6"/>
      <c r="J7" s="9"/>
    </row>
    <row r="8">
      <c r="B8" s="5"/>
      <c r="G8" s="6"/>
      <c r="H8" s="11" t="s">
        <v>2</v>
      </c>
      <c r="I8" s="12">
        <v>45880.0</v>
      </c>
      <c r="J8" s="13"/>
    </row>
    <row r="9">
      <c r="B9" s="5"/>
      <c r="G9" s="6"/>
      <c r="H9" s="11" t="s">
        <v>3</v>
      </c>
      <c r="I9" s="12">
        <v>45882.0</v>
      </c>
      <c r="J9" s="13"/>
    </row>
    <row r="10">
      <c r="B10" s="5"/>
      <c r="G10" s="6"/>
      <c r="H10" s="14"/>
      <c r="I10" s="14"/>
      <c r="J10" s="13"/>
    </row>
    <row r="11">
      <c r="B11" s="5"/>
      <c r="G11" s="6"/>
      <c r="H11" s="11" t="s">
        <v>4</v>
      </c>
      <c r="J11" s="15"/>
    </row>
    <row r="12">
      <c r="B12" s="5"/>
      <c r="G12" s="6"/>
      <c r="H12" s="11" t="s">
        <v>5</v>
      </c>
      <c r="J12" s="15"/>
    </row>
    <row r="13">
      <c r="B13" s="5"/>
      <c r="G13" s="6"/>
      <c r="H13" s="6"/>
      <c r="I13" s="6"/>
      <c r="J13" s="7"/>
    </row>
    <row r="14">
      <c r="B14" s="5"/>
      <c r="G14" s="6"/>
      <c r="H14" s="6"/>
      <c r="I14" s="6"/>
      <c r="J14" s="7"/>
    </row>
    <row r="15">
      <c r="B15" s="5"/>
      <c r="G15" s="6"/>
      <c r="H15" s="6"/>
      <c r="I15" s="6"/>
      <c r="J15" s="7"/>
    </row>
    <row r="16">
      <c r="B16" s="1"/>
      <c r="C16" s="3"/>
      <c r="D16" s="3"/>
      <c r="E16" s="3"/>
      <c r="F16" s="3"/>
      <c r="G16" s="3"/>
      <c r="H16" s="3"/>
      <c r="I16" s="3"/>
      <c r="J16" s="16"/>
    </row>
    <row r="17">
      <c r="B17" s="17"/>
      <c r="J17" s="15"/>
    </row>
    <row r="18">
      <c r="B18" s="18"/>
      <c r="C18" s="19"/>
      <c r="D18" s="19"/>
      <c r="E18" s="19"/>
      <c r="F18" s="19"/>
      <c r="G18" s="19"/>
      <c r="H18" s="19"/>
      <c r="I18" s="19"/>
      <c r="J18" s="20"/>
    </row>
    <row r="19">
      <c r="B19" s="21" t="s">
        <v>6</v>
      </c>
      <c r="C19" s="19"/>
      <c r="D19" s="19"/>
      <c r="E19" s="20"/>
      <c r="F19" s="22" t="s">
        <v>7</v>
      </c>
      <c r="G19" s="22" t="s">
        <v>8</v>
      </c>
      <c r="H19" s="22" t="s">
        <v>9</v>
      </c>
      <c r="I19" s="23" t="s">
        <v>10</v>
      </c>
      <c r="J19" s="24" t="s">
        <v>11</v>
      </c>
    </row>
    <row r="20">
      <c r="B20" s="25"/>
      <c r="C20" s="19"/>
      <c r="D20" s="19"/>
      <c r="E20" s="20"/>
      <c r="F20" s="26"/>
      <c r="G20" s="27"/>
      <c r="H20" s="27"/>
      <c r="I20" s="28">
        <f t="shared" ref="I20:I31" si="1">F20*G20</f>
        <v>0</v>
      </c>
      <c r="J20" s="29">
        <f t="shared" ref="J20:J31" si="2">F20*H20</f>
        <v>0</v>
      </c>
    </row>
    <row r="21">
      <c r="B21" s="30"/>
      <c r="C21" s="19"/>
      <c r="D21" s="19"/>
      <c r="E21" s="20"/>
      <c r="F21" s="31"/>
      <c r="G21" s="32"/>
      <c r="H21" s="32"/>
      <c r="I21" s="28">
        <f t="shared" si="1"/>
        <v>0</v>
      </c>
      <c r="J21" s="29">
        <f t="shared" si="2"/>
        <v>0</v>
      </c>
    </row>
    <row r="22">
      <c r="B22" s="33"/>
      <c r="C22" s="34"/>
      <c r="D22" s="34"/>
      <c r="E22" s="35"/>
      <c r="F22" s="36"/>
      <c r="G22" s="37"/>
      <c r="H22" s="37"/>
      <c r="I22" s="28">
        <f t="shared" si="1"/>
        <v>0</v>
      </c>
      <c r="J22" s="29">
        <f t="shared" si="2"/>
        <v>0</v>
      </c>
    </row>
    <row r="23">
      <c r="B23" s="38"/>
      <c r="C23" s="34"/>
      <c r="D23" s="34"/>
      <c r="E23" s="35"/>
      <c r="F23" s="31"/>
      <c r="G23" s="32"/>
      <c r="H23" s="32"/>
      <c r="I23" s="28">
        <f t="shared" si="1"/>
        <v>0</v>
      </c>
      <c r="J23" s="29">
        <f t="shared" si="2"/>
        <v>0</v>
      </c>
    </row>
    <row r="24">
      <c r="B24" s="33"/>
      <c r="C24" s="34"/>
      <c r="D24" s="34"/>
      <c r="E24" s="35"/>
      <c r="F24" s="36"/>
      <c r="G24" s="37"/>
      <c r="H24" s="37"/>
      <c r="I24" s="28">
        <f t="shared" si="1"/>
        <v>0</v>
      </c>
      <c r="J24" s="29">
        <f t="shared" si="2"/>
        <v>0</v>
      </c>
    </row>
    <row r="25">
      <c r="B25" s="38"/>
      <c r="C25" s="34"/>
      <c r="D25" s="34"/>
      <c r="E25" s="35"/>
      <c r="F25" s="31"/>
      <c r="G25" s="32"/>
      <c r="H25" s="32"/>
      <c r="I25" s="28">
        <f t="shared" si="1"/>
        <v>0</v>
      </c>
      <c r="J25" s="29">
        <f t="shared" si="2"/>
        <v>0</v>
      </c>
    </row>
    <row r="26">
      <c r="B26" s="33"/>
      <c r="C26" s="34"/>
      <c r="D26" s="34"/>
      <c r="E26" s="35"/>
      <c r="F26" s="36"/>
      <c r="G26" s="37"/>
      <c r="H26" s="37"/>
      <c r="I26" s="28">
        <f t="shared" si="1"/>
        <v>0</v>
      </c>
      <c r="J26" s="29">
        <f t="shared" si="2"/>
        <v>0</v>
      </c>
    </row>
    <row r="27">
      <c r="B27" s="38"/>
      <c r="C27" s="34"/>
      <c r="D27" s="34"/>
      <c r="E27" s="35"/>
      <c r="F27" s="31"/>
      <c r="G27" s="32"/>
      <c r="H27" s="32"/>
      <c r="I27" s="28">
        <f t="shared" si="1"/>
        <v>0</v>
      </c>
      <c r="J27" s="29">
        <f t="shared" si="2"/>
        <v>0</v>
      </c>
    </row>
    <row r="28">
      <c r="B28" s="33"/>
      <c r="C28" s="34"/>
      <c r="D28" s="34"/>
      <c r="E28" s="35"/>
      <c r="F28" s="36"/>
      <c r="G28" s="37"/>
      <c r="H28" s="37"/>
      <c r="I28" s="28">
        <f t="shared" si="1"/>
        <v>0</v>
      </c>
      <c r="J28" s="29">
        <f t="shared" si="2"/>
        <v>0</v>
      </c>
    </row>
    <row r="29">
      <c r="B29" s="38"/>
      <c r="C29" s="34"/>
      <c r="D29" s="34"/>
      <c r="E29" s="35"/>
      <c r="F29" s="39"/>
      <c r="G29" s="32"/>
      <c r="H29" s="32"/>
      <c r="I29" s="28">
        <f t="shared" si="1"/>
        <v>0</v>
      </c>
      <c r="J29" s="29">
        <f t="shared" si="2"/>
        <v>0</v>
      </c>
    </row>
    <row r="30" ht="19.5" customHeight="1">
      <c r="B30" s="40"/>
      <c r="C30" s="34"/>
      <c r="D30" s="34"/>
      <c r="E30" s="35"/>
      <c r="F30" s="41"/>
      <c r="G30" s="42"/>
      <c r="H30" s="42"/>
      <c r="I30" s="28">
        <f t="shared" si="1"/>
        <v>0</v>
      </c>
      <c r="J30" s="29">
        <f t="shared" si="2"/>
        <v>0</v>
      </c>
    </row>
    <row r="31" ht="24.0" customHeight="1">
      <c r="B31" s="43"/>
      <c r="C31" s="3"/>
      <c r="D31" s="3"/>
      <c r="E31" s="16"/>
      <c r="F31" s="44"/>
      <c r="G31" s="45"/>
      <c r="H31" s="45"/>
      <c r="I31" s="28">
        <f t="shared" si="1"/>
        <v>0</v>
      </c>
      <c r="J31" s="29">
        <f t="shared" si="2"/>
        <v>0</v>
      </c>
    </row>
    <row r="32">
      <c r="B32" s="46" t="s">
        <v>12</v>
      </c>
      <c r="C32" s="34"/>
      <c r="D32" s="34"/>
      <c r="E32" s="34"/>
      <c r="F32" s="34"/>
      <c r="G32" s="34"/>
      <c r="H32" s="35"/>
      <c r="I32" s="47">
        <f t="shared" ref="I32:J32" si="3">SUM(I20:I31)</f>
        <v>0</v>
      </c>
      <c r="J32" s="48">
        <f t="shared" si="3"/>
        <v>0</v>
      </c>
    </row>
    <row r="33">
      <c r="B33" s="49"/>
      <c r="J33" s="9"/>
    </row>
    <row r="34">
      <c r="B34" s="49"/>
      <c r="J34" s="9"/>
    </row>
    <row r="35">
      <c r="B35" s="49"/>
      <c r="J35" s="9"/>
    </row>
    <row r="36">
      <c r="B36" s="49"/>
      <c r="J36" s="9"/>
    </row>
    <row r="37">
      <c r="B37" s="50" t="s">
        <v>13</v>
      </c>
      <c r="C37" s="19"/>
      <c r="D37" s="19"/>
      <c r="E37" s="19"/>
      <c r="F37" s="19"/>
      <c r="G37" s="19"/>
      <c r="H37" s="19"/>
      <c r="I37" s="19"/>
      <c r="J37" s="19"/>
    </row>
    <row r="38">
      <c r="B38" s="51" t="s">
        <v>14</v>
      </c>
    </row>
  </sheetData>
  <mergeCells count="22">
    <mergeCell ref="C2:F15"/>
    <mergeCell ref="H4:I4"/>
    <mergeCell ref="H5:I5"/>
    <mergeCell ref="H11:J11"/>
    <mergeCell ref="H12:J12"/>
    <mergeCell ref="B16:J18"/>
    <mergeCell ref="B19:E19"/>
    <mergeCell ref="B27:E27"/>
    <mergeCell ref="B28:E28"/>
    <mergeCell ref="B29:E29"/>
    <mergeCell ref="B30:E30"/>
    <mergeCell ref="B31:E31"/>
    <mergeCell ref="B32:H32"/>
    <mergeCell ref="B37:J37"/>
    <mergeCell ref="B38:J38"/>
    <mergeCell ref="B20:E20"/>
    <mergeCell ref="B21:E21"/>
    <mergeCell ref="B22:E22"/>
    <mergeCell ref="B23:E23"/>
    <mergeCell ref="B24:E24"/>
    <mergeCell ref="B25:E25"/>
    <mergeCell ref="B26:E26"/>
  </mergeCells>
  <hyperlinks>
    <hyperlink r:id="rId1" ref="B3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57"/>
    <col customWidth="1" min="2" max="2" width="90.0"/>
    <col customWidth="1" min="3" max="3" width="0.43"/>
    <col customWidth="1" min="4" max="5" width="15.14"/>
    <col customWidth="1" min="6" max="8" width="14.0"/>
    <col customWidth="1" min="9" max="9" width="18.57"/>
    <col customWidth="1" min="10" max="10" width="0.43"/>
    <col customWidth="1" min="11" max="11" width="17.0"/>
    <col customWidth="1" min="12" max="13" width="9.0"/>
    <col customWidth="1" min="14" max="14" width="3.14"/>
    <col customWidth="1" min="15" max="15" width="9.0"/>
    <col customWidth="1" min="16" max="16" width="2.0"/>
    <col customWidth="1" min="17" max="17" width="10.57"/>
    <col customWidth="1" min="18" max="28" width="9.0"/>
  </cols>
  <sheetData>
    <row r="1" ht="40.5" customHeight="1">
      <c r="A1" s="52"/>
      <c r="L1" s="53"/>
      <c r="M1" s="53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 ht="48.0" customHeight="1">
      <c r="A2" s="55" t="s">
        <v>15</v>
      </c>
      <c r="B2" s="56" t="s">
        <v>16</v>
      </c>
      <c r="C2" s="57" t="s">
        <v>17</v>
      </c>
      <c r="D2" s="58" t="s">
        <v>18</v>
      </c>
      <c r="E2" s="59" t="s">
        <v>19</v>
      </c>
      <c r="F2" s="60" t="s">
        <v>20</v>
      </c>
      <c r="G2" s="60" t="s">
        <v>21</v>
      </c>
      <c r="H2" s="60" t="s">
        <v>22</v>
      </c>
      <c r="I2" s="61" t="s">
        <v>23</v>
      </c>
      <c r="J2" s="62"/>
      <c r="K2" s="63" t="s">
        <v>24</v>
      </c>
      <c r="L2" s="64" t="s">
        <v>25</v>
      </c>
      <c r="M2" s="65" t="s">
        <v>26</v>
      </c>
      <c r="N2" s="54"/>
      <c r="O2" s="66" t="s">
        <v>27</v>
      </c>
      <c r="P2" s="54"/>
      <c r="Q2" s="66" t="s">
        <v>28</v>
      </c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</row>
    <row r="3">
      <c r="A3" s="67">
        <v>65015.0</v>
      </c>
      <c r="B3" s="68" t="s">
        <v>29</v>
      </c>
      <c r="C3" s="69">
        <v>1800.0</v>
      </c>
      <c r="D3" s="70">
        <v>262.23</v>
      </c>
      <c r="E3" s="70">
        <f t="shared" ref="E3:E51" si="1">D3*1.21</f>
        <v>317.2983</v>
      </c>
      <c r="F3" s="71">
        <v>472014.0</v>
      </c>
      <c r="G3" s="71">
        <f t="shared" ref="G3:G51" si="2">E3*C3</f>
        <v>571136.94</v>
      </c>
      <c r="H3" s="71">
        <f t="shared" ref="H3:H51" si="3">G3/C3</f>
        <v>317.2983</v>
      </c>
      <c r="I3" s="72">
        <f t="shared" ref="I3:I21" si="4">H3/(1-0.7)</f>
        <v>1057.661</v>
      </c>
      <c r="J3" s="71"/>
      <c r="K3" s="73">
        <f t="shared" ref="K3:K39" si="5">H3/(1-0.75)</f>
        <v>1269.1932</v>
      </c>
      <c r="L3" s="74">
        <v>6.0</v>
      </c>
      <c r="M3" s="75">
        <f t="shared" ref="M3:M42" si="6">C3-L3</f>
        <v>1794</v>
      </c>
      <c r="N3" s="54"/>
      <c r="O3" s="76">
        <f t="shared" ref="O3:O60" si="7">ROUNDUP(I3,-2)</f>
        <v>1100</v>
      </c>
      <c r="P3" s="54"/>
      <c r="Q3" s="76">
        <f t="shared" ref="Q3:Q60" si="8">ROUNDUP(K3,-2)</f>
        <v>1300</v>
      </c>
      <c r="R3" s="54"/>
      <c r="S3" s="66"/>
      <c r="T3" s="54"/>
      <c r="U3" s="54"/>
      <c r="V3" s="54"/>
      <c r="W3" s="54"/>
      <c r="X3" s="54"/>
      <c r="Y3" s="54"/>
      <c r="Z3" s="54"/>
      <c r="AA3" s="54"/>
      <c r="AB3" s="54"/>
    </row>
    <row r="4">
      <c r="A4" s="67">
        <v>86501.0</v>
      </c>
      <c r="B4" s="77" t="s">
        <v>30</v>
      </c>
      <c r="C4" s="69">
        <v>720.0</v>
      </c>
      <c r="D4" s="70">
        <v>290.04</v>
      </c>
      <c r="E4" s="70">
        <f t="shared" si="1"/>
        <v>350.9484</v>
      </c>
      <c r="F4" s="71">
        <v>208828.8</v>
      </c>
      <c r="G4" s="71">
        <f t="shared" si="2"/>
        <v>252682.848</v>
      </c>
      <c r="H4" s="71">
        <f t="shared" si="3"/>
        <v>350.9484</v>
      </c>
      <c r="I4" s="72">
        <f t="shared" si="4"/>
        <v>1169.828</v>
      </c>
      <c r="J4" s="71"/>
      <c r="K4" s="73">
        <f t="shared" si="5"/>
        <v>1403.7936</v>
      </c>
      <c r="L4" s="78"/>
      <c r="M4" s="75">
        <f t="shared" si="6"/>
        <v>720</v>
      </c>
      <c r="N4" s="54"/>
      <c r="O4" s="76">
        <f t="shared" si="7"/>
        <v>1200</v>
      </c>
      <c r="P4" s="54"/>
      <c r="Q4" s="76">
        <f t="shared" si="8"/>
        <v>1500</v>
      </c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</row>
    <row r="5">
      <c r="A5" s="67">
        <v>86502.0</v>
      </c>
      <c r="B5" s="77" t="s">
        <v>31</v>
      </c>
      <c r="C5" s="69">
        <v>300.0</v>
      </c>
      <c r="D5" s="70">
        <v>290.04</v>
      </c>
      <c r="E5" s="70">
        <f t="shared" si="1"/>
        <v>350.9484</v>
      </c>
      <c r="F5" s="71">
        <v>87012.0</v>
      </c>
      <c r="G5" s="71">
        <f t="shared" si="2"/>
        <v>105284.52</v>
      </c>
      <c r="H5" s="71">
        <f t="shared" si="3"/>
        <v>350.9484</v>
      </c>
      <c r="I5" s="72">
        <f t="shared" si="4"/>
        <v>1169.828</v>
      </c>
      <c r="J5" s="71"/>
      <c r="K5" s="73">
        <f t="shared" si="5"/>
        <v>1403.7936</v>
      </c>
      <c r="L5" s="78"/>
      <c r="M5" s="75">
        <f t="shared" si="6"/>
        <v>300</v>
      </c>
      <c r="N5" s="54"/>
      <c r="O5" s="76">
        <f t="shared" si="7"/>
        <v>1200</v>
      </c>
      <c r="P5" s="54"/>
      <c r="Q5" s="76">
        <f t="shared" si="8"/>
        <v>1500</v>
      </c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</row>
    <row r="6">
      <c r="A6" s="67">
        <v>86503.0</v>
      </c>
      <c r="B6" s="77" t="s">
        <v>32</v>
      </c>
      <c r="C6" s="69">
        <v>180.0</v>
      </c>
      <c r="D6" s="70">
        <v>290.04</v>
      </c>
      <c r="E6" s="70">
        <f t="shared" si="1"/>
        <v>350.9484</v>
      </c>
      <c r="F6" s="71">
        <v>52207.2</v>
      </c>
      <c r="G6" s="71">
        <f t="shared" si="2"/>
        <v>63170.712</v>
      </c>
      <c r="H6" s="71">
        <f t="shared" si="3"/>
        <v>350.9484</v>
      </c>
      <c r="I6" s="72">
        <f t="shared" si="4"/>
        <v>1169.828</v>
      </c>
      <c r="J6" s="71"/>
      <c r="K6" s="73">
        <f t="shared" si="5"/>
        <v>1403.7936</v>
      </c>
      <c r="L6" s="78"/>
      <c r="M6" s="75">
        <f t="shared" si="6"/>
        <v>180</v>
      </c>
      <c r="N6" s="54"/>
      <c r="O6" s="76">
        <f t="shared" si="7"/>
        <v>1200</v>
      </c>
      <c r="P6" s="54"/>
      <c r="Q6" s="76">
        <f t="shared" si="8"/>
        <v>1500</v>
      </c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</row>
    <row r="7">
      <c r="A7" s="67">
        <v>86515.0</v>
      </c>
      <c r="B7" s="77" t="s">
        <v>33</v>
      </c>
      <c r="C7" s="69">
        <v>30.0</v>
      </c>
      <c r="D7" s="70">
        <v>959.07</v>
      </c>
      <c r="E7" s="70">
        <f t="shared" si="1"/>
        <v>1160.4747</v>
      </c>
      <c r="F7" s="71">
        <v>28772.1</v>
      </c>
      <c r="G7" s="71">
        <f t="shared" si="2"/>
        <v>34814.241</v>
      </c>
      <c r="H7" s="71">
        <f t="shared" si="3"/>
        <v>1160.4747</v>
      </c>
      <c r="I7" s="72">
        <f t="shared" si="4"/>
        <v>3868.249</v>
      </c>
      <c r="J7" s="71"/>
      <c r="K7" s="73">
        <f t="shared" si="5"/>
        <v>4641.8988</v>
      </c>
      <c r="L7" s="78"/>
      <c r="M7" s="75">
        <f t="shared" si="6"/>
        <v>30</v>
      </c>
      <c r="N7" s="54"/>
      <c r="O7" s="76">
        <f t="shared" si="7"/>
        <v>3900</v>
      </c>
      <c r="P7" s="54"/>
      <c r="Q7" s="76">
        <f t="shared" si="8"/>
        <v>4700</v>
      </c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</row>
    <row r="8">
      <c r="A8" s="67">
        <v>86516.0</v>
      </c>
      <c r="B8" s="77" t="s">
        <v>34</v>
      </c>
      <c r="C8" s="69">
        <v>30.0</v>
      </c>
      <c r="D8" s="70">
        <v>959.07</v>
      </c>
      <c r="E8" s="70">
        <f t="shared" si="1"/>
        <v>1160.4747</v>
      </c>
      <c r="F8" s="71">
        <v>28772.1</v>
      </c>
      <c r="G8" s="71">
        <f t="shared" si="2"/>
        <v>34814.241</v>
      </c>
      <c r="H8" s="71">
        <f t="shared" si="3"/>
        <v>1160.4747</v>
      </c>
      <c r="I8" s="72">
        <f t="shared" si="4"/>
        <v>3868.249</v>
      </c>
      <c r="J8" s="71"/>
      <c r="K8" s="73">
        <f t="shared" si="5"/>
        <v>4641.8988</v>
      </c>
      <c r="L8" s="78"/>
      <c r="M8" s="75">
        <f t="shared" si="6"/>
        <v>30</v>
      </c>
      <c r="N8" s="54"/>
      <c r="O8" s="76">
        <f t="shared" si="7"/>
        <v>3900</v>
      </c>
      <c r="P8" s="54"/>
      <c r="Q8" s="76">
        <f t="shared" si="8"/>
        <v>4700</v>
      </c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</row>
    <row r="9">
      <c r="A9" s="67">
        <v>86517.0</v>
      </c>
      <c r="B9" s="77" t="s">
        <v>35</v>
      </c>
      <c r="C9" s="69">
        <v>30.0</v>
      </c>
      <c r="D9" s="70">
        <v>959.07</v>
      </c>
      <c r="E9" s="70">
        <f t="shared" si="1"/>
        <v>1160.4747</v>
      </c>
      <c r="F9" s="71">
        <v>28772.1</v>
      </c>
      <c r="G9" s="71">
        <f t="shared" si="2"/>
        <v>34814.241</v>
      </c>
      <c r="H9" s="71">
        <f t="shared" si="3"/>
        <v>1160.4747</v>
      </c>
      <c r="I9" s="72">
        <f t="shared" si="4"/>
        <v>3868.249</v>
      </c>
      <c r="J9" s="71"/>
      <c r="K9" s="73">
        <f t="shared" si="5"/>
        <v>4641.8988</v>
      </c>
      <c r="L9" s="78"/>
      <c r="M9" s="75">
        <f t="shared" si="6"/>
        <v>30</v>
      </c>
      <c r="N9" s="54"/>
      <c r="O9" s="76">
        <f t="shared" si="7"/>
        <v>3900</v>
      </c>
      <c r="P9" s="54"/>
      <c r="Q9" s="76">
        <f t="shared" si="8"/>
        <v>4700</v>
      </c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</row>
    <row r="10">
      <c r="A10" s="67">
        <v>86518.0</v>
      </c>
      <c r="B10" s="77" t="s">
        <v>36</v>
      </c>
      <c r="C10" s="69">
        <v>30.0</v>
      </c>
      <c r="D10" s="70">
        <v>959.07</v>
      </c>
      <c r="E10" s="70">
        <f t="shared" si="1"/>
        <v>1160.4747</v>
      </c>
      <c r="F10" s="71">
        <v>28772.1</v>
      </c>
      <c r="G10" s="71">
        <f t="shared" si="2"/>
        <v>34814.241</v>
      </c>
      <c r="H10" s="71">
        <f t="shared" si="3"/>
        <v>1160.4747</v>
      </c>
      <c r="I10" s="72">
        <f t="shared" si="4"/>
        <v>3868.249</v>
      </c>
      <c r="J10" s="71"/>
      <c r="K10" s="73">
        <f t="shared" si="5"/>
        <v>4641.8988</v>
      </c>
      <c r="L10" s="74">
        <v>6.0</v>
      </c>
      <c r="M10" s="75">
        <f t="shared" si="6"/>
        <v>24</v>
      </c>
      <c r="N10" s="54"/>
      <c r="O10" s="76">
        <f t="shared" si="7"/>
        <v>3900</v>
      </c>
      <c r="P10" s="54"/>
      <c r="Q10" s="76">
        <f t="shared" si="8"/>
        <v>4700</v>
      </c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</row>
    <row r="11">
      <c r="A11" s="67">
        <v>86519.0</v>
      </c>
      <c r="B11" s="77" t="s">
        <v>37</v>
      </c>
      <c r="C11" s="69">
        <v>30.0</v>
      </c>
      <c r="D11" s="70">
        <v>959.07</v>
      </c>
      <c r="E11" s="70">
        <f t="shared" si="1"/>
        <v>1160.4747</v>
      </c>
      <c r="F11" s="71">
        <v>28772.1</v>
      </c>
      <c r="G11" s="71">
        <f t="shared" si="2"/>
        <v>34814.241</v>
      </c>
      <c r="H11" s="71">
        <f t="shared" si="3"/>
        <v>1160.4747</v>
      </c>
      <c r="I11" s="72">
        <f t="shared" si="4"/>
        <v>3868.249</v>
      </c>
      <c r="J11" s="71"/>
      <c r="K11" s="73">
        <f t="shared" si="5"/>
        <v>4641.8988</v>
      </c>
      <c r="L11" s="78"/>
      <c r="M11" s="75">
        <f t="shared" si="6"/>
        <v>30</v>
      </c>
      <c r="N11" s="54"/>
      <c r="O11" s="76">
        <f t="shared" si="7"/>
        <v>3900</v>
      </c>
      <c r="P11" s="54"/>
      <c r="Q11" s="76">
        <f t="shared" si="8"/>
        <v>4700</v>
      </c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</row>
    <row r="12">
      <c r="A12" s="67">
        <v>86520.0</v>
      </c>
      <c r="B12" s="77" t="s">
        <v>38</v>
      </c>
      <c r="C12" s="69">
        <v>30.0</v>
      </c>
      <c r="D12" s="70">
        <v>959.07</v>
      </c>
      <c r="E12" s="70">
        <f t="shared" si="1"/>
        <v>1160.4747</v>
      </c>
      <c r="F12" s="71">
        <v>28772.1</v>
      </c>
      <c r="G12" s="71">
        <f t="shared" si="2"/>
        <v>34814.241</v>
      </c>
      <c r="H12" s="71">
        <f t="shared" si="3"/>
        <v>1160.4747</v>
      </c>
      <c r="I12" s="72">
        <f t="shared" si="4"/>
        <v>3868.249</v>
      </c>
      <c r="J12" s="71"/>
      <c r="K12" s="73">
        <f t="shared" si="5"/>
        <v>4641.8988</v>
      </c>
      <c r="L12" s="78"/>
      <c r="M12" s="75">
        <f t="shared" si="6"/>
        <v>30</v>
      </c>
      <c r="N12" s="54"/>
      <c r="O12" s="76">
        <f t="shared" si="7"/>
        <v>3900</v>
      </c>
      <c r="P12" s="54"/>
      <c r="Q12" s="76">
        <f t="shared" si="8"/>
        <v>4700</v>
      </c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</row>
    <row r="13">
      <c r="A13" s="67">
        <v>86521.0</v>
      </c>
      <c r="B13" s="77" t="s">
        <v>39</v>
      </c>
      <c r="C13" s="69">
        <v>30.0</v>
      </c>
      <c r="D13" s="70">
        <v>959.07</v>
      </c>
      <c r="E13" s="70">
        <f t="shared" si="1"/>
        <v>1160.4747</v>
      </c>
      <c r="F13" s="71">
        <v>28772.1</v>
      </c>
      <c r="G13" s="71">
        <f t="shared" si="2"/>
        <v>34814.241</v>
      </c>
      <c r="H13" s="71">
        <f t="shared" si="3"/>
        <v>1160.4747</v>
      </c>
      <c r="I13" s="72">
        <f t="shared" si="4"/>
        <v>3868.249</v>
      </c>
      <c r="J13" s="71"/>
      <c r="K13" s="73">
        <f t="shared" si="5"/>
        <v>4641.8988</v>
      </c>
      <c r="L13" s="78"/>
      <c r="M13" s="75">
        <f t="shared" si="6"/>
        <v>30</v>
      </c>
      <c r="N13" s="54"/>
      <c r="O13" s="76">
        <f t="shared" si="7"/>
        <v>3900</v>
      </c>
      <c r="P13" s="54"/>
      <c r="Q13" s="76">
        <f t="shared" si="8"/>
        <v>4700</v>
      </c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</row>
    <row r="14">
      <c r="A14" s="67">
        <v>86522.0</v>
      </c>
      <c r="B14" s="77" t="s">
        <v>40</v>
      </c>
      <c r="C14" s="69">
        <v>30.0</v>
      </c>
      <c r="D14" s="70">
        <v>959.07</v>
      </c>
      <c r="E14" s="70">
        <f t="shared" si="1"/>
        <v>1160.4747</v>
      </c>
      <c r="F14" s="71">
        <v>28772.1</v>
      </c>
      <c r="G14" s="71">
        <f t="shared" si="2"/>
        <v>34814.241</v>
      </c>
      <c r="H14" s="71">
        <f t="shared" si="3"/>
        <v>1160.4747</v>
      </c>
      <c r="I14" s="72">
        <f t="shared" si="4"/>
        <v>3868.249</v>
      </c>
      <c r="J14" s="71"/>
      <c r="K14" s="73">
        <f t="shared" si="5"/>
        <v>4641.8988</v>
      </c>
      <c r="L14" s="78"/>
      <c r="M14" s="75">
        <f t="shared" si="6"/>
        <v>30</v>
      </c>
      <c r="N14" s="54"/>
      <c r="O14" s="76">
        <f t="shared" si="7"/>
        <v>3900</v>
      </c>
      <c r="P14" s="54"/>
      <c r="Q14" s="76">
        <f t="shared" si="8"/>
        <v>4700</v>
      </c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</row>
    <row r="15">
      <c r="A15" s="67">
        <v>86508.0</v>
      </c>
      <c r="B15" s="77" t="s">
        <v>41</v>
      </c>
      <c r="C15" s="69">
        <v>30.0</v>
      </c>
      <c r="D15" s="71">
        <v>1447.58</v>
      </c>
      <c r="E15" s="70">
        <f t="shared" si="1"/>
        <v>1751.5718</v>
      </c>
      <c r="F15" s="71">
        <v>43427.4</v>
      </c>
      <c r="G15" s="71">
        <f t="shared" si="2"/>
        <v>52547.154</v>
      </c>
      <c r="H15" s="71">
        <f t="shared" si="3"/>
        <v>1751.5718</v>
      </c>
      <c r="I15" s="72">
        <f t="shared" si="4"/>
        <v>5838.572667</v>
      </c>
      <c r="J15" s="71"/>
      <c r="K15" s="73">
        <f t="shared" si="5"/>
        <v>7006.2872</v>
      </c>
      <c r="L15" s="78"/>
      <c r="M15" s="75">
        <f t="shared" si="6"/>
        <v>30</v>
      </c>
      <c r="N15" s="54"/>
      <c r="O15" s="76">
        <f t="shared" si="7"/>
        <v>5900</v>
      </c>
      <c r="P15" s="54"/>
      <c r="Q15" s="76">
        <f t="shared" si="8"/>
        <v>7100</v>
      </c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</row>
    <row r="16">
      <c r="A16" s="67">
        <v>86510.0</v>
      </c>
      <c r="B16" s="77" t="s">
        <v>42</v>
      </c>
      <c r="C16" s="69">
        <v>30.0</v>
      </c>
      <c r="D16" s="71">
        <v>1447.58</v>
      </c>
      <c r="E16" s="70">
        <f t="shared" si="1"/>
        <v>1751.5718</v>
      </c>
      <c r="F16" s="71">
        <v>43427.4</v>
      </c>
      <c r="G16" s="71">
        <f t="shared" si="2"/>
        <v>52547.154</v>
      </c>
      <c r="H16" s="71">
        <f t="shared" si="3"/>
        <v>1751.5718</v>
      </c>
      <c r="I16" s="72">
        <f t="shared" si="4"/>
        <v>5838.572667</v>
      </c>
      <c r="J16" s="71"/>
      <c r="K16" s="73">
        <f t="shared" si="5"/>
        <v>7006.2872</v>
      </c>
      <c r="L16" s="78"/>
      <c r="M16" s="75">
        <f t="shared" si="6"/>
        <v>30</v>
      </c>
      <c r="N16" s="54"/>
      <c r="O16" s="76">
        <f t="shared" si="7"/>
        <v>5900</v>
      </c>
      <c r="P16" s="54"/>
      <c r="Q16" s="76">
        <f t="shared" si="8"/>
        <v>7100</v>
      </c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</row>
    <row r="17">
      <c r="A17" s="67">
        <v>45231.0</v>
      </c>
      <c r="B17" s="79" t="s">
        <v>43</v>
      </c>
      <c r="C17" s="69">
        <v>360.0</v>
      </c>
      <c r="D17" s="70">
        <v>865.66</v>
      </c>
      <c r="E17" s="70">
        <f t="shared" si="1"/>
        <v>1047.4486</v>
      </c>
      <c r="F17" s="71">
        <v>311637.6</v>
      </c>
      <c r="G17" s="71">
        <f t="shared" si="2"/>
        <v>377081.496</v>
      </c>
      <c r="H17" s="71">
        <f t="shared" si="3"/>
        <v>1047.4486</v>
      </c>
      <c r="I17" s="72">
        <f t="shared" si="4"/>
        <v>3491.495333</v>
      </c>
      <c r="J17" s="71"/>
      <c r="K17" s="73">
        <f t="shared" si="5"/>
        <v>4189.7944</v>
      </c>
      <c r="L17" s="74">
        <v>1.0</v>
      </c>
      <c r="M17" s="75">
        <f t="shared" si="6"/>
        <v>359</v>
      </c>
      <c r="N17" s="54"/>
      <c r="O17" s="76">
        <f t="shared" si="7"/>
        <v>3500</v>
      </c>
      <c r="P17" s="54"/>
      <c r="Q17" s="76">
        <f t="shared" si="8"/>
        <v>4200</v>
      </c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</row>
    <row r="18">
      <c r="A18" s="67">
        <v>55231.0</v>
      </c>
      <c r="B18" s="80" t="s">
        <v>44</v>
      </c>
      <c r="C18" s="69">
        <v>300.0</v>
      </c>
      <c r="D18" s="70">
        <v>865.66</v>
      </c>
      <c r="E18" s="70">
        <f t="shared" si="1"/>
        <v>1047.4486</v>
      </c>
      <c r="F18" s="71">
        <v>259698.0</v>
      </c>
      <c r="G18" s="71">
        <f t="shared" si="2"/>
        <v>314234.58</v>
      </c>
      <c r="H18" s="71">
        <f t="shared" si="3"/>
        <v>1047.4486</v>
      </c>
      <c r="I18" s="72">
        <f t="shared" si="4"/>
        <v>3491.495333</v>
      </c>
      <c r="J18" s="71"/>
      <c r="K18" s="73">
        <f t="shared" si="5"/>
        <v>4189.7944</v>
      </c>
      <c r="L18" s="78"/>
      <c r="M18" s="75">
        <f t="shared" si="6"/>
        <v>300</v>
      </c>
      <c r="N18" s="54"/>
      <c r="O18" s="76">
        <f t="shared" si="7"/>
        <v>3500</v>
      </c>
      <c r="P18" s="54"/>
      <c r="Q18" s="76">
        <f t="shared" si="8"/>
        <v>4200</v>
      </c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</row>
    <row r="19">
      <c r="A19" s="67">
        <v>65231.0</v>
      </c>
      <c r="B19" s="80" t="s">
        <v>45</v>
      </c>
      <c r="C19" s="69">
        <v>150.0</v>
      </c>
      <c r="D19" s="70">
        <v>865.66</v>
      </c>
      <c r="E19" s="70">
        <f t="shared" si="1"/>
        <v>1047.4486</v>
      </c>
      <c r="F19" s="71">
        <v>129849.0</v>
      </c>
      <c r="G19" s="71">
        <f t="shared" si="2"/>
        <v>157117.29</v>
      </c>
      <c r="H19" s="71">
        <f t="shared" si="3"/>
        <v>1047.4486</v>
      </c>
      <c r="I19" s="72">
        <f t="shared" si="4"/>
        <v>3491.495333</v>
      </c>
      <c r="J19" s="71"/>
      <c r="K19" s="73">
        <f t="shared" si="5"/>
        <v>4189.7944</v>
      </c>
      <c r="L19" s="78"/>
      <c r="M19" s="75">
        <f t="shared" si="6"/>
        <v>150</v>
      </c>
      <c r="N19" s="54"/>
      <c r="O19" s="76">
        <f t="shared" si="7"/>
        <v>3500</v>
      </c>
      <c r="P19" s="54"/>
      <c r="Q19" s="76">
        <f t="shared" si="8"/>
        <v>4200</v>
      </c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</row>
    <row r="20">
      <c r="A20" s="67">
        <v>45300.0</v>
      </c>
      <c r="B20" s="81" t="s">
        <v>46</v>
      </c>
      <c r="C20" s="69">
        <v>720.0</v>
      </c>
      <c r="D20" s="70">
        <v>79.24</v>
      </c>
      <c r="E20" s="70">
        <f t="shared" si="1"/>
        <v>95.8804</v>
      </c>
      <c r="F20" s="71">
        <v>57052.8</v>
      </c>
      <c r="G20" s="71">
        <f t="shared" si="2"/>
        <v>69033.888</v>
      </c>
      <c r="H20" s="71">
        <f t="shared" si="3"/>
        <v>95.8804</v>
      </c>
      <c r="I20" s="72">
        <f t="shared" si="4"/>
        <v>319.6013333</v>
      </c>
      <c r="J20" s="71"/>
      <c r="K20" s="73">
        <f t="shared" si="5"/>
        <v>383.5216</v>
      </c>
      <c r="L20" s="74">
        <v>5.0</v>
      </c>
      <c r="M20" s="75">
        <f t="shared" si="6"/>
        <v>715</v>
      </c>
      <c r="N20" s="54"/>
      <c r="O20" s="76">
        <f t="shared" si="7"/>
        <v>400</v>
      </c>
      <c r="P20" s="54"/>
      <c r="Q20" s="76">
        <f t="shared" si="8"/>
        <v>400</v>
      </c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</row>
    <row r="21">
      <c r="A21" s="67">
        <v>55300.0</v>
      </c>
      <c r="B21" s="81" t="s">
        <v>47</v>
      </c>
      <c r="C21" s="69">
        <v>600.0</v>
      </c>
      <c r="D21" s="70">
        <v>79.24</v>
      </c>
      <c r="E21" s="70">
        <f t="shared" si="1"/>
        <v>95.8804</v>
      </c>
      <c r="F21" s="71">
        <v>47544.0</v>
      </c>
      <c r="G21" s="71">
        <f t="shared" si="2"/>
        <v>57528.24</v>
      </c>
      <c r="H21" s="71">
        <f t="shared" si="3"/>
        <v>95.8804</v>
      </c>
      <c r="I21" s="72">
        <f t="shared" si="4"/>
        <v>319.6013333</v>
      </c>
      <c r="J21" s="71"/>
      <c r="K21" s="73">
        <f t="shared" si="5"/>
        <v>383.5216</v>
      </c>
      <c r="L21" s="78"/>
      <c r="M21" s="75">
        <f t="shared" si="6"/>
        <v>600</v>
      </c>
      <c r="N21" s="54"/>
      <c r="O21" s="76">
        <f t="shared" si="7"/>
        <v>400</v>
      </c>
      <c r="P21" s="54"/>
      <c r="Q21" s="76">
        <f t="shared" si="8"/>
        <v>400</v>
      </c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</row>
    <row r="22">
      <c r="A22" s="67">
        <v>65300.0</v>
      </c>
      <c r="B22" s="81" t="s">
        <v>48</v>
      </c>
      <c r="C22" s="69">
        <v>300.0</v>
      </c>
      <c r="D22" s="70">
        <v>79.24</v>
      </c>
      <c r="E22" s="70">
        <f t="shared" si="1"/>
        <v>95.8804</v>
      </c>
      <c r="F22" s="71">
        <v>23772.0</v>
      </c>
      <c r="G22" s="71">
        <f t="shared" si="2"/>
        <v>28764.12</v>
      </c>
      <c r="H22" s="71">
        <f t="shared" si="3"/>
        <v>95.8804</v>
      </c>
      <c r="I22" s="82" t="s">
        <v>49</v>
      </c>
      <c r="J22" s="71"/>
      <c r="K22" s="73">
        <f t="shared" si="5"/>
        <v>383.5216</v>
      </c>
      <c r="L22" s="78"/>
      <c r="M22" s="75">
        <f t="shared" si="6"/>
        <v>300</v>
      </c>
      <c r="N22" s="54"/>
      <c r="O22" s="76" t="str">
        <f t="shared" si="7"/>
        <v>#VALUE!</v>
      </c>
      <c r="P22" s="54"/>
      <c r="Q22" s="76">
        <f t="shared" si="8"/>
        <v>400</v>
      </c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</row>
    <row r="23">
      <c r="A23" s="67">
        <v>45280.0</v>
      </c>
      <c r="B23" s="83" t="s">
        <v>50</v>
      </c>
      <c r="C23" s="69">
        <v>360.0</v>
      </c>
      <c r="D23" s="70">
        <v>900.46</v>
      </c>
      <c r="E23" s="70">
        <f t="shared" si="1"/>
        <v>1089.5566</v>
      </c>
      <c r="F23" s="71">
        <v>324165.6</v>
      </c>
      <c r="G23" s="71">
        <f t="shared" si="2"/>
        <v>392240.376</v>
      </c>
      <c r="H23" s="71">
        <f t="shared" si="3"/>
        <v>1089.5566</v>
      </c>
      <c r="I23" s="72">
        <f t="shared" ref="I23:I39" si="9">H23/(1-0.7)</f>
        <v>3631.855333</v>
      </c>
      <c r="J23" s="71"/>
      <c r="K23" s="73">
        <f t="shared" si="5"/>
        <v>4358.2264</v>
      </c>
      <c r="L23" s="74">
        <v>8.0</v>
      </c>
      <c r="M23" s="75">
        <f t="shared" si="6"/>
        <v>352</v>
      </c>
      <c r="N23" s="54"/>
      <c r="O23" s="76">
        <f t="shared" si="7"/>
        <v>3700</v>
      </c>
      <c r="P23" s="54"/>
      <c r="Q23" s="76">
        <f t="shared" si="8"/>
        <v>4400</v>
      </c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</row>
    <row r="24">
      <c r="A24" s="67">
        <v>55280.0</v>
      </c>
      <c r="B24" s="83" t="s">
        <v>51</v>
      </c>
      <c r="C24" s="69">
        <v>300.0</v>
      </c>
      <c r="D24" s="70">
        <v>900.46</v>
      </c>
      <c r="E24" s="70">
        <f t="shared" si="1"/>
        <v>1089.5566</v>
      </c>
      <c r="F24" s="71">
        <v>270138.0</v>
      </c>
      <c r="G24" s="71">
        <f t="shared" si="2"/>
        <v>326866.98</v>
      </c>
      <c r="H24" s="71">
        <f t="shared" si="3"/>
        <v>1089.5566</v>
      </c>
      <c r="I24" s="72">
        <f t="shared" si="9"/>
        <v>3631.855333</v>
      </c>
      <c r="J24" s="71"/>
      <c r="K24" s="73">
        <f t="shared" si="5"/>
        <v>4358.2264</v>
      </c>
      <c r="L24" s="78"/>
      <c r="M24" s="75">
        <f t="shared" si="6"/>
        <v>300</v>
      </c>
      <c r="N24" s="54"/>
      <c r="O24" s="76">
        <f t="shared" si="7"/>
        <v>3700</v>
      </c>
      <c r="P24" s="54"/>
      <c r="Q24" s="76">
        <f t="shared" si="8"/>
        <v>4400</v>
      </c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</row>
    <row r="25">
      <c r="A25" s="67">
        <v>65280.0</v>
      </c>
      <c r="B25" s="83" t="s">
        <v>52</v>
      </c>
      <c r="C25" s="69">
        <v>150.0</v>
      </c>
      <c r="D25" s="70">
        <v>900.46</v>
      </c>
      <c r="E25" s="70">
        <f t="shared" si="1"/>
        <v>1089.5566</v>
      </c>
      <c r="F25" s="71">
        <v>135069.0</v>
      </c>
      <c r="G25" s="71">
        <f t="shared" si="2"/>
        <v>163433.49</v>
      </c>
      <c r="H25" s="71">
        <f t="shared" si="3"/>
        <v>1089.5566</v>
      </c>
      <c r="I25" s="72">
        <f t="shared" si="9"/>
        <v>3631.855333</v>
      </c>
      <c r="J25" s="71"/>
      <c r="K25" s="73">
        <f t="shared" si="5"/>
        <v>4358.2264</v>
      </c>
      <c r="L25" s="78"/>
      <c r="M25" s="75">
        <f t="shared" si="6"/>
        <v>150</v>
      </c>
      <c r="N25" s="54"/>
      <c r="O25" s="76">
        <f t="shared" si="7"/>
        <v>3700</v>
      </c>
      <c r="P25" s="54"/>
      <c r="Q25" s="76">
        <f t="shared" si="8"/>
        <v>4400</v>
      </c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</row>
    <row r="26">
      <c r="A26" s="67">
        <v>45131.0</v>
      </c>
      <c r="B26" s="84" t="s">
        <v>53</v>
      </c>
      <c r="C26" s="69">
        <v>480.0</v>
      </c>
      <c r="D26" s="70">
        <v>873.84</v>
      </c>
      <c r="E26" s="70">
        <f t="shared" si="1"/>
        <v>1057.3464</v>
      </c>
      <c r="F26" s="71">
        <v>419443.2</v>
      </c>
      <c r="G26" s="71">
        <f t="shared" si="2"/>
        <v>507526.272</v>
      </c>
      <c r="H26" s="71">
        <f t="shared" si="3"/>
        <v>1057.3464</v>
      </c>
      <c r="I26" s="72">
        <f t="shared" si="9"/>
        <v>3524.488</v>
      </c>
      <c r="J26" s="71"/>
      <c r="K26" s="73">
        <f t="shared" si="5"/>
        <v>4229.3856</v>
      </c>
      <c r="L26" s="78"/>
      <c r="M26" s="75">
        <f t="shared" si="6"/>
        <v>480</v>
      </c>
      <c r="N26" s="54"/>
      <c r="O26" s="76">
        <f t="shared" si="7"/>
        <v>3600</v>
      </c>
      <c r="P26" s="54"/>
      <c r="Q26" s="76">
        <f t="shared" si="8"/>
        <v>4300</v>
      </c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</row>
    <row r="27">
      <c r="A27" s="67">
        <v>55131.0</v>
      </c>
      <c r="B27" s="85" t="s">
        <v>54</v>
      </c>
      <c r="C27" s="69">
        <v>300.0</v>
      </c>
      <c r="D27" s="70">
        <v>873.84</v>
      </c>
      <c r="E27" s="70">
        <f t="shared" si="1"/>
        <v>1057.3464</v>
      </c>
      <c r="F27" s="71">
        <v>262152.0</v>
      </c>
      <c r="G27" s="71">
        <f t="shared" si="2"/>
        <v>317203.92</v>
      </c>
      <c r="H27" s="71">
        <f t="shared" si="3"/>
        <v>1057.3464</v>
      </c>
      <c r="I27" s="72">
        <f t="shared" si="9"/>
        <v>3524.488</v>
      </c>
      <c r="J27" s="71"/>
      <c r="K27" s="73">
        <f t="shared" si="5"/>
        <v>4229.3856</v>
      </c>
      <c r="L27" s="78"/>
      <c r="M27" s="75">
        <f t="shared" si="6"/>
        <v>300</v>
      </c>
      <c r="N27" s="54"/>
      <c r="O27" s="76">
        <f t="shared" si="7"/>
        <v>3600</v>
      </c>
      <c r="P27" s="54"/>
      <c r="Q27" s="76">
        <f t="shared" si="8"/>
        <v>4300</v>
      </c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</row>
    <row r="28">
      <c r="A28" s="67">
        <v>65131.0</v>
      </c>
      <c r="B28" s="85" t="s">
        <v>55</v>
      </c>
      <c r="C28" s="69">
        <v>150.0</v>
      </c>
      <c r="D28" s="70">
        <v>873.84</v>
      </c>
      <c r="E28" s="70">
        <f t="shared" si="1"/>
        <v>1057.3464</v>
      </c>
      <c r="F28" s="71">
        <v>131076.0</v>
      </c>
      <c r="G28" s="71">
        <f t="shared" si="2"/>
        <v>158601.96</v>
      </c>
      <c r="H28" s="71">
        <f t="shared" si="3"/>
        <v>1057.3464</v>
      </c>
      <c r="I28" s="72">
        <f t="shared" si="9"/>
        <v>3524.488</v>
      </c>
      <c r="J28" s="71"/>
      <c r="K28" s="73">
        <f t="shared" si="5"/>
        <v>4229.3856</v>
      </c>
      <c r="L28" s="78"/>
      <c r="M28" s="75">
        <f t="shared" si="6"/>
        <v>150</v>
      </c>
      <c r="N28" s="54"/>
      <c r="O28" s="76">
        <f t="shared" si="7"/>
        <v>3600</v>
      </c>
      <c r="P28" s="54"/>
      <c r="Q28" s="76">
        <f t="shared" si="8"/>
        <v>4300</v>
      </c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</row>
    <row r="29">
      <c r="A29" s="67">
        <v>45310.0</v>
      </c>
      <c r="B29" s="86" t="s">
        <v>56</v>
      </c>
      <c r="C29" s="69">
        <v>720.0</v>
      </c>
      <c r="D29" s="70">
        <v>129.02</v>
      </c>
      <c r="E29" s="70">
        <f t="shared" si="1"/>
        <v>156.1142</v>
      </c>
      <c r="F29" s="71">
        <v>92894.4</v>
      </c>
      <c r="G29" s="71">
        <f t="shared" si="2"/>
        <v>112402.224</v>
      </c>
      <c r="H29" s="71">
        <f t="shared" si="3"/>
        <v>156.1142</v>
      </c>
      <c r="I29" s="72">
        <f t="shared" si="9"/>
        <v>520.3806667</v>
      </c>
      <c r="J29" s="71"/>
      <c r="K29" s="73">
        <f t="shared" si="5"/>
        <v>624.4568</v>
      </c>
      <c r="L29" s="78"/>
      <c r="M29" s="75">
        <f t="shared" si="6"/>
        <v>720</v>
      </c>
      <c r="N29" s="54"/>
      <c r="O29" s="76">
        <f t="shared" si="7"/>
        <v>600</v>
      </c>
      <c r="P29" s="54"/>
      <c r="Q29" s="76">
        <f t="shared" si="8"/>
        <v>700</v>
      </c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</row>
    <row r="30">
      <c r="A30" s="67">
        <v>55310.0</v>
      </c>
      <c r="B30" s="86" t="s">
        <v>57</v>
      </c>
      <c r="C30" s="69">
        <v>600.0</v>
      </c>
      <c r="D30" s="70">
        <v>129.02</v>
      </c>
      <c r="E30" s="70">
        <f t="shared" si="1"/>
        <v>156.1142</v>
      </c>
      <c r="F30" s="71">
        <v>77412.0</v>
      </c>
      <c r="G30" s="71">
        <f t="shared" si="2"/>
        <v>93668.52</v>
      </c>
      <c r="H30" s="71">
        <f t="shared" si="3"/>
        <v>156.1142</v>
      </c>
      <c r="I30" s="72">
        <f t="shared" si="9"/>
        <v>520.3806667</v>
      </c>
      <c r="J30" s="71"/>
      <c r="K30" s="73">
        <f t="shared" si="5"/>
        <v>624.4568</v>
      </c>
      <c r="L30" s="78"/>
      <c r="M30" s="75">
        <f t="shared" si="6"/>
        <v>600</v>
      </c>
      <c r="N30" s="54"/>
      <c r="O30" s="76">
        <f t="shared" si="7"/>
        <v>600</v>
      </c>
      <c r="P30" s="54"/>
      <c r="Q30" s="76">
        <f t="shared" si="8"/>
        <v>700</v>
      </c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</row>
    <row r="31">
      <c r="A31" s="67">
        <v>65310.0</v>
      </c>
      <c r="B31" s="86" t="s">
        <v>58</v>
      </c>
      <c r="C31" s="69">
        <v>300.0</v>
      </c>
      <c r="D31" s="70">
        <v>129.02</v>
      </c>
      <c r="E31" s="70">
        <f t="shared" si="1"/>
        <v>156.1142</v>
      </c>
      <c r="F31" s="71">
        <v>38706.0</v>
      </c>
      <c r="G31" s="71">
        <f t="shared" si="2"/>
        <v>46834.26</v>
      </c>
      <c r="H31" s="71">
        <f t="shared" si="3"/>
        <v>156.1142</v>
      </c>
      <c r="I31" s="72">
        <f t="shared" si="9"/>
        <v>520.3806667</v>
      </c>
      <c r="J31" s="71"/>
      <c r="K31" s="73">
        <f t="shared" si="5"/>
        <v>624.4568</v>
      </c>
      <c r="L31" s="78"/>
      <c r="M31" s="75">
        <f t="shared" si="6"/>
        <v>300</v>
      </c>
      <c r="N31" s="54"/>
      <c r="O31" s="76">
        <f t="shared" si="7"/>
        <v>600</v>
      </c>
      <c r="P31" s="54"/>
      <c r="Q31" s="76">
        <f t="shared" si="8"/>
        <v>700</v>
      </c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</row>
    <row r="32">
      <c r="A32" s="67">
        <v>45233.0</v>
      </c>
      <c r="B32" s="86" t="s">
        <v>59</v>
      </c>
      <c r="C32" s="69">
        <v>80.0</v>
      </c>
      <c r="D32" s="71">
        <v>1190.28</v>
      </c>
      <c r="E32" s="70">
        <f t="shared" si="1"/>
        <v>1440.2388</v>
      </c>
      <c r="F32" s="71">
        <v>95222.4</v>
      </c>
      <c r="G32" s="71">
        <f t="shared" si="2"/>
        <v>115219.104</v>
      </c>
      <c r="H32" s="71">
        <f t="shared" si="3"/>
        <v>1440.2388</v>
      </c>
      <c r="I32" s="72">
        <f t="shared" si="9"/>
        <v>4800.796</v>
      </c>
      <c r="J32" s="71"/>
      <c r="K32" s="73">
        <f t="shared" si="5"/>
        <v>5760.9552</v>
      </c>
      <c r="L32" s="74">
        <v>1.0</v>
      </c>
      <c r="M32" s="75">
        <f t="shared" si="6"/>
        <v>79</v>
      </c>
      <c r="N32" s="54"/>
      <c r="O32" s="76">
        <f t="shared" si="7"/>
        <v>4900</v>
      </c>
      <c r="P32" s="54"/>
      <c r="Q32" s="76">
        <f t="shared" si="8"/>
        <v>5800</v>
      </c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</row>
    <row r="33">
      <c r="A33" s="67">
        <v>55233.0</v>
      </c>
      <c r="B33" s="86" t="s">
        <v>60</v>
      </c>
      <c r="C33" s="69">
        <v>80.0</v>
      </c>
      <c r="D33" s="71">
        <v>1190.28</v>
      </c>
      <c r="E33" s="70">
        <f t="shared" si="1"/>
        <v>1440.2388</v>
      </c>
      <c r="F33" s="71">
        <v>95222.4</v>
      </c>
      <c r="G33" s="71">
        <f t="shared" si="2"/>
        <v>115219.104</v>
      </c>
      <c r="H33" s="71">
        <f t="shared" si="3"/>
        <v>1440.2388</v>
      </c>
      <c r="I33" s="72">
        <f t="shared" si="9"/>
        <v>4800.796</v>
      </c>
      <c r="J33" s="71"/>
      <c r="K33" s="73">
        <f t="shared" si="5"/>
        <v>5760.9552</v>
      </c>
      <c r="L33" s="78"/>
      <c r="M33" s="75">
        <f t="shared" si="6"/>
        <v>80</v>
      </c>
      <c r="N33" s="54"/>
      <c r="O33" s="76">
        <f t="shared" si="7"/>
        <v>4900</v>
      </c>
      <c r="P33" s="54"/>
      <c r="Q33" s="76">
        <f t="shared" si="8"/>
        <v>5800</v>
      </c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</row>
    <row r="34">
      <c r="A34" s="67">
        <v>65233.0</v>
      </c>
      <c r="B34" s="86" t="s">
        <v>61</v>
      </c>
      <c r="C34" s="69">
        <v>40.0</v>
      </c>
      <c r="D34" s="71">
        <v>1190.28</v>
      </c>
      <c r="E34" s="70">
        <f t="shared" si="1"/>
        <v>1440.2388</v>
      </c>
      <c r="F34" s="71">
        <v>47611.2</v>
      </c>
      <c r="G34" s="71">
        <f t="shared" si="2"/>
        <v>57609.552</v>
      </c>
      <c r="H34" s="71">
        <f t="shared" si="3"/>
        <v>1440.2388</v>
      </c>
      <c r="I34" s="72">
        <f t="shared" si="9"/>
        <v>4800.796</v>
      </c>
      <c r="J34" s="71"/>
      <c r="K34" s="73">
        <f t="shared" si="5"/>
        <v>5760.9552</v>
      </c>
      <c r="L34" s="78"/>
      <c r="M34" s="75">
        <f t="shared" si="6"/>
        <v>40</v>
      </c>
      <c r="N34" s="54"/>
      <c r="O34" s="76">
        <f t="shared" si="7"/>
        <v>4900</v>
      </c>
      <c r="P34" s="54"/>
      <c r="Q34" s="76">
        <f t="shared" si="8"/>
        <v>5800</v>
      </c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</row>
    <row r="35">
      <c r="A35" s="67">
        <v>45533.0</v>
      </c>
      <c r="B35" s="86" t="s">
        <v>62</v>
      </c>
      <c r="C35" s="69">
        <v>40.0</v>
      </c>
      <c r="D35" s="71">
        <v>1400.0</v>
      </c>
      <c r="E35" s="70">
        <f t="shared" si="1"/>
        <v>1694</v>
      </c>
      <c r="F35" s="71">
        <v>56000.0</v>
      </c>
      <c r="G35" s="71">
        <f t="shared" si="2"/>
        <v>67760</v>
      </c>
      <c r="H35" s="71">
        <f t="shared" si="3"/>
        <v>1694</v>
      </c>
      <c r="I35" s="72">
        <f t="shared" si="9"/>
        <v>5646.666667</v>
      </c>
      <c r="J35" s="71"/>
      <c r="K35" s="73">
        <f t="shared" si="5"/>
        <v>6776</v>
      </c>
      <c r="L35" s="78"/>
      <c r="M35" s="75">
        <f t="shared" si="6"/>
        <v>40</v>
      </c>
      <c r="N35" s="54"/>
      <c r="O35" s="76">
        <f t="shared" si="7"/>
        <v>5700</v>
      </c>
      <c r="P35" s="54"/>
      <c r="Q35" s="76">
        <f t="shared" si="8"/>
        <v>6800</v>
      </c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</row>
    <row r="36">
      <c r="A36" s="67">
        <v>65533.0</v>
      </c>
      <c r="B36" s="86" t="s">
        <v>63</v>
      </c>
      <c r="C36" s="69">
        <v>40.0</v>
      </c>
      <c r="D36" s="71">
        <v>1400.0</v>
      </c>
      <c r="E36" s="70">
        <f t="shared" si="1"/>
        <v>1694</v>
      </c>
      <c r="F36" s="71">
        <v>56000.0</v>
      </c>
      <c r="G36" s="71">
        <f t="shared" si="2"/>
        <v>67760</v>
      </c>
      <c r="H36" s="71">
        <f t="shared" si="3"/>
        <v>1694</v>
      </c>
      <c r="I36" s="72">
        <f t="shared" si="9"/>
        <v>5646.666667</v>
      </c>
      <c r="J36" s="71"/>
      <c r="K36" s="73">
        <f t="shared" si="5"/>
        <v>6776</v>
      </c>
      <c r="L36" s="78"/>
      <c r="M36" s="75">
        <f t="shared" si="6"/>
        <v>40</v>
      </c>
      <c r="N36" s="54"/>
      <c r="O36" s="76">
        <f t="shared" si="7"/>
        <v>5700</v>
      </c>
      <c r="P36" s="54"/>
      <c r="Q36" s="76">
        <f t="shared" si="8"/>
        <v>6800</v>
      </c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</row>
    <row r="37">
      <c r="A37" s="67">
        <v>45302.0</v>
      </c>
      <c r="B37" s="87" t="s">
        <v>64</v>
      </c>
      <c r="C37" s="69">
        <v>30.0</v>
      </c>
      <c r="D37" s="71">
        <v>1162.54</v>
      </c>
      <c r="E37" s="70">
        <f t="shared" si="1"/>
        <v>1406.6734</v>
      </c>
      <c r="F37" s="71">
        <v>34876.2</v>
      </c>
      <c r="G37" s="71">
        <f t="shared" si="2"/>
        <v>42200.202</v>
      </c>
      <c r="H37" s="71">
        <f t="shared" si="3"/>
        <v>1406.6734</v>
      </c>
      <c r="I37" s="72">
        <f t="shared" si="9"/>
        <v>4688.911333</v>
      </c>
      <c r="J37" s="71"/>
      <c r="K37" s="73">
        <f t="shared" si="5"/>
        <v>5626.6936</v>
      </c>
      <c r="L37" s="78"/>
      <c r="M37" s="75">
        <f t="shared" si="6"/>
        <v>30</v>
      </c>
      <c r="N37" s="54"/>
      <c r="O37" s="76">
        <f t="shared" si="7"/>
        <v>4700</v>
      </c>
      <c r="P37" s="54"/>
      <c r="Q37" s="76">
        <f t="shared" si="8"/>
        <v>5700</v>
      </c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</row>
    <row r="38">
      <c r="A38" s="67">
        <v>55302.0</v>
      </c>
      <c r="B38" s="87" t="s">
        <v>65</v>
      </c>
      <c r="C38" s="69">
        <v>30.0</v>
      </c>
      <c r="D38" s="71">
        <v>1162.54</v>
      </c>
      <c r="E38" s="70">
        <f t="shared" si="1"/>
        <v>1406.6734</v>
      </c>
      <c r="F38" s="71">
        <v>34876.2</v>
      </c>
      <c r="G38" s="71">
        <f t="shared" si="2"/>
        <v>42200.202</v>
      </c>
      <c r="H38" s="71">
        <f t="shared" si="3"/>
        <v>1406.6734</v>
      </c>
      <c r="I38" s="72">
        <f t="shared" si="9"/>
        <v>4688.911333</v>
      </c>
      <c r="J38" s="71"/>
      <c r="K38" s="73">
        <f t="shared" si="5"/>
        <v>5626.6936</v>
      </c>
      <c r="L38" s="78"/>
      <c r="M38" s="75">
        <f t="shared" si="6"/>
        <v>30</v>
      </c>
      <c r="N38" s="54"/>
      <c r="O38" s="76">
        <f t="shared" si="7"/>
        <v>4700</v>
      </c>
      <c r="P38" s="54"/>
      <c r="Q38" s="76">
        <f t="shared" si="8"/>
        <v>5700</v>
      </c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</row>
    <row r="39">
      <c r="A39" s="67">
        <v>65302.0</v>
      </c>
      <c r="B39" s="87" t="s">
        <v>66</v>
      </c>
      <c r="C39" s="69">
        <v>30.0</v>
      </c>
      <c r="D39" s="71">
        <v>1162.54</v>
      </c>
      <c r="E39" s="70">
        <f t="shared" si="1"/>
        <v>1406.6734</v>
      </c>
      <c r="F39" s="71">
        <v>34876.2</v>
      </c>
      <c r="G39" s="71">
        <f t="shared" si="2"/>
        <v>42200.202</v>
      </c>
      <c r="H39" s="71">
        <f t="shared" si="3"/>
        <v>1406.6734</v>
      </c>
      <c r="I39" s="72">
        <f t="shared" si="9"/>
        <v>4688.911333</v>
      </c>
      <c r="J39" s="71"/>
      <c r="K39" s="73">
        <f t="shared" si="5"/>
        <v>5626.6936</v>
      </c>
      <c r="L39" s="78"/>
      <c r="M39" s="75">
        <f t="shared" si="6"/>
        <v>30</v>
      </c>
      <c r="N39" s="54"/>
      <c r="O39" s="76">
        <f t="shared" si="7"/>
        <v>4700</v>
      </c>
      <c r="P39" s="54"/>
      <c r="Q39" s="76">
        <f t="shared" si="8"/>
        <v>5700</v>
      </c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</row>
    <row r="40">
      <c r="A40" s="67">
        <v>45317.0</v>
      </c>
      <c r="B40" s="88" t="s">
        <v>67</v>
      </c>
      <c r="C40" s="69">
        <v>5.0</v>
      </c>
      <c r="D40" s="71">
        <v>13452.79</v>
      </c>
      <c r="E40" s="70">
        <f t="shared" si="1"/>
        <v>16277.8759</v>
      </c>
      <c r="F40" s="71">
        <v>67263.95</v>
      </c>
      <c r="G40" s="71">
        <f t="shared" si="2"/>
        <v>81389.3795</v>
      </c>
      <c r="H40" s="71">
        <f t="shared" si="3"/>
        <v>16277.8759</v>
      </c>
      <c r="I40" s="72">
        <f t="shared" ref="I40:I43" si="10">H40/(1-0.4)</f>
        <v>27129.79317</v>
      </c>
      <c r="J40" s="71"/>
      <c r="K40" s="73">
        <f t="shared" ref="K40:K43" si="11">H40/(1-0.45)</f>
        <v>29596.138</v>
      </c>
      <c r="L40" s="78"/>
      <c r="M40" s="75">
        <f t="shared" si="6"/>
        <v>5</v>
      </c>
      <c r="N40" s="54"/>
      <c r="O40" s="76">
        <f t="shared" si="7"/>
        <v>27200</v>
      </c>
      <c r="P40" s="54"/>
      <c r="Q40" s="76">
        <f t="shared" si="8"/>
        <v>29600</v>
      </c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</row>
    <row r="41">
      <c r="A41" s="67">
        <v>45316.0</v>
      </c>
      <c r="B41" s="89" t="s">
        <v>68</v>
      </c>
      <c r="C41" s="69">
        <v>5.0</v>
      </c>
      <c r="D41" s="71">
        <v>13452.79</v>
      </c>
      <c r="E41" s="70">
        <f t="shared" si="1"/>
        <v>16277.8759</v>
      </c>
      <c r="F41" s="71">
        <v>67263.95</v>
      </c>
      <c r="G41" s="71">
        <f t="shared" si="2"/>
        <v>81389.3795</v>
      </c>
      <c r="H41" s="71">
        <f t="shared" si="3"/>
        <v>16277.8759</v>
      </c>
      <c r="I41" s="72">
        <f t="shared" si="10"/>
        <v>27129.79317</v>
      </c>
      <c r="J41" s="71"/>
      <c r="K41" s="73">
        <f t="shared" si="11"/>
        <v>29596.138</v>
      </c>
      <c r="L41" s="78"/>
      <c r="M41" s="75">
        <f t="shared" si="6"/>
        <v>5</v>
      </c>
      <c r="N41" s="54"/>
      <c r="O41" s="76">
        <f t="shared" si="7"/>
        <v>27200</v>
      </c>
      <c r="P41" s="54"/>
      <c r="Q41" s="76">
        <f t="shared" si="8"/>
        <v>29600</v>
      </c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</row>
    <row r="42">
      <c r="A42" s="67">
        <v>55317.0</v>
      </c>
      <c r="B42" s="89" t="s">
        <v>69</v>
      </c>
      <c r="C42" s="69">
        <v>5.0</v>
      </c>
      <c r="D42" s="71">
        <v>13452.79</v>
      </c>
      <c r="E42" s="70">
        <f t="shared" si="1"/>
        <v>16277.8759</v>
      </c>
      <c r="F42" s="71">
        <v>67263.95</v>
      </c>
      <c r="G42" s="71">
        <f t="shared" si="2"/>
        <v>81389.3795</v>
      </c>
      <c r="H42" s="71">
        <f t="shared" si="3"/>
        <v>16277.8759</v>
      </c>
      <c r="I42" s="72">
        <f t="shared" si="10"/>
        <v>27129.79317</v>
      </c>
      <c r="J42" s="71"/>
      <c r="K42" s="73">
        <f t="shared" si="11"/>
        <v>29596.138</v>
      </c>
      <c r="L42" s="78"/>
      <c r="M42" s="75">
        <f t="shared" si="6"/>
        <v>5</v>
      </c>
      <c r="N42" s="54"/>
      <c r="O42" s="76">
        <f t="shared" si="7"/>
        <v>27200</v>
      </c>
      <c r="P42" s="54"/>
      <c r="Q42" s="76">
        <f t="shared" si="8"/>
        <v>29600</v>
      </c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</row>
    <row r="43">
      <c r="A43" s="67">
        <v>65316.0</v>
      </c>
      <c r="B43" s="89" t="s">
        <v>70</v>
      </c>
      <c r="C43" s="69">
        <v>5.0</v>
      </c>
      <c r="D43" s="71">
        <v>13452.79</v>
      </c>
      <c r="E43" s="70">
        <f t="shared" si="1"/>
        <v>16277.8759</v>
      </c>
      <c r="F43" s="71">
        <v>67263.95</v>
      </c>
      <c r="G43" s="71">
        <f t="shared" si="2"/>
        <v>81389.3795</v>
      </c>
      <c r="H43" s="71">
        <f t="shared" si="3"/>
        <v>16277.8759</v>
      </c>
      <c r="I43" s="72">
        <f t="shared" si="10"/>
        <v>27129.79317</v>
      </c>
      <c r="J43" s="71"/>
      <c r="K43" s="73">
        <f t="shared" si="11"/>
        <v>29596.138</v>
      </c>
      <c r="L43" s="78"/>
      <c r="M43" s="90">
        <v>10.0</v>
      </c>
      <c r="N43" s="54"/>
      <c r="O43" s="76">
        <f t="shared" si="7"/>
        <v>27200</v>
      </c>
      <c r="P43" s="54"/>
      <c r="Q43" s="76">
        <f t="shared" si="8"/>
        <v>29600</v>
      </c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</row>
    <row r="44">
      <c r="A44" s="67">
        <v>55287.0</v>
      </c>
      <c r="B44" s="86" t="s">
        <v>71</v>
      </c>
      <c r="C44" s="69">
        <v>20.0</v>
      </c>
      <c r="D44" s="71">
        <v>2321.49</v>
      </c>
      <c r="E44" s="70">
        <f t="shared" si="1"/>
        <v>2809.0029</v>
      </c>
      <c r="F44" s="71">
        <v>46429.8</v>
      </c>
      <c r="G44" s="71">
        <f t="shared" si="2"/>
        <v>56180.058</v>
      </c>
      <c r="H44" s="71">
        <f t="shared" si="3"/>
        <v>2809.0029</v>
      </c>
      <c r="I44" s="72">
        <f t="shared" ref="I44:I45" si="12">H44/(1-0.7)</f>
        <v>9363.343</v>
      </c>
      <c r="J44" s="71"/>
      <c r="K44" s="73">
        <f t="shared" ref="K44:K45" si="13">H44/(1-0.75)</f>
        <v>11236.0116</v>
      </c>
      <c r="L44" s="78"/>
      <c r="M44" s="75">
        <f t="shared" ref="M44:M60" si="14">C44-L44</f>
        <v>20</v>
      </c>
      <c r="N44" s="54"/>
      <c r="O44" s="76">
        <f t="shared" si="7"/>
        <v>9400</v>
      </c>
      <c r="P44" s="54"/>
      <c r="Q44" s="76">
        <f t="shared" si="8"/>
        <v>11300</v>
      </c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</row>
    <row r="45">
      <c r="A45" s="67">
        <v>65287.0</v>
      </c>
      <c r="B45" s="86" t="s">
        <v>72</v>
      </c>
      <c r="C45" s="69">
        <v>125.0</v>
      </c>
      <c r="D45" s="71">
        <v>2321.49</v>
      </c>
      <c r="E45" s="70">
        <f t="shared" si="1"/>
        <v>2809.0029</v>
      </c>
      <c r="F45" s="71">
        <v>290186.25</v>
      </c>
      <c r="G45" s="71">
        <f t="shared" si="2"/>
        <v>351125.3625</v>
      </c>
      <c r="H45" s="71">
        <f t="shared" si="3"/>
        <v>2809.0029</v>
      </c>
      <c r="I45" s="72">
        <f t="shared" si="12"/>
        <v>9363.343</v>
      </c>
      <c r="J45" s="71"/>
      <c r="K45" s="73">
        <f t="shared" si="13"/>
        <v>11236.0116</v>
      </c>
      <c r="L45" s="78"/>
      <c r="M45" s="75">
        <f t="shared" si="14"/>
        <v>125</v>
      </c>
      <c r="N45" s="54"/>
      <c r="O45" s="76">
        <f t="shared" si="7"/>
        <v>9400</v>
      </c>
      <c r="P45" s="54"/>
      <c r="Q45" s="76">
        <f t="shared" si="8"/>
        <v>11300</v>
      </c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</row>
    <row r="46" ht="19.5" customHeight="1">
      <c r="A46" s="67">
        <v>45287.0</v>
      </c>
      <c r="B46" s="86" t="s">
        <v>73</v>
      </c>
      <c r="C46" s="91">
        <v>225.0</v>
      </c>
      <c r="D46" s="92">
        <v>2321.49</v>
      </c>
      <c r="E46" s="93">
        <f t="shared" si="1"/>
        <v>2809.0029</v>
      </c>
      <c r="F46" s="94">
        <v>522335.25</v>
      </c>
      <c r="G46" s="95">
        <f t="shared" si="2"/>
        <v>632025.6525</v>
      </c>
      <c r="H46" s="95">
        <f t="shared" si="3"/>
        <v>2809.0029</v>
      </c>
      <c r="I46" s="72">
        <f>H46/(1-0.45)</f>
        <v>5107.278</v>
      </c>
      <c r="J46" s="71"/>
      <c r="K46" s="73">
        <f>H46/(1-0.5)</f>
        <v>5618.0058</v>
      </c>
      <c r="L46" s="78"/>
      <c r="M46" s="75">
        <f t="shared" si="14"/>
        <v>225</v>
      </c>
      <c r="N46" s="54"/>
      <c r="O46" s="76">
        <f t="shared" si="7"/>
        <v>5200</v>
      </c>
      <c r="P46" s="54"/>
      <c r="Q46" s="76">
        <f t="shared" si="8"/>
        <v>5700</v>
      </c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</row>
    <row r="47">
      <c r="A47" s="67">
        <v>45001.0</v>
      </c>
      <c r="B47" s="96" t="s">
        <v>74</v>
      </c>
      <c r="C47" s="69">
        <v>40.0</v>
      </c>
      <c r="D47" s="71">
        <v>3397.53</v>
      </c>
      <c r="E47" s="70">
        <f t="shared" si="1"/>
        <v>4111.0113</v>
      </c>
      <c r="F47" s="71">
        <v>135901.2</v>
      </c>
      <c r="G47" s="71">
        <f t="shared" si="2"/>
        <v>164440.452</v>
      </c>
      <c r="H47" s="71">
        <f t="shared" si="3"/>
        <v>4111.0113</v>
      </c>
      <c r="I47" s="72">
        <f t="shared" ref="I47:I51" si="15">H47/(1-0.7)</f>
        <v>13703.371</v>
      </c>
      <c r="J47" s="71"/>
      <c r="K47" s="73">
        <f t="shared" ref="K47:K51" si="16">H47/(1-0.75)</f>
        <v>16444.0452</v>
      </c>
      <c r="L47" s="78"/>
      <c r="M47" s="75">
        <f t="shared" si="14"/>
        <v>40</v>
      </c>
      <c r="N47" s="54"/>
      <c r="O47" s="76">
        <f t="shared" si="7"/>
        <v>13800</v>
      </c>
      <c r="P47" s="54"/>
      <c r="Q47" s="76">
        <f t="shared" si="8"/>
        <v>16500</v>
      </c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</row>
    <row r="48" ht="18.75" customHeight="1">
      <c r="A48" s="67">
        <v>55001.0</v>
      </c>
      <c r="B48" s="96" t="s">
        <v>75</v>
      </c>
      <c r="C48" s="69">
        <v>40.0</v>
      </c>
      <c r="D48" s="71">
        <v>3397.53</v>
      </c>
      <c r="E48" s="70">
        <f t="shared" si="1"/>
        <v>4111.0113</v>
      </c>
      <c r="F48" s="71">
        <v>135901.2</v>
      </c>
      <c r="G48" s="71">
        <f t="shared" si="2"/>
        <v>164440.452</v>
      </c>
      <c r="H48" s="71">
        <f t="shared" si="3"/>
        <v>4111.0113</v>
      </c>
      <c r="I48" s="72">
        <f t="shared" si="15"/>
        <v>13703.371</v>
      </c>
      <c r="J48" s="71"/>
      <c r="K48" s="73">
        <f t="shared" si="16"/>
        <v>16444.0452</v>
      </c>
      <c r="L48" s="78"/>
      <c r="M48" s="75">
        <f t="shared" si="14"/>
        <v>40</v>
      </c>
      <c r="N48" s="54"/>
      <c r="O48" s="76">
        <f t="shared" si="7"/>
        <v>13800</v>
      </c>
      <c r="P48" s="54"/>
      <c r="Q48" s="76">
        <f t="shared" si="8"/>
        <v>16500</v>
      </c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</row>
    <row r="49">
      <c r="A49" s="67">
        <v>555011.0</v>
      </c>
      <c r="B49" s="86" t="s">
        <v>76</v>
      </c>
      <c r="C49" s="69">
        <v>300.0</v>
      </c>
      <c r="D49" s="70">
        <v>508.43</v>
      </c>
      <c r="E49" s="70">
        <f t="shared" si="1"/>
        <v>615.2003</v>
      </c>
      <c r="F49" s="71">
        <v>152529.0</v>
      </c>
      <c r="G49" s="71">
        <f t="shared" si="2"/>
        <v>184560.09</v>
      </c>
      <c r="H49" s="71">
        <f t="shared" si="3"/>
        <v>615.2003</v>
      </c>
      <c r="I49" s="72">
        <f t="shared" si="15"/>
        <v>2050.667667</v>
      </c>
      <c r="J49" s="71"/>
      <c r="K49" s="73">
        <f t="shared" si="16"/>
        <v>2460.8012</v>
      </c>
      <c r="L49" s="78"/>
      <c r="M49" s="75">
        <f t="shared" si="14"/>
        <v>300</v>
      </c>
      <c r="N49" s="54"/>
      <c r="O49" s="76">
        <f t="shared" si="7"/>
        <v>2100</v>
      </c>
      <c r="P49" s="54"/>
      <c r="Q49" s="76">
        <f t="shared" si="8"/>
        <v>2500</v>
      </c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</row>
    <row r="50">
      <c r="A50" s="67">
        <v>555021.0</v>
      </c>
      <c r="B50" s="86" t="s">
        <v>77</v>
      </c>
      <c r="C50" s="69">
        <v>300.0</v>
      </c>
      <c r="D50" s="70">
        <v>508.43</v>
      </c>
      <c r="E50" s="70">
        <f t="shared" si="1"/>
        <v>615.2003</v>
      </c>
      <c r="F50" s="71">
        <v>152529.0</v>
      </c>
      <c r="G50" s="71">
        <f t="shared" si="2"/>
        <v>184560.09</v>
      </c>
      <c r="H50" s="71">
        <f t="shared" si="3"/>
        <v>615.2003</v>
      </c>
      <c r="I50" s="72">
        <f t="shared" si="15"/>
        <v>2050.667667</v>
      </c>
      <c r="J50" s="71"/>
      <c r="K50" s="73">
        <f t="shared" si="16"/>
        <v>2460.8012</v>
      </c>
      <c r="L50" s="78"/>
      <c r="M50" s="75">
        <f t="shared" si="14"/>
        <v>300</v>
      </c>
      <c r="N50" s="54"/>
      <c r="O50" s="76">
        <f t="shared" si="7"/>
        <v>2100</v>
      </c>
      <c r="P50" s="54"/>
      <c r="Q50" s="76">
        <f t="shared" si="8"/>
        <v>2500</v>
      </c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</row>
    <row r="51">
      <c r="A51" s="67">
        <v>555031.0</v>
      </c>
      <c r="B51" s="86" t="s">
        <v>78</v>
      </c>
      <c r="C51" s="69">
        <v>300.0</v>
      </c>
      <c r="D51" s="70">
        <v>508.43</v>
      </c>
      <c r="E51" s="70">
        <f t="shared" si="1"/>
        <v>615.2003</v>
      </c>
      <c r="F51" s="71">
        <v>152529.0</v>
      </c>
      <c r="G51" s="71">
        <f t="shared" si="2"/>
        <v>184560.09</v>
      </c>
      <c r="H51" s="71">
        <f t="shared" si="3"/>
        <v>615.2003</v>
      </c>
      <c r="I51" s="72">
        <f t="shared" si="15"/>
        <v>2050.667667</v>
      </c>
      <c r="J51" s="71"/>
      <c r="K51" s="73">
        <f t="shared" si="16"/>
        <v>2460.8012</v>
      </c>
      <c r="L51" s="78"/>
      <c r="M51" s="75">
        <f t="shared" si="14"/>
        <v>300</v>
      </c>
      <c r="N51" s="54"/>
      <c r="O51" s="76">
        <f t="shared" si="7"/>
        <v>2100</v>
      </c>
      <c r="P51" s="54"/>
      <c r="Q51" s="76">
        <f t="shared" si="8"/>
        <v>2500</v>
      </c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</row>
    <row r="52">
      <c r="A52" s="97" t="s">
        <v>79</v>
      </c>
      <c r="L52" s="78"/>
      <c r="M52" s="90">
        <f t="shared" si="14"/>
        <v>0</v>
      </c>
      <c r="N52" s="54"/>
      <c r="O52" s="76">
        <f t="shared" si="7"/>
        <v>0</v>
      </c>
      <c r="P52" s="54"/>
      <c r="Q52" s="76">
        <f t="shared" si="8"/>
        <v>0</v>
      </c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</row>
    <row r="53">
      <c r="A53" s="67">
        <v>88609.0</v>
      </c>
      <c r="B53" s="86" t="s">
        <v>80</v>
      </c>
      <c r="C53" s="91">
        <v>1.0</v>
      </c>
      <c r="D53" s="98">
        <v>4673.51</v>
      </c>
      <c r="E53" s="93">
        <f t="shared" ref="E53:E60" si="17">D53*1.21</f>
        <v>5654.9471</v>
      </c>
      <c r="F53" s="95">
        <v>4673.51</v>
      </c>
      <c r="G53" s="95">
        <f t="shared" ref="G53:G60" si="18">E53*C53</f>
        <v>5654.9471</v>
      </c>
      <c r="H53" s="95">
        <f t="shared" ref="H53:H60" si="19">G53/C53</f>
        <v>5654.9471</v>
      </c>
      <c r="I53" s="72">
        <f t="shared" ref="I53:I59" si="20">H53/(1-0.45)</f>
        <v>10281.722</v>
      </c>
      <c r="J53" s="71"/>
      <c r="K53" s="73">
        <f t="shared" ref="K53:K59" si="21">H53/(1-0.5)</f>
        <v>11309.8942</v>
      </c>
      <c r="L53" s="78"/>
      <c r="M53" s="75">
        <f t="shared" si="14"/>
        <v>1</v>
      </c>
      <c r="N53" s="54"/>
      <c r="O53" s="76">
        <f t="shared" si="7"/>
        <v>10300</v>
      </c>
      <c r="P53" s="54"/>
      <c r="Q53" s="76">
        <f t="shared" si="8"/>
        <v>11400</v>
      </c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</row>
    <row r="54">
      <c r="A54" s="67">
        <v>88610.0</v>
      </c>
      <c r="B54" s="86" t="s">
        <v>81</v>
      </c>
      <c r="C54" s="91">
        <v>1.0</v>
      </c>
      <c r="D54" s="92">
        <v>6518.45</v>
      </c>
      <c r="E54" s="93">
        <f t="shared" si="17"/>
        <v>7887.3245</v>
      </c>
      <c r="F54" s="94">
        <v>6518.45</v>
      </c>
      <c r="G54" s="95">
        <f t="shared" si="18"/>
        <v>7887.3245</v>
      </c>
      <c r="H54" s="95">
        <f t="shared" si="19"/>
        <v>7887.3245</v>
      </c>
      <c r="I54" s="72">
        <f t="shared" si="20"/>
        <v>14340.59</v>
      </c>
      <c r="J54" s="71"/>
      <c r="K54" s="73">
        <f t="shared" si="21"/>
        <v>15774.649</v>
      </c>
      <c r="L54" s="78"/>
      <c r="M54" s="75">
        <f t="shared" si="14"/>
        <v>1</v>
      </c>
      <c r="N54" s="54"/>
      <c r="O54" s="76">
        <f t="shared" si="7"/>
        <v>14400</v>
      </c>
      <c r="P54" s="54"/>
      <c r="Q54" s="76">
        <f t="shared" si="8"/>
        <v>15800</v>
      </c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</row>
    <row r="55">
      <c r="A55" s="67">
        <v>88611.0</v>
      </c>
      <c r="B55" s="86" t="s">
        <v>82</v>
      </c>
      <c r="C55" s="91">
        <v>1.0</v>
      </c>
      <c r="D55" s="92">
        <v>9210.54</v>
      </c>
      <c r="E55" s="93">
        <f t="shared" si="17"/>
        <v>11144.7534</v>
      </c>
      <c r="F55" s="94">
        <v>9210.54</v>
      </c>
      <c r="G55" s="95">
        <f t="shared" si="18"/>
        <v>11144.7534</v>
      </c>
      <c r="H55" s="95">
        <f t="shared" si="19"/>
        <v>11144.7534</v>
      </c>
      <c r="I55" s="72">
        <f t="shared" si="20"/>
        <v>20263.188</v>
      </c>
      <c r="J55" s="71"/>
      <c r="K55" s="73">
        <f t="shared" si="21"/>
        <v>22289.5068</v>
      </c>
      <c r="L55" s="78"/>
      <c r="M55" s="75">
        <f t="shared" si="14"/>
        <v>1</v>
      </c>
      <c r="N55" s="54"/>
      <c r="O55" s="76">
        <f t="shared" si="7"/>
        <v>20300</v>
      </c>
      <c r="P55" s="54"/>
      <c r="Q55" s="76">
        <f t="shared" si="8"/>
        <v>22300</v>
      </c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</row>
    <row r="56">
      <c r="A56" s="67">
        <v>88612.0</v>
      </c>
      <c r="B56" s="86" t="s">
        <v>83</v>
      </c>
      <c r="C56" s="91">
        <v>1.0</v>
      </c>
      <c r="D56" s="92">
        <v>11196.67</v>
      </c>
      <c r="E56" s="93">
        <f t="shared" si="17"/>
        <v>13547.9707</v>
      </c>
      <c r="F56" s="94">
        <v>11196.67</v>
      </c>
      <c r="G56" s="95">
        <f t="shared" si="18"/>
        <v>13547.9707</v>
      </c>
      <c r="H56" s="95">
        <f t="shared" si="19"/>
        <v>13547.9707</v>
      </c>
      <c r="I56" s="72">
        <f t="shared" si="20"/>
        <v>24632.674</v>
      </c>
      <c r="J56" s="71"/>
      <c r="K56" s="73">
        <f t="shared" si="21"/>
        <v>27095.9414</v>
      </c>
      <c r="L56" s="78"/>
      <c r="M56" s="75">
        <f t="shared" si="14"/>
        <v>1</v>
      </c>
      <c r="N56" s="54"/>
      <c r="O56" s="76">
        <f t="shared" si="7"/>
        <v>24700</v>
      </c>
      <c r="P56" s="54"/>
      <c r="Q56" s="76">
        <f t="shared" si="8"/>
        <v>27100</v>
      </c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</row>
    <row r="57">
      <c r="A57" s="67">
        <v>88614.0</v>
      </c>
      <c r="B57" s="68" t="s">
        <v>84</v>
      </c>
      <c r="C57" s="91">
        <v>1.0</v>
      </c>
      <c r="D57" s="92">
        <v>26779.76</v>
      </c>
      <c r="E57" s="93">
        <f t="shared" si="17"/>
        <v>32403.5096</v>
      </c>
      <c r="F57" s="94">
        <v>26779.76</v>
      </c>
      <c r="G57" s="95">
        <f t="shared" si="18"/>
        <v>32403.5096</v>
      </c>
      <c r="H57" s="95">
        <f t="shared" si="19"/>
        <v>32403.5096</v>
      </c>
      <c r="I57" s="72">
        <f t="shared" si="20"/>
        <v>58915.472</v>
      </c>
      <c r="J57" s="71"/>
      <c r="K57" s="73">
        <f t="shared" si="21"/>
        <v>64807.0192</v>
      </c>
      <c r="L57" s="78"/>
      <c r="M57" s="75">
        <f t="shared" si="14"/>
        <v>1</v>
      </c>
      <c r="N57" s="54"/>
      <c r="O57" s="76">
        <f t="shared" si="7"/>
        <v>59000</v>
      </c>
      <c r="P57" s="54"/>
      <c r="Q57" s="76">
        <f t="shared" si="8"/>
        <v>64900</v>
      </c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</row>
    <row r="58">
      <c r="A58" s="67">
        <v>88615.0</v>
      </c>
      <c r="B58" s="86" t="s">
        <v>85</v>
      </c>
      <c r="C58" s="91">
        <v>1.0</v>
      </c>
      <c r="D58" s="92">
        <v>49455.48</v>
      </c>
      <c r="E58" s="93">
        <f t="shared" si="17"/>
        <v>59841.1308</v>
      </c>
      <c r="F58" s="94">
        <v>49455.48</v>
      </c>
      <c r="G58" s="95">
        <f t="shared" si="18"/>
        <v>59841.1308</v>
      </c>
      <c r="H58" s="95">
        <f t="shared" si="19"/>
        <v>59841.1308</v>
      </c>
      <c r="I58" s="72">
        <f t="shared" si="20"/>
        <v>108802.056</v>
      </c>
      <c r="J58" s="71"/>
      <c r="K58" s="73">
        <f t="shared" si="21"/>
        <v>119682.2616</v>
      </c>
      <c r="L58" s="78"/>
      <c r="M58" s="75">
        <f t="shared" si="14"/>
        <v>1</v>
      </c>
      <c r="N58" s="54"/>
      <c r="O58" s="76">
        <f t="shared" si="7"/>
        <v>108900</v>
      </c>
      <c r="P58" s="54"/>
      <c r="Q58" s="76">
        <f t="shared" si="8"/>
        <v>119700</v>
      </c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</row>
    <row r="59">
      <c r="A59" s="67">
        <v>865.0</v>
      </c>
      <c r="B59" s="99" t="s">
        <v>86</v>
      </c>
      <c r="C59" s="91">
        <v>8.0</v>
      </c>
      <c r="D59" s="92">
        <v>8264.54</v>
      </c>
      <c r="E59" s="93">
        <f t="shared" si="17"/>
        <v>10000.0934</v>
      </c>
      <c r="F59" s="94">
        <v>66116.32</v>
      </c>
      <c r="G59" s="95">
        <f t="shared" si="18"/>
        <v>80000.7472</v>
      </c>
      <c r="H59" s="95">
        <f t="shared" si="19"/>
        <v>10000.0934</v>
      </c>
      <c r="I59" s="72">
        <f t="shared" si="20"/>
        <v>18181.988</v>
      </c>
      <c r="J59" s="71"/>
      <c r="K59" s="73">
        <f t="shared" si="21"/>
        <v>20000.1868</v>
      </c>
      <c r="L59" s="74">
        <v>2.0</v>
      </c>
      <c r="M59" s="75">
        <f t="shared" si="14"/>
        <v>6</v>
      </c>
      <c r="N59" s="54"/>
      <c r="O59" s="76">
        <f t="shared" si="7"/>
        <v>18200</v>
      </c>
      <c r="P59" s="54"/>
      <c r="Q59" s="76">
        <f t="shared" si="8"/>
        <v>20100</v>
      </c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</row>
    <row r="60">
      <c r="A60" s="67">
        <v>845.0</v>
      </c>
      <c r="B60" s="99" t="s">
        <v>87</v>
      </c>
      <c r="C60" s="91">
        <v>8.0</v>
      </c>
      <c r="D60" s="92">
        <v>21117.89</v>
      </c>
      <c r="E60" s="93">
        <f t="shared" si="17"/>
        <v>25552.6469</v>
      </c>
      <c r="F60" s="94">
        <v>168943.12</v>
      </c>
      <c r="G60" s="95">
        <f t="shared" si="18"/>
        <v>204421.1752</v>
      </c>
      <c r="H60" s="95">
        <f t="shared" si="19"/>
        <v>25552.6469</v>
      </c>
      <c r="I60" s="72">
        <f>H60/(1-0.4)</f>
        <v>42587.74483</v>
      </c>
      <c r="J60" s="71"/>
      <c r="K60" s="73">
        <f>H60/(1-0.45)</f>
        <v>46459.358</v>
      </c>
      <c r="L60" s="74">
        <v>1.0</v>
      </c>
      <c r="M60" s="75">
        <f t="shared" si="14"/>
        <v>7</v>
      </c>
      <c r="N60" s="54"/>
      <c r="O60" s="76">
        <f t="shared" si="7"/>
        <v>42600</v>
      </c>
      <c r="P60" s="54"/>
      <c r="Q60" s="76">
        <f t="shared" si="8"/>
        <v>46500</v>
      </c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</row>
    <row r="61">
      <c r="L61" s="100"/>
      <c r="M61" s="100"/>
    </row>
    <row r="62" ht="12.75" customHeight="1">
      <c r="A62" s="101"/>
      <c r="B62" s="54"/>
      <c r="C62" s="102"/>
      <c r="D62" s="101"/>
      <c r="E62" s="101"/>
      <c r="F62" s="101"/>
      <c r="G62" s="101"/>
      <c r="H62" s="101"/>
      <c r="I62" s="101"/>
      <c r="J62" s="101"/>
      <c r="K62" s="101"/>
      <c r="L62" s="53"/>
      <c r="M62" s="53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</row>
    <row r="63">
      <c r="A63" s="101"/>
      <c r="B63" s="103"/>
      <c r="C63" s="102"/>
      <c r="D63" s="101"/>
      <c r="E63" s="101"/>
      <c r="F63" s="101"/>
      <c r="G63" s="101"/>
      <c r="H63" s="101"/>
      <c r="I63" s="104"/>
      <c r="J63" s="101"/>
      <c r="K63" s="101"/>
      <c r="L63" s="53"/>
      <c r="M63" s="53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</row>
    <row r="64">
      <c r="A64" s="101"/>
      <c r="B64" s="103"/>
      <c r="C64" s="102"/>
      <c r="D64" s="101"/>
      <c r="E64" s="101"/>
      <c r="F64" s="101"/>
      <c r="G64" s="101"/>
      <c r="H64" s="101"/>
      <c r="I64" s="104"/>
      <c r="J64" s="101"/>
      <c r="K64" s="101"/>
      <c r="L64" s="53"/>
      <c r="M64" s="53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</row>
    <row r="65">
      <c r="A65" s="101"/>
      <c r="B65" s="103"/>
      <c r="C65" s="102"/>
      <c r="D65" s="101"/>
      <c r="E65" s="101"/>
      <c r="F65" s="101"/>
      <c r="G65" s="101"/>
      <c r="H65" s="101"/>
      <c r="I65" s="104"/>
      <c r="J65" s="101"/>
      <c r="K65" s="101"/>
      <c r="L65" s="53"/>
      <c r="M65" s="53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</row>
    <row r="66">
      <c r="A66" s="101"/>
      <c r="B66" s="103"/>
      <c r="C66" s="102"/>
      <c r="D66" s="101"/>
      <c r="E66" s="101"/>
      <c r="F66" s="101"/>
      <c r="G66" s="101"/>
      <c r="H66" s="101"/>
      <c r="I66" s="104"/>
      <c r="J66" s="101"/>
      <c r="K66" s="101"/>
      <c r="L66" s="53"/>
      <c r="M66" s="53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</row>
    <row r="67">
      <c r="A67" s="101"/>
      <c r="B67" s="105"/>
      <c r="C67" s="102"/>
      <c r="D67" s="101"/>
      <c r="E67" s="101"/>
      <c r="F67" s="101"/>
      <c r="G67" s="101"/>
      <c r="H67" s="101"/>
      <c r="I67" s="104"/>
      <c r="J67" s="101"/>
      <c r="K67" s="101"/>
      <c r="L67" s="53"/>
      <c r="M67" s="53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</row>
    <row r="68">
      <c r="A68" s="101"/>
      <c r="B68" s="105"/>
      <c r="C68" s="102"/>
      <c r="D68" s="101"/>
      <c r="E68" s="101"/>
      <c r="F68" s="101"/>
      <c r="G68" s="101"/>
      <c r="H68" s="101"/>
      <c r="I68" s="104"/>
      <c r="J68" s="101"/>
      <c r="K68" s="101"/>
      <c r="L68" s="53"/>
      <c r="M68" s="53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</row>
    <row r="69" ht="12.75" customHeight="1">
      <c r="A69" s="101"/>
      <c r="B69" s="54"/>
      <c r="C69" s="102"/>
      <c r="D69" s="101"/>
      <c r="E69" s="101"/>
      <c r="F69" s="101"/>
      <c r="G69" s="101"/>
      <c r="H69" s="101"/>
      <c r="I69" s="101"/>
      <c r="J69" s="101"/>
      <c r="K69" s="101"/>
      <c r="L69" s="53"/>
      <c r="M69" s="53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</row>
    <row r="70" ht="12.75" customHeight="1">
      <c r="A70" s="101"/>
      <c r="B70" s="54"/>
      <c r="C70" s="102"/>
      <c r="D70" s="101"/>
      <c r="E70" s="101"/>
      <c r="F70" s="101"/>
      <c r="G70" s="101"/>
      <c r="H70" s="101"/>
      <c r="I70" s="101"/>
      <c r="J70" s="101"/>
      <c r="K70" s="101"/>
      <c r="L70" s="53"/>
      <c r="M70" s="53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</row>
    <row r="71" ht="12.75" customHeight="1">
      <c r="A71" s="101"/>
      <c r="B71" s="54"/>
      <c r="C71" s="102"/>
      <c r="D71" s="101"/>
      <c r="E71" s="101"/>
      <c r="F71" s="101"/>
      <c r="G71" s="101"/>
      <c r="H71" s="101"/>
      <c r="I71" s="101"/>
      <c r="J71" s="101"/>
      <c r="K71" s="101"/>
      <c r="L71" s="53"/>
      <c r="M71" s="53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</row>
    <row r="72" ht="12.75" customHeight="1">
      <c r="A72" s="101"/>
      <c r="B72" s="54"/>
      <c r="C72" s="102"/>
      <c r="D72" s="101"/>
      <c r="E72" s="101"/>
      <c r="F72" s="101"/>
      <c r="G72" s="101"/>
      <c r="H72" s="101"/>
      <c r="I72" s="101"/>
      <c r="J72" s="101"/>
      <c r="K72" s="101"/>
      <c r="L72" s="53"/>
      <c r="M72" s="53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</row>
    <row r="73" ht="12.75" customHeight="1">
      <c r="A73" s="101"/>
      <c r="B73" s="54"/>
      <c r="C73" s="102"/>
      <c r="D73" s="101"/>
      <c r="E73" s="101"/>
      <c r="F73" s="101"/>
      <c r="G73" s="101"/>
      <c r="H73" s="101"/>
      <c r="I73" s="101"/>
      <c r="J73" s="101"/>
      <c r="K73" s="101"/>
      <c r="L73" s="53"/>
      <c r="M73" s="53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</row>
    <row r="74" ht="12.75" customHeight="1">
      <c r="A74" s="101"/>
      <c r="B74" s="54"/>
      <c r="C74" s="102"/>
      <c r="D74" s="101"/>
      <c r="E74" s="101"/>
      <c r="F74" s="101"/>
      <c r="G74" s="101"/>
      <c r="H74" s="101"/>
      <c r="I74" s="101"/>
      <c r="J74" s="101"/>
      <c r="K74" s="101"/>
      <c r="L74" s="53"/>
      <c r="M74" s="53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</row>
    <row r="75" ht="12.75" customHeight="1">
      <c r="A75" s="101"/>
      <c r="B75" s="54"/>
      <c r="C75" s="102"/>
      <c r="D75" s="101"/>
      <c r="E75" s="101"/>
      <c r="F75" s="101"/>
      <c r="G75" s="101"/>
      <c r="H75" s="101"/>
      <c r="I75" s="101"/>
      <c r="J75" s="101"/>
      <c r="K75" s="101"/>
      <c r="L75" s="53"/>
      <c r="M75" s="53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</row>
    <row r="76" ht="12.75" customHeight="1">
      <c r="A76" s="101"/>
      <c r="B76" s="54"/>
      <c r="C76" s="102"/>
      <c r="D76" s="101"/>
      <c r="E76" s="101"/>
      <c r="F76" s="101"/>
      <c r="G76" s="101"/>
      <c r="H76" s="101"/>
      <c r="I76" s="101"/>
      <c r="J76" s="101"/>
      <c r="K76" s="101"/>
      <c r="L76" s="53"/>
      <c r="M76" s="53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</row>
    <row r="77" ht="12.75" customHeight="1">
      <c r="A77" s="101"/>
      <c r="B77" s="54"/>
      <c r="C77" s="102"/>
      <c r="D77" s="101"/>
      <c r="E77" s="101"/>
      <c r="F77" s="101"/>
      <c r="G77" s="101"/>
      <c r="H77" s="101"/>
      <c r="I77" s="101"/>
      <c r="J77" s="101"/>
      <c r="K77" s="101"/>
      <c r="L77" s="53"/>
      <c r="M77" s="53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</row>
    <row r="78" ht="12.75" customHeight="1">
      <c r="A78" s="101"/>
      <c r="B78" s="54"/>
      <c r="C78" s="102"/>
      <c r="D78" s="101"/>
      <c r="E78" s="101"/>
      <c r="F78" s="101"/>
      <c r="G78" s="101"/>
      <c r="H78" s="101"/>
      <c r="I78" s="101"/>
      <c r="J78" s="101"/>
      <c r="K78" s="101"/>
      <c r="L78" s="53"/>
      <c r="M78" s="53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</row>
    <row r="79" ht="12.75" customHeight="1">
      <c r="A79" s="101"/>
      <c r="B79" s="54"/>
      <c r="C79" s="102"/>
      <c r="D79" s="101"/>
      <c r="E79" s="101"/>
      <c r="F79" s="101"/>
      <c r="G79" s="101"/>
      <c r="H79" s="101"/>
      <c r="I79" s="101"/>
      <c r="J79" s="101"/>
      <c r="K79" s="101"/>
      <c r="L79" s="53"/>
      <c r="M79" s="53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</row>
    <row r="80" ht="12.75" customHeight="1">
      <c r="A80" s="101"/>
      <c r="B80" s="54"/>
      <c r="C80" s="102"/>
      <c r="D80" s="101"/>
      <c r="E80" s="101"/>
      <c r="F80" s="101"/>
      <c r="G80" s="101"/>
      <c r="H80" s="101"/>
      <c r="I80" s="101"/>
      <c r="J80" s="101"/>
      <c r="K80" s="101"/>
      <c r="L80" s="53"/>
      <c r="M80" s="53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</row>
    <row r="81" ht="12.75" customHeight="1">
      <c r="A81" s="101"/>
      <c r="B81" s="54"/>
      <c r="C81" s="102"/>
      <c r="D81" s="101"/>
      <c r="E81" s="101"/>
      <c r="F81" s="101"/>
      <c r="G81" s="101"/>
      <c r="H81" s="101"/>
      <c r="I81" s="101"/>
      <c r="J81" s="101"/>
      <c r="K81" s="101"/>
      <c r="L81" s="53"/>
      <c r="M81" s="53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</row>
    <row r="82" ht="12.75" customHeight="1">
      <c r="A82" s="101"/>
      <c r="B82" s="54"/>
      <c r="C82" s="102"/>
      <c r="D82" s="101"/>
      <c r="E82" s="101"/>
      <c r="F82" s="101"/>
      <c r="G82" s="101"/>
      <c r="H82" s="101"/>
      <c r="I82" s="101"/>
      <c r="J82" s="101"/>
      <c r="K82" s="101"/>
      <c r="L82" s="53"/>
      <c r="M82" s="53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</row>
    <row r="83" ht="12.75" customHeight="1">
      <c r="A83" s="101"/>
      <c r="B83" s="54"/>
      <c r="C83" s="102"/>
      <c r="D83" s="101"/>
      <c r="E83" s="101"/>
      <c r="F83" s="101"/>
      <c r="G83" s="101"/>
      <c r="H83" s="101"/>
      <c r="I83" s="101"/>
      <c r="J83" s="101"/>
      <c r="K83" s="101"/>
      <c r="L83" s="53"/>
      <c r="M83" s="53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</row>
    <row r="84" ht="12.75" customHeight="1">
      <c r="A84" s="101"/>
      <c r="B84" s="54"/>
      <c r="C84" s="102"/>
      <c r="D84" s="101"/>
      <c r="E84" s="101"/>
      <c r="F84" s="101"/>
      <c r="G84" s="101"/>
      <c r="H84" s="101"/>
      <c r="I84" s="101"/>
      <c r="J84" s="101"/>
      <c r="K84" s="101"/>
      <c r="L84" s="53"/>
      <c r="M84" s="53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</row>
    <row r="85" ht="12.75" customHeight="1">
      <c r="A85" s="101"/>
      <c r="B85" s="54"/>
      <c r="C85" s="102"/>
      <c r="D85" s="101"/>
      <c r="E85" s="101"/>
      <c r="F85" s="101"/>
      <c r="G85" s="101"/>
      <c r="H85" s="101"/>
      <c r="I85" s="101"/>
      <c r="J85" s="101"/>
      <c r="K85" s="101"/>
      <c r="L85" s="53"/>
      <c r="M85" s="53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</row>
    <row r="86" ht="12.75" customHeight="1">
      <c r="A86" s="101"/>
      <c r="B86" s="54"/>
      <c r="C86" s="102"/>
      <c r="D86" s="101"/>
      <c r="E86" s="101"/>
      <c r="F86" s="101"/>
      <c r="G86" s="101"/>
      <c r="H86" s="101"/>
      <c r="I86" s="101"/>
      <c r="J86" s="101"/>
      <c r="K86" s="101"/>
      <c r="L86" s="53"/>
      <c r="M86" s="53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</row>
    <row r="87" ht="12.75" customHeight="1">
      <c r="A87" s="101"/>
      <c r="B87" s="54"/>
      <c r="C87" s="102"/>
      <c r="D87" s="101"/>
      <c r="E87" s="101"/>
      <c r="F87" s="101"/>
      <c r="G87" s="101"/>
      <c r="H87" s="101"/>
      <c r="I87" s="101"/>
      <c r="J87" s="101"/>
      <c r="K87" s="101"/>
      <c r="L87" s="53"/>
      <c r="M87" s="53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</row>
    <row r="88" ht="12.75" customHeight="1">
      <c r="A88" s="101"/>
      <c r="B88" s="54"/>
      <c r="C88" s="102"/>
      <c r="D88" s="101"/>
      <c r="E88" s="101"/>
      <c r="F88" s="101"/>
      <c r="G88" s="101"/>
      <c r="H88" s="101"/>
      <c r="I88" s="101"/>
      <c r="J88" s="101"/>
      <c r="K88" s="101"/>
      <c r="L88" s="53"/>
      <c r="M88" s="53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</row>
    <row r="89" ht="12.75" customHeight="1">
      <c r="A89" s="101"/>
      <c r="B89" s="54"/>
      <c r="C89" s="102"/>
      <c r="D89" s="101"/>
      <c r="E89" s="101"/>
      <c r="F89" s="101"/>
      <c r="G89" s="101"/>
      <c r="H89" s="101"/>
      <c r="I89" s="101"/>
      <c r="J89" s="101"/>
      <c r="K89" s="101"/>
      <c r="L89" s="53"/>
      <c r="M89" s="53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</row>
    <row r="90" ht="12.75" customHeight="1">
      <c r="A90" s="101"/>
      <c r="B90" s="54"/>
      <c r="C90" s="102"/>
      <c r="D90" s="101"/>
      <c r="E90" s="101"/>
      <c r="F90" s="101"/>
      <c r="G90" s="101"/>
      <c r="H90" s="101"/>
      <c r="I90" s="101"/>
      <c r="J90" s="101"/>
      <c r="K90" s="101"/>
      <c r="L90" s="53"/>
      <c r="M90" s="53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</row>
    <row r="91" ht="12.75" customHeight="1">
      <c r="A91" s="101"/>
      <c r="B91" s="54"/>
      <c r="C91" s="102"/>
      <c r="D91" s="101"/>
      <c r="E91" s="101"/>
      <c r="F91" s="101"/>
      <c r="G91" s="101"/>
      <c r="H91" s="101"/>
      <c r="I91" s="101"/>
      <c r="J91" s="101"/>
      <c r="K91" s="101"/>
      <c r="L91" s="53"/>
      <c r="M91" s="53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</row>
    <row r="92" ht="12.75" customHeight="1">
      <c r="A92" s="101"/>
      <c r="B92" s="54"/>
      <c r="C92" s="102"/>
      <c r="D92" s="101"/>
      <c r="E92" s="101"/>
      <c r="F92" s="101"/>
      <c r="G92" s="101"/>
      <c r="H92" s="101"/>
      <c r="I92" s="101"/>
      <c r="J92" s="101"/>
      <c r="K92" s="101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</row>
    <row r="93" ht="12.75" customHeight="1">
      <c r="A93" s="101"/>
      <c r="B93" s="54"/>
      <c r="C93" s="102"/>
      <c r="D93" s="101"/>
      <c r="E93" s="101"/>
      <c r="F93" s="101"/>
      <c r="G93" s="101"/>
      <c r="H93" s="101"/>
      <c r="I93" s="101"/>
      <c r="J93" s="101"/>
      <c r="K93" s="101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</row>
    <row r="94" ht="12.75" customHeight="1">
      <c r="A94" s="101"/>
      <c r="B94" s="54"/>
      <c r="C94" s="102"/>
      <c r="D94" s="101"/>
      <c r="E94" s="101"/>
      <c r="F94" s="101"/>
      <c r="G94" s="101"/>
      <c r="H94" s="101"/>
      <c r="I94" s="101"/>
      <c r="J94" s="101"/>
      <c r="K94" s="101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</row>
    <row r="95" ht="12.75" customHeight="1">
      <c r="A95" s="101"/>
      <c r="B95" s="54"/>
      <c r="C95" s="102"/>
      <c r="D95" s="101"/>
      <c r="E95" s="101"/>
      <c r="F95" s="101"/>
      <c r="G95" s="101"/>
      <c r="H95" s="101"/>
      <c r="I95" s="101"/>
      <c r="J95" s="101"/>
      <c r="K95" s="101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</row>
    <row r="96" ht="12.75" customHeight="1">
      <c r="A96" s="101"/>
      <c r="B96" s="54"/>
      <c r="C96" s="102"/>
      <c r="D96" s="101"/>
      <c r="E96" s="101"/>
      <c r="F96" s="101"/>
      <c r="G96" s="101"/>
      <c r="H96" s="101"/>
      <c r="I96" s="101"/>
      <c r="J96" s="101"/>
      <c r="K96" s="101"/>
      <c r="L96" s="53"/>
      <c r="M96" s="53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</row>
    <row r="97" ht="12.75" customHeight="1">
      <c r="A97" s="101"/>
      <c r="B97" s="54"/>
      <c r="C97" s="102"/>
      <c r="D97" s="101"/>
      <c r="E97" s="101"/>
      <c r="F97" s="101"/>
      <c r="G97" s="101"/>
      <c r="H97" s="101"/>
      <c r="I97" s="101"/>
      <c r="J97" s="101"/>
      <c r="K97" s="101"/>
      <c r="L97" s="53"/>
      <c r="M97" s="53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</row>
    <row r="98" ht="12.75" customHeight="1">
      <c r="A98" s="101"/>
      <c r="B98" s="54"/>
      <c r="C98" s="102"/>
      <c r="D98" s="101"/>
      <c r="E98" s="101"/>
      <c r="F98" s="101"/>
      <c r="G98" s="101"/>
      <c r="H98" s="101"/>
      <c r="I98" s="101"/>
      <c r="J98" s="101"/>
      <c r="K98" s="101"/>
      <c r="L98" s="53"/>
      <c r="M98" s="53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</row>
    <row r="99" ht="12.75" customHeight="1">
      <c r="A99" s="101"/>
      <c r="B99" s="54"/>
      <c r="C99" s="102"/>
      <c r="D99" s="101"/>
      <c r="E99" s="101"/>
      <c r="F99" s="101"/>
      <c r="G99" s="101"/>
      <c r="H99" s="101"/>
      <c r="I99" s="101"/>
      <c r="J99" s="101"/>
      <c r="K99" s="101"/>
      <c r="L99" s="53"/>
      <c r="M99" s="53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</row>
    <row r="100" ht="12.75" customHeight="1">
      <c r="A100" s="101"/>
      <c r="B100" s="54"/>
      <c r="C100" s="102"/>
      <c r="D100" s="101"/>
      <c r="E100" s="101"/>
      <c r="F100" s="101"/>
      <c r="G100" s="101"/>
      <c r="H100" s="101"/>
      <c r="I100" s="101"/>
      <c r="J100" s="101"/>
      <c r="K100" s="101"/>
      <c r="L100" s="53"/>
      <c r="M100" s="53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</row>
    <row r="101" ht="12.75" customHeight="1">
      <c r="A101" s="101"/>
      <c r="B101" s="54"/>
      <c r="C101" s="102"/>
      <c r="D101" s="101"/>
      <c r="E101" s="101"/>
      <c r="F101" s="101"/>
      <c r="G101" s="101"/>
      <c r="H101" s="101"/>
      <c r="I101" s="101"/>
      <c r="J101" s="101"/>
      <c r="K101" s="101"/>
      <c r="L101" s="53"/>
      <c r="M101" s="53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</row>
    <row r="102" ht="12.75" customHeight="1">
      <c r="A102" s="101"/>
      <c r="B102" s="54"/>
      <c r="C102" s="102"/>
      <c r="D102" s="101"/>
      <c r="E102" s="101"/>
      <c r="F102" s="101"/>
      <c r="G102" s="101"/>
      <c r="H102" s="101"/>
      <c r="I102" s="101"/>
      <c r="J102" s="101"/>
      <c r="K102" s="101"/>
      <c r="L102" s="53"/>
      <c r="M102" s="53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</row>
    <row r="103" ht="12.75" customHeight="1">
      <c r="A103" s="101"/>
      <c r="B103" s="54"/>
      <c r="C103" s="102"/>
      <c r="D103" s="101"/>
      <c r="E103" s="101"/>
      <c r="F103" s="101"/>
      <c r="G103" s="101"/>
      <c r="H103" s="101"/>
      <c r="I103" s="101"/>
      <c r="J103" s="101"/>
      <c r="K103" s="101"/>
      <c r="L103" s="53"/>
      <c r="M103" s="53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</row>
    <row r="104" ht="12.75" customHeight="1">
      <c r="A104" s="101"/>
      <c r="B104" s="54"/>
      <c r="C104" s="102"/>
      <c r="D104" s="101"/>
      <c r="E104" s="101"/>
      <c r="F104" s="101"/>
      <c r="G104" s="101"/>
      <c r="H104" s="101"/>
      <c r="I104" s="101"/>
      <c r="J104" s="101"/>
      <c r="K104" s="101"/>
      <c r="L104" s="53"/>
      <c r="M104" s="53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</row>
    <row r="105" ht="12.75" customHeight="1">
      <c r="A105" s="101"/>
      <c r="B105" s="54"/>
      <c r="C105" s="102"/>
      <c r="D105" s="101"/>
      <c r="E105" s="101"/>
      <c r="F105" s="101"/>
      <c r="G105" s="101"/>
      <c r="H105" s="101"/>
      <c r="I105" s="101"/>
      <c r="J105" s="101"/>
      <c r="K105" s="101"/>
      <c r="L105" s="53"/>
      <c r="M105" s="53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</row>
    <row r="106" ht="12.75" customHeight="1">
      <c r="A106" s="101"/>
      <c r="B106" s="54"/>
      <c r="C106" s="102"/>
      <c r="D106" s="101"/>
      <c r="E106" s="101"/>
      <c r="F106" s="101"/>
      <c r="G106" s="101"/>
      <c r="H106" s="101"/>
      <c r="I106" s="101"/>
      <c r="J106" s="101"/>
      <c r="K106" s="101"/>
      <c r="L106" s="53"/>
      <c r="M106" s="53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</row>
    <row r="107" ht="12.75" customHeight="1">
      <c r="A107" s="101"/>
      <c r="B107" s="54"/>
      <c r="C107" s="102"/>
      <c r="D107" s="101"/>
      <c r="E107" s="101"/>
      <c r="F107" s="101"/>
      <c r="G107" s="101"/>
      <c r="H107" s="101"/>
      <c r="I107" s="101"/>
      <c r="J107" s="101"/>
      <c r="K107" s="101"/>
      <c r="L107" s="53"/>
      <c r="M107" s="53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</row>
    <row r="108" ht="12.75" customHeight="1">
      <c r="A108" s="101"/>
      <c r="B108" s="54"/>
      <c r="C108" s="102"/>
      <c r="D108" s="101"/>
      <c r="E108" s="101"/>
      <c r="F108" s="101"/>
      <c r="G108" s="101"/>
      <c r="H108" s="101"/>
      <c r="I108" s="101"/>
      <c r="J108" s="101"/>
      <c r="K108" s="101"/>
      <c r="L108" s="53"/>
      <c r="M108" s="53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</row>
    <row r="109" ht="12.75" customHeight="1">
      <c r="A109" s="101"/>
      <c r="B109" s="54"/>
      <c r="C109" s="102"/>
      <c r="D109" s="101"/>
      <c r="E109" s="101"/>
      <c r="F109" s="101"/>
      <c r="G109" s="101"/>
      <c r="H109" s="101"/>
      <c r="I109" s="101"/>
      <c r="J109" s="101"/>
      <c r="K109" s="101"/>
      <c r="L109" s="53"/>
      <c r="M109" s="53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</row>
    <row r="110" ht="12.75" customHeight="1">
      <c r="A110" s="101"/>
      <c r="B110" s="54"/>
      <c r="C110" s="102"/>
      <c r="D110" s="101"/>
      <c r="E110" s="101"/>
      <c r="F110" s="101"/>
      <c r="G110" s="101"/>
      <c r="H110" s="101"/>
      <c r="I110" s="101"/>
      <c r="J110" s="101"/>
      <c r="K110" s="101"/>
      <c r="L110" s="53"/>
      <c r="M110" s="53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</row>
    <row r="111" ht="12.75" customHeight="1">
      <c r="A111" s="101"/>
      <c r="B111" s="54"/>
      <c r="C111" s="102"/>
      <c r="D111" s="101"/>
      <c r="E111" s="101"/>
      <c r="F111" s="101"/>
      <c r="G111" s="101"/>
      <c r="H111" s="101"/>
      <c r="I111" s="101"/>
      <c r="J111" s="101"/>
      <c r="K111" s="101"/>
      <c r="L111" s="53"/>
      <c r="M111" s="53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</row>
    <row r="112" ht="12.75" customHeight="1">
      <c r="A112" s="101"/>
      <c r="B112" s="54"/>
      <c r="C112" s="102"/>
      <c r="D112" s="101"/>
      <c r="E112" s="101"/>
      <c r="F112" s="101"/>
      <c r="G112" s="101"/>
      <c r="H112" s="101"/>
      <c r="I112" s="101"/>
      <c r="J112" s="101"/>
      <c r="K112" s="101"/>
      <c r="L112" s="53"/>
      <c r="M112" s="53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</row>
    <row r="113" ht="12.75" customHeight="1">
      <c r="A113" s="101"/>
      <c r="B113" s="54"/>
      <c r="C113" s="102"/>
      <c r="D113" s="101"/>
      <c r="E113" s="101"/>
      <c r="F113" s="101"/>
      <c r="G113" s="101"/>
      <c r="H113" s="101"/>
      <c r="I113" s="101"/>
      <c r="J113" s="101"/>
      <c r="K113" s="101"/>
      <c r="L113" s="53"/>
      <c r="M113" s="53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</row>
    <row r="114" ht="12.75" customHeight="1">
      <c r="A114" s="101"/>
      <c r="B114" s="54"/>
      <c r="C114" s="102"/>
      <c r="D114" s="101"/>
      <c r="E114" s="101"/>
      <c r="F114" s="101"/>
      <c r="G114" s="101"/>
      <c r="H114" s="101"/>
      <c r="I114" s="101"/>
      <c r="J114" s="101"/>
      <c r="K114" s="101"/>
      <c r="L114" s="53"/>
      <c r="M114" s="53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</row>
    <row r="115" ht="12.75" customHeight="1">
      <c r="A115" s="101"/>
      <c r="B115" s="54"/>
      <c r="C115" s="102"/>
      <c r="D115" s="101"/>
      <c r="E115" s="101"/>
      <c r="F115" s="101"/>
      <c r="G115" s="101"/>
      <c r="H115" s="101"/>
      <c r="I115" s="101"/>
      <c r="J115" s="101"/>
      <c r="K115" s="101"/>
      <c r="L115" s="53"/>
      <c r="M115" s="53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</row>
    <row r="116" ht="12.75" customHeight="1">
      <c r="A116" s="101"/>
      <c r="B116" s="54"/>
      <c r="C116" s="102"/>
      <c r="D116" s="101"/>
      <c r="E116" s="101"/>
      <c r="F116" s="101"/>
      <c r="G116" s="101"/>
      <c r="H116" s="101"/>
      <c r="I116" s="101"/>
      <c r="J116" s="101"/>
      <c r="K116" s="101"/>
      <c r="L116" s="53"/>
      <c r="M116" s="53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</row>
    <row r="117" ht="12.75" customHeight="1">
      <c r="A117" s="101"/>
      <c r="B117" s="54"/>
      <c r="C117" s="102"/>
      <c r="D117" s="101"/>
      <c r="E117" s="101"/>
      <c r="F117" s="101"/>
      <c r="G117" s="101"/>
      <c r="H117" s="101"/>
      <c r="I117" s="101"/>
      <c r="J117" s="101"/>
      <c r="K117" s="101"/>
      <c r="L117" s="53"/>
      <c r="M117" s="53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</row>
    <row r="118" ht="12.75" customHeight="1">
      <c r="A118" s="101"/>
      <c r="B118" s="54"/>
      <c r="C118" s="102"/>
      <c r="D118" s="101"/>
      <c r="E118" s="101"/>
      <c r="F118" s="101"/>
      <c r="G118" s="101"/>
      <c r="H118" s="101"/>
      <c r="I118" s="101"/>
      <c r="J118" s="101"/>
      <c r="K118" s="101"/>
      <c r="L118" s="53"/>
      <c r="M118" s="53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</row>
    <row r="119" ht="12.75" customHeight="1">
      <c r="A119" s="101"/>
      <c r="B119" s="54"/>
      <c r="C119" s="102"/>
      <c r="D119" s="101"/>
      <c r="E119" s="101"/>
      <c r="F119" s="101"/>
      <c r="G119" s="101"/>
      <c r="H119" s="101"/>
      <c r="I119" s="101"/>
      <c r="J119" s="101"/>
      <c r="K119" s="101"/>
      <c r="L119" s="53"/>
      <c r="M119" s="53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</row>
    <row r="120" ht="12.75" customHeight="1">
      <c r="A120" s="101"/>
      <c r="B120" s="54"/>
      <c r="C120" s="102"/>
      <c r="D120" s="101"/>
      <c r="E120" s="101"/>
      <c r="F120" s="101"/>
      <c r="G120" s="101"/>
      <c r="H120" s="101"/>
      <c r="I120" s="101"/>
      <c r="J120" s="101"/>
      <c r="K120" s="101"/>
      <c r="L120" s="53"/>
      <c r="M120" s="53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</row>
    <row r="121" ht="12.75" customHeight="1">
      <c r="A121" s="101"/>
      <c r="B121" s="54"/>
      <c r="C121" s="102"/>
      <c r="D121" s="101"/>
      <c r="E121" s="101"/>
      <c r="F121" s="101"/>
      <c r="G121" s="101"/>
      <c r="H121" s="101"/>
      <c r="I121" s="101"/>
      <c r="J121" s="101"/>
      <c r="K121" s="101"/>
      <c r="L121" s="53"/>
      <c r="M121" s="53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</row>
    <row r="122" ht="12.75" customHeight="1">
      <c r="A122" s="101"/>
      <c r="B122" s="54"/>
      <c r="C122" s="102"/>
      <c r="D122" s="101"/>
      <c r="E122" s="101"/>
      <c r="F122" s="101"/>
      <c r="G122" s="101"/>
      <c r="H122" s="101"/>
      <c r="I122" s="101"/>
      <c r="J122" s="101"/>
      <c r="K122" s="101"/>
      <c r="L122" s="53"/>
      <c r="M122" s="53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</row>
    <row r="123" ht="12.75" customHeight="1">
      <c r="A123" s="101"/>
      <c r="B123" s="54"/>
      <c r="C123" s="102"/>
      <c r="D123" s="101"/>
      <c r="E123" s="101"/>
      <c r="F123" s="101"/>
      <c r="G123" s="101"/>
      <c r="H123" s="101"/>
      <c r="I123" s="101"/>
      <c r="J123" s="101"/>
      <c r="K123" s="101"/>
      <c r="L123" s="53"/>
      <c r="M123" s="53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</row>
    <row r="124" ht="12.75" customHeight="1">
      <c r="A124" s="101"/>
      <c r="B124" s="54"/>
      <c r="C124" s="102"/>
      <c r="D124" s="101"/>
      <c r="E124" s="101"/>
      <c r="F124" s="101"/>
      <c r="G124" s="101"/>
      <c r="H124" s="101"/>
      <c r="I124" s="101"/>
      <c r="J124" s="101"/>
      <c r="K124" s="101"/>
      <c r="L124" s="53"/>
      <c r="M124" s="53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</row>
    <row r="125" ht="12.75" customHeight="1">
      <c r="A125" s="101"/>
      <c r="B125" s="54"/>
      <c r="C125" s="102"/>
      <c r="D125" s="101"/>
      <c r="E125" s="101"/>
      <c r="F125" s="101"/>
      <c r="G125" s="101"/>
      <c r="H125" s="101"/>
      <c r="I125" s="101"/>
      <c r="J125" s="101"/>
      <c r="K125" s="101"/>
      <c r="L125" s="53"/>
      <c r="M125" s="53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</row>
    <row r="126" ht="12.75" customHeight="1">
      <c r="A126" s="101"/>
      <c r="B126" s="54"/>
      <c r="C126" s="102"/>
      <c r="D126" s="101"/>
      <c r="E126" s="101"/>
      <c r="F126" s="101"/>
      <c r="G126" s="101"/>
      <c r="H126" s="101"/>
      <c r="I126" s="101"/>
      <c r="J126" s="101"/>
      <c r="K126" s="101"/>
      <c r="L126" s="53"/>
      <c r="M126" s="53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</row>
    <row r="127" ht="12.75" customHeight="1">
      <c r="A127" s="101"/>
      <c r="B127" s="54"/>
      <c r="C127" s="102"/>
      <c r="D127" s="101"/>
      <c r="E127" s="101"/>
      <c r="F127" s="101"/>
      <c r="G127" s="101"/>
      <c r="H127" s="101"/>
      <c r="I127" s="101"/>
      <c r="J127" s="101"/>
      <c r="K127" s="101"/>
      <c r="L127" s="53"/>
      <c r="M127" s="53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</row>
    <row r="128" ht="12.75" customHeight="1">
      <c r="A128" s="101"/>
      <c r="B128" s="54"/>
      <c r="C128" s="102"/>
      <c r="D128" s="101"/>
      <c r="E128" s="101"/>
      <c r="F128" s="101"/>
      <c r="G128" s="101"/>
      <c r="H128" s="101"/>
      <c r="I128" s="101"/>
      <c r="J128" s="101"/>
      <c r="K128" s="101"/>
      <c r="L128" s="53"/>
      <c r="M128" s="53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</row>
    <row r="129" ht="12.75" customHeight="1">
      <c r="A129" s="101"/>
      <c r="B129" s="54"/>
      <c r="C129" s="102"/>
      <c r="D129" s="101"/>
      <c r="E129" s="101"/>
      <c r="F129" s="101"/>
      <c r="G129" s="101"/>
      <c r="H129" s="101"/>
      <c r="I129" s="101"/>
      <c r="J129" s="101"/>
      <c r="K129" s="101"/>
      <c r="L129" s="53"/>
      <c r="M129" s="53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</row>
    <row r="130" ht="12.75" customHeight="1">
      <c r="A130" s="101"/>
      <c r="B130" s="54"/>
      <c r="C130" s="102"/>
      <c r="D130" s="101"/>
      <c r="E130" s="101"/>
      <c r="F130" s="101"/>
      <c r="G130" s="101"/>
      <c r="H130" s="101"/>
      <c r="I130" s="101"/>
      <c r="J130" s="101"/>
      <c r="K130" s="101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</row>
    <row r="131" ht="12.75" customHeight="1">
      <c r="A131" s="101"/>
      <c r="B131" s="54"/>
      <c r="C131" s="102"/>
      <c r="D131" s="101"/>
      <c r="E131" s="101"/>
      <c r="F131" s="101"/>
      <c r="G131" s="101"/>
      <c r="H131" s="101"/>
      <c r="I131" s="101"/>
      <c r="J131" s="101"/>
      <c r="K131" s="101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</row>
    <row r="132" ht="12.75" customHeight="1">
      <c r="A132" s="101"/>
      <c r="B132" s="54"/>
      <c r="C132" s="102"/>
      <c r="D132" s="101"/>
      <c r="E132" s="101"/>
      <c r="F132" s="101"/>
      <c r="G132" s="101"/>
      <c r="H132" s="101"/>
      <c r="I132" s="101"/>
      <c r="J132" s="101"/>
      <c r="K132" s="101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</row>
    <row r="133" ht="12.75" customHeight="1">
      <c r="A133" s="101"/>
      <c r="B133" s="54"/>
      <c r="C133" s="102"/>
      <c r="D133" s="101"/>
      <c r="E133" s="101"/>
      <c r="F133" s="101"/>
      <c r="G133" s="101"/>
      <c r="H133" s="101"/>
      <c r="I133" s="101"/>
      <c r="J133" s="101"/>
      <c r="K133" s="101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</row>
    <row r="134" ht="12.75" customHeight="1">
      <c r="A134" s="101"/>
      <c r="B134" s="54"/>
      <c r="C134" s="102"/>
      <c r="D134" s="101"/>
      <c r="E134" s="101"/>
      <c r="F134" s="101"/>
      <c r="G134" s="101"/>
      <c r="H134" s="101"/>
      <c r="I134" s="101"/>
      <c r="J134" s="101"/>
      <c r="K134" s="101"/>
      <c r="L134" s="53"/>
      <c r="M134" s="53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</row>
    <row r="135" ht="12.75" customHeight="1">
      <c r="A135" s="101"/>
      <c r="B135" s="54"/>
      <c r="C135" s="102"/>
      <c r="D135" s="101"/>
      <c r="E135" s="101"/>
      <c r="F135" s="101"/>
      <c r="G135" s="101"/>
      <c r="H135" s="101"/>
      <c r="I135" s="101"/>
      <c r="J135" s="101"/>
      <c r="K135" s="101"/>
      <c r="L135" s="53"/>
      <c r="M135" s="53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</row>
    <row r="136" ht="12.75" customHeight="1">
      <c r="A136" s="101"/>
      <c r="B136" s="54"/>
      <c r="C136" s="102"/>
      <c r="D136" s="101"/>
      <c r="E136" s="101"/>
      <c r="F136" s="101"/>
      <c r="G136" s="101"/>
      <c r="H136" s="101"/>
      <c r="I136" s="101"/>
      <c r="J136" s="101"/>
      <c r="K136" s="101"/>
      <c r="L136" s="53"/>
      <c r="M136" s="53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</row>
    <row r="137" ht="12.75" customHeight="1">
      <c r="A137" s="101"/>
      <c r="B137" s="54"/>
      <c r="C137" s="102"/>
      <c r="D137" s="101"/>
      <c r="E137" s="101"/>
      <c r="F137" s="101"/>
      <c r="G137" s="101"/>
      <c r="H137" s="101"/>
      <c r="I137" s="101"/>
      <c r="J137" s="101"/>
      <c r="K137" s="101"/>
      <c r="L137" s="53"/>
      <c r="M137" s="53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</row>
    <row r="138" ht="12.75" customHeight="1">
      <c r="A138" s="101"/>
      <c r="B138" s="54"/>
      <c r="C138" s="102"/>
      <c r="D138" s="101"/>
      <c r="E138" s="101"/>
      <c r="F138" s="101"/>
      <c r="G138" s="101"/>
      <c r="H138" s="101"/>
      <c r="I138" s="101"/>
      <c r="J138" s="101"/>
      <c r="K138" s="101"/>
      <c r="L138" s="53"/>
      <c r="M138" s="53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</row>
    <row r="139" ht="12.75" customHeight="1">
      <c r="A139" s="101"/>
      <c r="B139" s="54"/>
      <c r="C139" s="102"/>
      <c r="D139" s="101"/>
      <c r="E139" s="101"/>
      <c r="F139" s="101"/>
      <c r="G139" s="101"/>
      <c r="H139" s="101"/>
      <c r="I139" s="101"/>
      <c r="J139" s="101"/>
      <c r="K139" s="101"/>
      <c r="L139" s="53"/>
      <c r="M139" s="53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</row>
    <row r="140" ht="12.75" customHeight="1">
      <c r="A140" s="101"/>
      <c r="B140" s="54"/>
      <c r="C140" s="102"/>
      <c r="D140" s="101"/>
      <c r="E140" s="101"/>
      <c r="F140" s="101"/>
      <c r="G140" s="101"/>
      <c r="H140" s="101"/>
      <c r="I140" s="101"/>
      <c r="J140" s="101"/>
      <c r="K140" s="101"/>
      <c r="L140" s="53"/>
      <c r="M140" s="53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</row>
    <row r="141" ht="12.75" customHeight="1">
      <c r="A141" s="101"/>
      <c r="B141" s="54"/>
      <c r="C141" s="102"/>
      <c r="D141" s="101"/>
      <c r="E141" s="101"/>
      <c r="F141" s="101"/>
      <c r="G141" s="101"/>
      <c r="H141" s="101"/>
      <c r="I141" s="101"/>
      <c r="J141" s="101"/>
      <c r="K141" s="101"/>
      <c r="L141" s="53"/>
      <c r="M141" s="53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</row>
    <row r="142" ht="12.75" customHeight="1">
      <c r="A142" s="101"/>
      <c r="B142" s="54"/>
      <c r="C142" s="102"/>
      <c r="D142" s="101"/>
      <c r="E142" s="101"/>
      <c r="F142" s="101"/>
      <c r="G142" s="101"/>
      <c r="H142" s="101"/>
      <c r="I142" s="101"/>
      <c r="J142" s="101"/>
      <c r="K142" s="101"/>
      <c r="L142" s="53"/>
      <c r="M142" s="53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</row>
    <row r="143" ht="12.75" customHeight="1">
      <c r="A143" s="101"/>
      <c r="B143" s="54"/>
      <c r="C143" s="102"/>
      <c r="D143" s="101"/>
      <c r="E143" s="101"/>
      <c r="F143" s="101"/>
      <c r="G143" s="101"/>
      <c r="H143" s="101"/>
      <c r="I143" s="101"/>
      <c r="J143" s="101"/>
      <c r="K143" s="101"/>
      <c r="L143" s="53"/>
      <c r="M143" s="53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</row>
    <row r="144" ht="12.75" customHeight="1">
      <c r="A144" s="101"/>
      <c r="B144" s="54"/>
      <c r="C144" s="102"/>
      <c r="D144" s="101"/>
      <c r="E144" s="101"/>
      <c r="F144" s="101"/>
      <c r="G144" s="101"/>
      <c r="H144" s="101"/>
      <c r="I144" s="101"/>
      <c r="J144" s="101"/>
      <c r="K144" s="101"/>
      <c r="L144" s="53"/>
      <c r="M144" s="53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</row>
    <row r="145" ht="12.75" customHeight="1">
      <c r="A145" s="101"/>
      <c r="B145" s="54"/>
      <c r="C145" s="102"/>
      <c r="D145" s="101"/>
      <c r="E145" s="101"/>
      <c r="F145" s="101"/>
      <c r="G145" s="101"/>
      <c r="H145" s="101"/>
      <c r="I145" s="101"/>
      <c r="J145" s="101"/>
      <c r="K145" s="101"/>
      <c r="L145" s="53"/>
      <c r="M145" s="53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</row>
    <row r="146" ht="12.75" customHeight="1">
      <c r="A146" s="101"/>
      <c r="B146" s="54"/>
      <c r="C146" s="102"/>
      <c r="D146" s="101"/>
      <c r="E146" s="101"/>
      <c r="F146" s="101"/>
      <c r="G146" s="101"/>
      <c r="H146" s="101"/>
      <c r="I146" s="101"/>
      <c r="J146" s="101"/>
      <c r="K146" s="101"/>
      <c r="L146" s="53"/>
      <c r="M146" s="53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</row>
    <row r="147" ht="12.75" customHeight="1">
      <c r="A147" s="101"/>
      <c r="B147" s="54"/>
      <c r="C147" s="102"/>
      <c r="D147" s="101"/>
      <c r="E147" s="101"/>
      <c r="F147" s="101"/>
      <c r="G147" s="101"/>
      <c r="H147" s="101"/>
      <c r="I147" s="101"/>
      <c r="J147" s="101"/>
      <c r="K147" s="101"/>
      <c r="L147" s="53"/>
      <c r="M147" s="53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</row>
    <row r="148" ht="12.75" customHeight="1">
      <c r="A148" s="101"/>
      <c r="B148" s="54"/>
      <c r="C148" s="102"/>
      <c r="D148" s="101"/>
      <c r="E148" s="101"/>
      <c r="F148" s="101"/>
      <c r="G148" s="101"/>
      <c r="H148" s="101"/>
      <c r="I148" s="101"/>
      <c r="J148" s="101"/>
      <c r="K148" s="101"/>
      <c r="L148" s="53"/>
      <c r="M148" s="53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</row>
    <row r="149" ht="12.75" customHeight="1">
      <c r="A149" s="101"/>
      <c r="B149" s="54"/>
      <c r="C149" s="102"/>
      <c r="D149" s="101"/>
      <c r="E149" s="101"/>
      <c r="F149" s="101"/>
      <c r="G149" s="101"/>
      <c r="H149" s="101"/>
      <c r="I149" s="101"/>
      <c r="J149" s="101"/>
      <c r="K149" s="101"/>
      <c r="L149" s="53"/>
      <c r="M149" s="53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</row>
    <row r="150" ht="12.75" customHeight="1">
      <c r="A150" s="101"/>
      <c r="B150" s="54"/>
      <c r="C150" s="102"/>
      <c r="D150" s="101"/>
      <c r="E150" s="101"/>
      <c r="F150" s="101"/>
      <c r="G150" s="101"/>
      <c r="H150" s="101"/>
      <c r="I150" s="101"/>
      <c r="J150" s="101"/>
      <c r="K150" s="101"/>
      <c r="L150" s="53"/>
      <c r="M150" s="53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</row>
    <row r="151" ht="12.75" customHeight="1">
      <c r="A151" s="101"/>
      <c r="B151" s="54"/>
      <c r="C151" s="102"/>
      <c r="D151" s="101"/>
      <c r="E151" s="101"/>
      <c r="F151" s="101"/>
      <c r="G151" s="101"/>
      <c r="H151" s="101"/>
      <c r="I151" s="101"/>
      <c r="J151" s="101"/>
      <c r="K151" s="101"/>
      <c r="L151" s="53"/>
      <c r="M151" s="53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</row>
    <row r="152" ht="12.75" customHeight="1">
      <c r="A152" s="101"/>
      <c r="B152" s="54"/>
      <c r="C152" s="102"/>
      <c r="D152" s="101"/>
      <c r="E152" s="101"/>
      <c r="F152" s="101"/>
      <c r="G152" s="101"/>
      <c r="H152" s="101"/>
      <c r="I152" s="101"/>
      <c r="J152" s="101"/>
      <c r="K152" s="101"/>
      <c r="L152" s="53"/>
      <c r="M152" s="53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</row>
    <row r="153" ht="12.75" customHeight="1">
      <c r="A153" s="101"/>
      <c r="B153" s="54"/>
      <c r="C153" s="102"/>
      <c r="D153" s="101"/>
      <c r="E153" s="101"/>
      <c r="F153" s="101"/>
      <c r="G153" s="101"/>
      <c r="H153" s="101"/>
      <c r="I153" s="101"/>
      <c r="J153" s="101"/>
      <c r="K153" s="101"/>
      <c r="L153" s="53"/>
      <c r="M153" s="53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</row>
    <row r="154" ht="12.75" customHeight="1">
      <c r="A154" s="101"/>
      <c r="B154" s="54"/>
      <c r="C154" s="102"/>
      <c r="D154" s="101"/>
      <c r="E154" s="101"/>
      <c r="F154" s="101"/>
      <c r="G154" s="101"/>
      <c r="H154" s="101"/>
      <c r="I154" s="101"/>
      <c r="J154" s="101"/>
      <c r="K154" s="101"/>
      <c r="L154" s="53"/>
      <c r="M154" s="53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</row>
    <row r="155" ht="12.75" customHeight="1">
      <c r="A155" s="101"/>
      <c r="B155" s="54"/>
      <c r="C155" s="102"/>
      <c r="D155" s="101"/>
      <c r="E155" s="101"/>
      <c r="F155" s="101"/>
      <c r="G155" s="101"/>
      <c r="H155" s="101"/>
      <c r="I155" s="101"/>
      <c r="J155" s="101"/>
      <c r="K155" s="101"/>
      <c r="L155" s="53"/>
      <c r="M155" s="53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</row>
    <row r="156" ht="12.75" customHeight="1">
      <c r="A156" s="101"/>
      <c r="B156" s="54"/>
      <c r="C156" s="102"/>
      <c r="D156" s="101"/>
      <c r="E156" s="101"/>
      <c r="F156" s="101"/>
      <c r="G156" s="101"/>
      <c r="H156" s="101"/>
      <c r="I156" s="101"/>
      <c r="J156" s="101"/>
      <c r="K156" s="101"/>
      <c r="L156" s="53"/>
      <c r="M156" s="53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</row>
    <row r="157" ht="12.75" customHeight="1">
      <c r="A157" s="101"/>
      <c r="B157" s="54"/>
      <c r="C157" s="102"/>
      <c r="D157" s="101"/>
      <c r="E157" s="101"/>
      <c r="F157" s="101"/>
      <c r="G157" s="101"/>
      <c r="H157" s="101"/>
      <c r="I157" s="101"/>
      <c r="J157" s="101"/>
      <c r="K157" s="101"/>
      <c r="L157" s="53"/>
      <c r="M157" s="53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</row>
    <row r="158" ht="12.75" customHeight="1">
      <c r="A158" s="101"/>
      <c r="B158" s="54"/>
      <c r="C158" s="102"/>
      <c r="D158" s="101"/>
      <c r="E158" s="101"/>
      <c r="F158" s="101"/>
      <c r="G158" s="101"/>
      <c r="H158" s="101"/>
      <c r="I158" s="101"/>
      <c r="J158" s="101"/>
      <c r="K158" s="101"/>
      <c r="L158" s="53"/>
      <c r="M158" s="53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</row>
    <row r="159" ht="12.75" customHeight="1">
      <c r="A159" s="101"/>
      <c r="B159" s="54"/>
      <c r="C159" s="102"/>
      <c r="D159" s="101"/>
      <c r="E159" s="101"/>
      <c r="F159" s="101"/>
      <c r="G159" s="101"/>
      <c r="H159" s="101"/>
      <c r="I159" s="101"/>
      <c r="J159" s="101"/>
      <c r="K159" s="101"/>
      <c r="L159" s="53"/>
      <c r="M159" s="53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</row>
    <row r="160" ht="12.75" customHeight="1">
      <c r="A160" s="101"/>
      <c r="B160" s="54"/>
      <c r="C160" s="102"/>
      <c r="D160" s="101"/>
      <c r="E160" s="101"/>
      <c r="F160" s="101"/>
      <c r="G160" s="101"/>
      <c r="H160" s="101"/>
      <c r="I160" s="101"/>
      <c r="J160" s="101"/>
      <c r="K160" s="101"/>
      <c r="L160" s="53"/>
      <c r="M160" s="53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</row>
    <row r="161" ht="12.75" customHeight="1">
      <c r="A161" s="101"/>
      <c r="B161" s="54"/>
      <c r="C161" s="102"/>
      <c r="D161" s="101"/>
      <c r="E161" s="101"/>
      <c r="F161" s="101"/>
      <c r="G161" s="101"/>
      <c r="H161" s="101"/>
      <c r="I161" s="101"/>
      <c r="J161" s="101"/>
      <c r="K161" s="101"/>
      <c r="L161" s="53"/>
      <c r="M161" s="53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</row>
    <row r="162" ht="12.75" customHeight="1">
      <c r="A162" s="101"/>
      <c r="B162" s="54"/>
      <c r="C162" s="102"/>
      <c r="D162" s="101"/>
      <c r="E162" s="101"/>
      <c r="F162" s="101"/>
      <c r="G162" s="101"/>
      <c r="H162" s="101"/>
      <c r="I162" s="101"/>
      <c r="J162" s="101"/>
      <c r="K162" s="101"/>
      <c r="L162" s="53"/>
      <c r="M162" s="53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</row>
    <row r="163" ht="12.75" customHeight="1">
      <c r="A163" s="101"/>
      <c r="B163" s="54"/>
      <c r="C163" s="102"/>
      <c r="D163" s="101"/>
      <c r="E163" s="101"/>
      <c r="F163" s="101"/>
      <c r="G163" s="101"/>
      <c r="H163" s="101"/>
      <c r="I163" s="101"/>
      <c r="J163" s="101"/>
      <c r="K163" s="101"/>
      <c r="L163" s="53"/>
      <c r="M163" s="53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</row>
    <row r="164" ht="12.75" customHeight="1">
      <c r="A164" s="101"/>
      <c r="B164" s="54"/>
      <c r="C164" s="102"/>
      <c r="D164" s="101"/>
      <c r="E164" s="101"/>
      <c r="F164" s="101"/>
      <c r="G164" s="101"/>
      <c r="H164" s="101"/>
      <c r="I164" s="101"/>
      <c r="J164" s="101"/>
      <c r="K164" s="101"/>
      <c r="L164" s="53"/>
      <c r="M164" s="53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</row>
    <row r="165" ht="12.75" customHeight="1">
      <c r="A165" s="101"/>
      <c r="B165" s="54"/>
      <c r="C165" s="102"/>
      <c r="D165" s="101"/>
      <c r="E165" s="101"/>
      <c r="F165" s="101"/>
      <c r="G165" s="101"/>
      <c r="H165" s="101"/>
      <c r="I165" s="101"/>
      <c r="J165" s="101"/>
      <c r="K165" s="101"/>
      <c r="L165" s="53"/>
      <c r="M165" s="53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</row>
    <row r="166" ht="12.75" customHeight="1">
      <c r="A166" s="101"/>
      <c r="B166" s="54"/>
      <c r="C166" s="102"/>
      <c r="D166" s="101"/>
      <c r="E166" s="101"/>
      <c r="F166" s="101"/>
      <c r="G166" s="101"/>
      <c r="H166" s="101"/>
      <c r="I166" s="101"/>
      <c r="J166" s="101"/>
      <c r="K166" s="101"/>
      <c r="L166" s="53"/>
      <c r="M166" s="53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</row>
    <row r="167" ht="12.75" customHeight="1">
      <c r="A167" s="101"/>
      <c r="B167" s="54"/>
      <c r="C167" s="102"/>
      <c r="D167" s="101"/>
      <c r="E167" s="101"/>
      <c r="F167" s="101"/>
      <c r="G167" s="101"/>
      <c r="H167" s="101"/>
      <c r="I167" s="101"/>
      <c r="J167" s="101"/>
      <c r="K167" s="101"/>
      <c r="L167" s="53"/>
      <c r="M167" s="53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</row>
    <row r="168" ht="12.75" customHeight="1">
      <c r="A168" s="101"/>
      <c r="B168" s="54"/>
      <c r="C168" s="102"/>
      <c r="D168" s="101"/>
      <c r="E168" s="101"/>
      <c r="F168" s="101"/>
      <c r="G168" s="101"/>
      <c r="H168" s="101"/>
      <c r="I168" s="101"/>
      <c r="J168" s="101"/>
      <c r="K168" s="101"/>
      <c r="L168" s="53"/>
      <c r="M168" s="53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</row>
    <row r="169" ht="12.75" customHeight="1">
      <c r="A169" s="101"/>
      <c r="B169" s="54"/>
      <c r="C169" s="102"/>
      <c r="D169" s="101"/>
      <c r="E169" s="101"/>
      <c r="F169" s="101"/>
      <c r="G169" s="101"/>
      <c r="H169" s="101"/>
      <c r="I169" s="101"/>
      <c r="J169" s="101"/>
      <c r="K169" s="101"/>
      <c r="L169" s="53"/>
      <c r="M169" s="53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</row>
    <row r="170" ht="12.75" customHeight="1">
      <c r="A170" s="101"/>
      <c r="B170" s="54"/>
      <c r="C170" s="102"/>
      <c r="D170" s="101"/>
      <c r="E170" s="101"/>
      <c r="F170" s="101"/>
      <c r="G170" s="101"/>
      <c r="H170" s="101"/>
      <c r="I170" s="101"/>
      <c r="J170" s="101"/>
      <c r="K170" s="101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</row>
    <row r="171" ht="12.75" customHeight="1">
      <c r="A171" s="101"/>
      <c r="B171" s="54"/>
      <c r="C171" s="102"/>
      <c r="D171" s="101"/>
      <c r="E171" s="101"/>
      <c r="F171" s="101"/>
      <c r="G171" s="101"/>
      <c r="H171" s="101"/>
      <c r="I171" s="101"/>
      <c r="J171" s="101"/>
      <c r="K171" s="101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</row>
    <row r="172" ht="12.75" customHeight="1">
      <c r="A172" s="101"/>
      <c r="B172" s="54"/>
      <c r="C172" s="102"/>
      <c r="D172" s="101"/>
      <c r="E172" s="101"/>
      <c r="F172" s="101"/>
      <c r="G172" s="101"/>
      <c r="H172" s="101"/>
      <c r="I172" s="101"/>
      <c r="J172" s="101"/>
      <c r="K172" s="101"/>
      <c r="L172" s="53"/>
      <c r="M172" s="53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</row>
    <row r="173" ht="12.75" customHeight="1">
      <c r="A173" s="101"/>
      <c r="B173" s="54"/>
      <c r="C173" s="102"/>
      <c r="D173" s="101"/>
      <c r="E173" s="101"/>
      <c r="F173" s="101"/>
      <c r="G173" s="101"/>
      <c r="H173" s="101"/>
      <c r="I173" s="101"/>
      <c r="J173" s="101"/>
      <c r="K173" s="101"/>
      <c r="L173" s="53"/>
      <c r="M173" s="53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</row>
    <row r="174" ht="12.75" customHeight="1">
      <c r="A174" s="101"/>
      <c r="B174" s="54"/>
      <c r="C174" s="102"/>
      <c r="D174" s="101"/>
      <c r="E174" s="101"/>
      <c r="F174" s="101"/>
      <c r="G174" s="101"/>
      <c r="H174" s="101"/>
      <c r="I174" s="101"/>
      <c r="J174" s="101"/>
      <c r="K174" s="101"/>
      <c r="L174" s="53"/>
      <c r="M174" s="53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</row>
    <row r="175" ht="12.75" customHeight="1">
      <c r="A175" s="101"/>
      <c r="B175" s="54"/>
      <c r="C175" s="102"/>
      <c r="D175" s="101"/>
      <c r="E175" s="101"/>
      <c r="F175" s="101"/>
      <c r="G175" s="101"/>
      <c r="H175" s="101"/>
      <c r="I175" s="101"/>
      <c r="J175" s="101"/>
      <c r="K175" s="101"/>
      <c r="L175" s="53"/>
      <c r="M175" s="53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</row>
    <row r="176" ht="12.75" customHeight="1">
      <c r="A176" s="101"/>
      <c r="B176" s="54"/>
      <c r="C176" s="102"/>
      <c r="D176" s="101"/>
      <c r="E176" s="101"/>
      <c r="F176" s="101"/>
      <c r="G176" s="101"/>
      <c r="H176" s="101"/>
      <c r="I176" s="101"/>
      <c r="J176" s="101"/>
      <c r="K176" s="101"/>
      <c r="L176" s="53"/>
      <c r="M176" s="53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</row>
    <row r="177" ht="12.75" customHeight="1">
      <c r="A177" s="101"/>
      <c r="B177" s="54"/>
      <c r="C177" s="102"/>
      <c r="D177" s="101"/>
      <c r="E177" s="101"/>
      <c r="F177" s="101"/>
      <c r="G177" s="101"/>
      <c r="H177" s="101"/>
      <c r="I177" s="101"/>
      <c r="J177" s="101"/>
      <c r="K177" s="101"/>
      <c r="L177" s="53"/>
      <c r="M177" s="53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</row>
    <row r="178" ht="12.75" customHeight="1">
      <c r="A178" s="101"/>
      <c r="B178" s="54"/>
      <c r="C178" s="102"/>
      <c r="D178" s="101"/>
      <c r="E178" s="101"/>
      <c r="F178" s="101"/>
      <c r="G178" s="101"/>
      <c r="H178" s="101"/>
      <c r="I178" s="101"/>
      <c r="J178" s="101"/>
      <c r="K178" s="101"/>
      <c r="L178" s="53"/>
      <c r="M178" s="53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</row>
    <row r="179" ht="12.75" customHeight="1">
      <c r="A179" s="101"/>
      <c r="B179" s="54"/>
      <c r="C179" s="102"/>
      <c r="D179" s="101"/>
      <c r="E179" s="101"/>
      <c r="F179" s="101"/>
      <c r="G179" s="101"/>
      <c r="H179" s="101"/>
      <c r="I179" s="101"/>
      <c r="J179" s="101"/>
      <c r="K179" s="101"/>
      <c r="L179" s="53"/>
      <c r="M179" s="53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</row>
    <row r="180" ht="12.75" customHeight="1">
      <c r="A180" s="101"/>
      <c r="B180" s="54"/>
      <c r="C180" s="102"/>
      <c r="D180" s="101"/>
      <c r="E180" s="101"/>
      <c r="F180" s="101"/>
      <c r="G180" s="101"/>
      <c r="H180" s="101"/>
      <c r="I180" s="101"/>
      <c r="J180" s="101"/>
      <c r="K180" s="101"/>
      <c r="L180" s="53"/>
      <c r="M180" s="53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</row>
    <row r="181" ht="12.75" customHeight="1">
      <c r="A181" s="101"/>
      <c r="B181" s="54"/>
      <c r="C181" s="102"/>
      <c r="D181" s="101"/>
      <c r="E181" s="101"/>
      <c r="F181" s="101"/>
      <c r="G181" s="101"/>
      <c r="H181" s="101"/>
      <c r="I181" s="101"/>
      <c r="J181" s="101"/>
      <c r="K181" s="101"/>
      <c r="L181" s="53"/>
      <c r="M181" s="53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</row>
    <row r="182" ht="12.75" customHeight="1">
      <c r="A182" s="101"/>
      <c r="B182" s="54"/>
      <c r="C182" s="102"/>
      <c r="D182" s="101"/>
      <c r="E182" s="101"/>
      <c r="F182" s="101"/>
      <c r="G182" s="101"/>
      <c r="H182" s="101"/>
      <c r="I182" s="101"/>
      <c r="J182" s="101"/>
      <c r="K182" s="101"/>
      <c r="L182" s="53"/>
      <c r="M182" s="53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</row>
    <row r="183" ht="12.75" customHeight="1">
      <c r="A183" s="101"/>
      <c r="B183" s="54"/>
      <c r="C183" s="102"/>
      <c r="D183" s="101"/>
      <c r="E183" s="101"/>
      <c r="F183" s="101"/>
      <c r="G183" s="101"/>
      <c r="H183" s="101"/>
      <c r="I183" s="101"/>
      <c r="J183" s="101"/>
      <c r="K183" s="101"/>
      <c r="L183" s="53"/>
      <c r="M183" s="53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</row>
    <row r="184" ht="12.75" customHeight="1">
      <c r="A184" s="101"/>
      <c r="B184" s="54"/>
      <c r="C184" s="102"/>
      <c r="D184" s="101"/>
      <c r="E184" s="101"/>
      <c r="F184" s="101"/>
      <c r="G184" s="101"/>
      <c r="H184" s="101"/>
      <c r="I184" s="101"/>
      <c r="J184" s="101"/>
      <c r="K184" s="101"/>
      <c r="L184" s="53"/>
      <c r="M184" s="53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</row>
    <row r="185" ht="12.75" customHeight="1">
      <c r="A185" s="101"/>
      <c r="B185" s="54"/>
      <c r="C185" s="102"/>
      <c r="D185" s="101"/>
      <c r="E185" s="101"/>
      <c r="F185" s="101"/>
      <c r="G185" s="101"/>
      <c r="H185" s="101"/>
      <c r="I185" s="101"/>
      <c r="J185" s="101"/>
      <c r="K185" s="101"/>
      <c r="L185" s="53"/>
      <c r="M185" s="53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</row>
    <row r="186" ht="12.75" customHeight="1">
      <c r="A186" s="101"/>
      <c r="B186" s="54"/>
      <c r="C186" s="102"/>
      <c r="D186" s="101"/>
      <c r="E186" s="101"/>
      <c r="F186" s="101"/>
      <c r="G186" s="101"/>
      <c r="H186" s="101"/>
      <c r="I186" s="101"/>
      <c r="J186" s="101"/>
      <c r="K186" s="101"/>
      <c r="L186" s="53"/>
      <c r="M186" s="53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</row>
    <row r="187" ht="12.75" customHeight="1">
      <c r="A187" s="101"/>
      <c r="B187" s="54"/>
      <c r="C187" s="102"/>
      <c r="D187" s="101"/>
      <c r="E187" s="101"/>
      <c r="F187" s="101"/>
      <c r="G187" s="101"/>
      <c r="H187" s="101"/>
      <c r="I187" s="101"/>
      <c r="J187" s="101"/>
      <c r="K187" s="101"/>
      <c r="L187" s="53"/>
      <c r="M187" s="53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</row>
    <row r="188" ht="12.75" customHeight="1">
      <c r="A188" s="101"/>
      <c r="B188" s="54"/>
      <c r="C188" s="102"/>
      <c r="D188" s="101"/>
      <c r="E188" s="101"/>
      <c r="F188" s="101"/>
      <c r="G188" s="101"/>
      <c r="H188" s="101"/>
      <c r="I188" s="101"/>
      <c r="J188" s="101"/>
      <c r="K188" s="101"/>
      <c r="L188" s="53"/>
      <c r="M188" s="53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</row>
    <row r="189" ht="12.75" customHeight="1">
      <c r="A189" s="101"/>
      <c r="B189" s="54"/>
      <c r="C189" s="102"/>
      <c r="D189" s="101"/>
      <c r="E189" s="101"/>
      <c r="F189" s="101"/>
      <c r="G189" s="101"/>
      <c r="H189" s="101"/>
      <c r="I189" s="101"/>
      <c r="J189" s="101"/>
      <c r="K189" s="101"/>
      <c r="L189" s="53"/>
      <c r="M189" s="53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</row>
    <row r="190" ht="12.75" customHeight="1">
      <c r="A190" s="101"/>
      <c r="B190" s="54"/>
      <c r="C190" s="102"/>
      <c r="D190" s="101"/>
      <c r="E190" s="101"/>
      <c r="F190" s="101"/>
      <c r="G190" s="101"/>
      <c r="H190" s="101"/>
      <c r="I190" s="101"/>
      <c r="J190" s="101"/>
      <c r="K190" s="101"/>
      <c r="L190" s="53"/>
      <c r="M190" s="53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</row>
    <row r="191" ht="12.75" customHeight="1">
      <c r="A191" s="101"/>
      <c r="B191" s="54"/>
      <c r="C191" s="102"/>
      <c r="D191" s="101"/>
      <c r="E191" s="101"/>
      <c r="F191" s="101"/>
      <c r="G191" s="101"/>
      <c r="H191" s="101"/>
      <c r="I191" s="101"/>
      <c r="J191" s="101"/>
      <c r="K191" s="101"/>
      <c r="L191" s="53"/>
      <c r="M191" s="53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</row>
    <row r="192" ht="12.75" customHeight="1">
      <c r="A192" s="101"/>
      <c r="B192" s="54"/>
      <c r="C192" s="102"/>
      <c r="D192" s="101"/>
      <c r="E192" s="101"/>
      <c r="F192" s="101"/>
      <c r="G192" s="101"/>
      <c r="H192" s="101"/>
      <c r="I192" s="101"/>
      <c r="J192" s="101"/>
      <c r="K192" s="101"/>
      <c r="L192" s="53"/>
      <c r="M192" s="53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</row>
    <row r="193" ht="12.75" customHeight="1">
      <c r="A193" s="101"/>
      <c r="B193" s="54"/>
      <c r="C193" s="102"/>
      <c r="D193" s="101"/>
      <c r="E193" s="101"/>
      <c r="F193" s="101"/>
      <c r="G193" s="101"/>
      <c r="H193" s="101"/>
      <c r="I193" s="101"/>
      <c r="J193" s="101"/>
      <c r="K193" s="101"/>
      <c r="L193" s="53"/>
      <c r="M193" s="53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</row>
    <row r="194" ht="12.75" customHeight="1">
      <c r="A194" s="101"/>
      <c r="B194" s="54"/>
      <c r="C194" s="102"/>
      <c r="D194" s="101"/>
      <c r="E194" s="101"/>
      <c r="F194" s="101"/>
      <c r="G194" s="101"/>
      <c r="H194" s="101"/>
      <c r="I194" s="101"/>
      <c r="J194" s="101"/>
      <c r="K194" s="101"/>
      <c r="L194" s="53"/>
      <c r="M194" s="53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</row>
    <row r="195" ht="12.75" customHeight="1">
      <c r="A195" s="101"/>
      <c r="B195" s="54"/>
      <c r="C195" s="102"/>
      <c r="D195" s="101"/>
      <c r="E195" s="101"/>
      <c r="F195" s="101"/>
      <c r="G195" s="101"/>
      <c r="H195" s="101"/>
      <c r="I195" s="101"/>
      <c r="J195" s="101"/>
      <c r="K195" s="101"/>
      <c r="L195" s="53"/>
      <c r="M195" s="53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</row>
    <row r="196" ht="12.75" customHeight="1">
      <c r="A196" s="101"/>
      <c r="B196" s="54"/>
      <c r="C196" s="102"/>
      <c r="D196" s="101"/>
      <c r="E196" s="101"/>
      <c r="F196" s="101"/>
      <c r="G196" s="101"/>
      <c r="H196" s="101"/>
      <c r="I196" s="101"/>
      <c r="J196" s="101"/>
      <c r="K196" s="101"/>
      <c r="L196" s="53"/>
      <c r="M196" s="53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</row>
    <row r="197" ht="12.75" customHeight="1">
      <c r="A197" s="101"/>
      <c r="B197" s="54"/>
      <c r="C197" s="102"/>
      <c r="D197" s="101"/>
      <c r="E197" s="101"/>
      <c r="F197" s="101"/>
      <c r="G197" s="101"/>
      <c r="H197" s="101"/>
      <c r="I197" s="101"/>
      <c r="J197" s="101"/>
      <c r="K197" s="101"/>
      <c r="L197" s="53"/>
      <c r="M197" s="53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</row>
    <row r="198" ht="12.75" customHeight="1">
      <c r="A198" s="101"/>
      <c r="B198" s="54"/>
      <c r="C198" s="102"/>
      <c r="D198" s="101"/>
      <c r="E198" s="101"/>
      <c r="F198" s="101"/>
      <c r="G198" s="101"/>
      <c r="H198" s="101"/>
      <c r="I198" s="101"/>
      <c r="J198" s="101"/>
      <c r="K198" s="101"/>
      <c r="L198" s="53"/>
      <c r="M198" s="53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</row>
    <row r="199" ht="12.75" customHeight="1">
      <c r="A199" s="101"/>
      <c r="B199" s="54"/>
      <c r="C199" s="102"/>
      <c r="D199" s="101"/>
      <c r="E199" s="101"/>
      <c r="F199" s="101"/>
      <c r="G199" s="101"/>
      <c r="H199" s="101"/>
      <c r="I199" s="101"/>
      <c r="J199" s="101"/>
      <c r="K199" s="101"/>
      <c r="L199" s="53"/>
      <c r="M199" s="53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</row>
    <row r="200" ht="12.75" customHeight="1">
      <c r="A200" s="101"/>
      <c r="B200" s="54"/>
      <c r="C200" s="102"/>
      <c r="D200" s="101"/>
      <c r="E200" s="101"/>
      <c r="F200" s="101"/>
      <c r="G200" s="101"/>
      <c r="H200" s="101"/>
      <c r="I200" s="101"/>
      <c r="J200" s="101"/>
      <c r="K200" s="101"/>
      <c r="L200" s="53"/>
      <c r="M200" s="53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</row>
    <row r="201" ht="12.75" customHeight="1">
      <c r="A201" s="101"/>
      <c r="B201" s="54"/>
      <c r="C201" s="102"/>
      <c r="D201" s="101"/>
      <c r="E201" s="101"/>
      <c r="F201" s="101"/>
      <c r="G201" s="101"/>
      <c r="H201" s="101"/>
      <c r="I201" s="101"/>
      <c r="J201" s="101"/>
      <c r="K201" s="101"/>
      <c r="L201" s="53"/>
      <c r="M201" s="53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</row>
    <row r="202" ht="12.75" customHeight="1">
      <c r="A202" s="101"/>
      <c r="B202" s="54"/>
      <c r="C202" s="102"/>
      <c r="D202" s="101"/>
      <c r="E202" s="101"/>
      <c r="F202" s="101"/>
      <c r="G202" s="101"/>
      <c r="H202" s="101"/>
      <c r="I202" s="101"/>
      <c r="J202" s="101"/>
      <c r="K202" s="101"/>
      <c r="L202" s="53"/>
      <c r="M202" s="53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</row>
    <row r="203" ht="12.75" customHeight="1">
      <c r="A203" s="101"/>
      <c r="B203" s="54"/>
      <c r="C203" s="102"/>
      <c r="D203" s="101"/>
      <c r="E203" s="101"/>
      <c r="F203" s="101"/>
      <c r="G203" s="101"/>
      <c r="H203" s="101"/>
      <c r="I203" s="101"/>
      <c r="J203" s="101"/>
      <c r="K203" s="101"/>
      <c r="L203" s="53"/>
      <c r="M203" s="53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</row>
    <row r="204" ht="12.75" customHeight="1">
      <c r="A204" s="101"/>
      <c r="B204" s="54"/>
      <c r="C204" s="102"/>
      <c r="D204" s="101"/>
      <c r="E204" s="101"/>
      <c r="F204" s="101"/>
      <c r="G204" s="101"/>
      <c r="H204" s="101"/>
      <c r="I204" s="101"/>
      <c r="J204" s="101"/>
      <c r="K204" s="101"/>
      <c r="L204" s="53"/>
      <c r="M204" s="53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</row>
    <row r="205" ht="12.75" customHeight="1">
      <c r="A205" s="101"/>
      <c r="B205" s="54"/>
      <c r="C205" s="102"/>
      <c r="D205" s="101"/>
      <c r="E205" s="101"/>
      <c r="F205" s="101"/>
      <c r="G205" s="101"/>
      <c r="H205" s="101"/>
      <c r="I205" s="101"/>
      <c r="J205" s="101"/>
      <c r="K205" s="101"/>
      <c r="L205" s="53"/>
      <c r="M205" s="53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</row>
    <row r="206" ht="12.75" customHeight="1">
      <c r="A206" s="101"/>
      <c r="B206" s="54"/>
      <c r="C206" s="102"/>
      <c r="D206" s="101"/>
      <c r="E206" s="101"/>
      <c r="F206" s="101"/>
      <c r="G206" s="101"/>
      <c r="H206" s="101"/>
      <c r="I206" s="101"/>
      <c r="J206" s="101"/>
      <c r="K206" s="101"/>
      <c r="L206" s="53"/>
      <c r="M206" s="53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</row>
    <row r="207" ht="12.75" customHeight="1">
      <c r="A207" s="101"/>
      <c r="B207" s="54"/>
      <c r="C207" s="102"/>
      <c r="D207" s="101"/>
      <c r="E207" s="101"/>
      <c r="F207" s="101"/>
      <c r="G207" s="101"/>
      <c r="H207" s="101"/>
      <c r="I207" s="101"/>
      <c r="J207" s="101"/>
      <c r="K207" s="101"/>
      <c r="L207" s="53"/>
      <c r="M207" s="53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</row>
    <row r="208" ht="12.75" customHeight="1">
      <c r="A208" s="101"/>
      <c r="B208" s="54"/>
      <c r="C208" s="102"/>
      <c r="D208" s="101"/>
      <c r="E208" s="101"/>
      <c r="F208" s="101"/>
      <c r="G208" s="101"/>
      <c r="H208" s="101"/>
      <c r="I208" s="101"/>
      <c r="J208" s="101"/>
      <c r="K208" s="101"/>
      <c r="L208" s="53"/>
      <c r="M208" s="53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</row>
    <row r="209" ht="12.75" customHeight="1">
      <c r="A209" s="101"/>
      <c r="B209" s="54"/>
      <c r="C209" s="102"/>
      <c r="D209" s="101"/>
      <c r="E209" s="101"/>
      <c r="F209" s="101"/>
      <c r="G209" s="101"/>
      <c r="H209" s="101"/>
      <c r="I209" s="101"/>
      <c r="J209" s="101"/>
      <c r="K209" s="101"/>
      <c r="L209" s="53"/>
      <c r="M209" s="53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</row>
    <row r="210" ht="12.75" customHeight="1">
      <c r="A210" s="101"/>
      <c r="B210" s="54"/>
      <c r="C210" s="102"/>
      <c r="D210" s="101"/>
      <c r="E210" s="101"/>
      <c r="F210" s="101"/>
      <c r="G210" s="101"/>
      <c r="H210" s="101"/>
      <c r="I210" s="101"/>
      <c r="J210" s="101"/>
      <c r="K210" s="101"/>
      <c r="L210" s="53"/>
      <c r="M210" s="53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</row>
    <row r="211" ht="12.75" customHeight="1">
      <c r="A211" s="101"/>
      <c r="B211" s="54"/>
      <c r="C211" s="102"/>
      <c r="D211" s="101"/>
      <c r="E211" s="101"/>
      <c r="F211" s="101"/>
      <c r="G211" s="101"/>
      <c r="H211" s="101"/>
      <c r="I211" s="101"/>
      <c r="J211" s="101"/>
      <c r="K211" s="101"/>
      <c r="L211" s="53"/>
      <c r="M211" s="53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</row>
    <row r="212" ht="12.75" customHeight="1">
      <c r="A212" s="101"/>
      <c r="B212" s="54"/>
      <c r="C212" s="102"/>
      <c r="D212" s="101"/>
      <c r="E212" s="101"/>
      <c r="F212" s="101"/>
      <c r="G212" s="101"/>
      <c r="H212" s="101"/>
      <c r="I212" s="101"/>
      <c r="J212" s="101"/>
      <c r="K212" s="101"/>
      <c r="L212" s="53"/>
      <c r="M212" s="53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</row>
    <row r="213" ht="12.75" customHeight="1">
      <c r="A213" s="101"/>
      <c r="B213" s="54"/>
      <c r="C213" s="102"/>
      <c r="D213" s="101"/>
      <c r="E213" s="101"/>
      <c r="F213" s="101"/>
      <c r="G213" s="101"/>
      <c r="H213" s="101"/>
      <c r="I213" s="101"/>
      <c r="J213" s="101"/>
      <c r="K213" s="101"/>
      <c r="L213" s="53"/>
      <c r="M213" s="53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</row>
    <row r="214" ht="12.75" customHeight="1">
      <c r="A214" s="101"/>
      <c r="B214" s="54"/>
      <c r="C214" s="102"/>
      <c r="D214" s="101"/>
      <c r="E214" s="101"/>
      <c r="F214" s="101"/>
      <c r="G214" s="101"/>
      <c r="H214" s="101"/>
      <c r="I214" s="101"/>
      <c r="J214" s="101"/>
      <c r="K214" s="101"/>
      <c r="L214" s="53"/>
      <c r="M214" s="53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</row>
    <row r="215" ht="12.75" customHeight="1">
      <c r="A215" s="101"/>
      <c r="B215" s="54"/>
      <c r="C215" s="102"/>
      <c r="D215" s="101"/>
      <c r="E215" s="101"/>
      <c r="F215" s="101"/>
      <c r="G215" s="101"/>
      <c r="H215" s="101"/>
      <c r="I215" s="101"/>
      <c r="J215" s="101"/>
      <c r="K215" s="101"/>
      <c r="L215" s="53"/>
      <c r="M215" s="53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</row>
    <row r="216" ht="12.75" customHeight="1">
      <c r="A216" s="101"/>
      <c r="B216" s="54"/>
      <c r="C216" s="102"/>
      <c r="D216" s="101"/>
      <c r="E216" s="101"/>
      <c r="F216" s="101"/>
      <c r="G216" s="101"/>
      <c r="H216" s="101"/>
      <c r="I216" s="101"/>
      <c r="J216" s="101"/>
      <c r="K216" s="101"/>
      <c r="L216" s="53"/>
      <c r="M216" s="53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</row>
    <row r="217" ht="12.75" customHeight="1">
      <c r="A217" s="101"/>
      <c r="B217" s="54"/>
      <c r="C217" s="102"/>
      <c r="D217" s="101"/>
      <c r="E217" s="101"/>
      <c r="F217" s="101"/>
      <c r="G217" s="101"/>
      <c r="H217" s="101"/>
      <c r="I217" s="101"/>
      <c r="J217" s="101"/>
      <c r="K217" s="101"/>
      <c r="L217" s="53"/>
      <c r="M217" s="53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</row>
    <row r="218" ht="12.75" customHeight="1">
      <c r="A218" s="101"/>
      <c r="B218" s="54"/>
      <c r="C218" s="102"/>
      <c r="D218" s="101"/>
      <c r="E218" s="101"/>
      <c r="F218" s="101"/>
      <c r="G218" s="101"/>
      <c r="H218" s="101"/>
      <c r="I218" s="101"/>
      <c r="J218" s="101"/>
      <c r="K218" s="101"/>
      <c r="L218" s="53"/>
      <c r="M218" s="53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</row>
    <row r="219" ht="12.75" customHeight="1">
      <c r="A219" s="101"/>
      <c r="B219" s="54"/>
      <c r="C219" s="102"/>
      <c r="D219" s="101"/>
      <c r="E219" s="101"/>
      <c r="F219" s="101"/>
      <c r="G219" s="101"/>
      <c r="H219" s="101"/>
      <c r="I219" s="101"/>
      <c r="J219" s="101"/>
      <c r="K219" s="101"/>
      <c r="L219" s="53"/>
      <c r="M219" s="53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</row>
    <row r="220" ht="12.75" customHeight="1">
      <c r="A220" s="101"/>
      <c r="B220" s="54"/>
      <c r="C220" s="102"/>
      <c r="D220" s="101"/>
      <c r="E220" s="101"/>
      <c r="F220" s="101"/>
      <c r="G220" s="101"/>
      <c r="H220" s="101"/>
      <c r="I220" s="101"/>
      <c r="J220" s="101"/>
      <c r="K220" s="101"/>
      <c r="L220" s="53"/>
      <c r="M220" s="53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</row>
    <row r="221" ht="12.75" customHeight="1">
      <c r="A221" s="101"/>
      <c r="B221" s="54"/>
      <c r="C221" s="102"/>
      <c r="D221" s="101"/>
      <c r="E221" s="101"/>
      <c r="F221" s="101"/>
      <c r="G221" s="101"/>
      <c r="H221" s="101"/>
      <c r="I221" s="101"/>
      <c r="J221" s="101"/>
      <c r="K221" s="101"/>
      <c r="L221" s="53"/>
      <c r="M221" s="53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</row>
    <row r="222" ht="12.75" customHeight="1">
      <c r="A222" s="101"/>
      <c r="B222" s="54"/>
      <c r="C222" s="102"/>
      <c r="D222" s="101"/>
      <c r="E222" s="101"/>
      <c r="F222" s="101"/>
      <c r="G222" s="101"/>
      <c r="H222" s="101"/>
      <c r="I222" s="101"/>
      <c r="J222" s="101"/>
      <c r="K222" s="101"/>
      <c r="L222" s="53"/>
      <c r="M222" s="53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</row>
    <row r="223" ht="12.75" customHeight="1">
      <c r="A223" s="101"/>
      <c r="B223" s="54"/>
      <c r="C223" s="102"/>
      <c r="D223" s="101"/>
      <c r="E223" s="101"/>
      <c r="F223" s="101"/>
      <c r="G223" s="101"/>
      <c r="H223" s="101"/>
      <c r="I223" s="101"/>
      <c r="J223" s="101"/>
      <c r="K223" s="101"/>
      <c r="L223" s="53"/>
      <c r="M223" s="53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</row>
    <row r="224" ht="12.75" customHeight="1">
      <c r="A224" s="101"/>
      <c r="B224" s="54"/>
      <c r="C224" s="102"/>
      <c r="D224" s="101"/>
      <c r="E224" s="101"/>
      <c r="F224" s="101"/>
      <c r="G224" s="101"/>
      <c r="H224" s="101"/>
      <c r="I224" s="101"/>
      <c r="J224" s="101"/>
      <c r="K224" s="101"/>
      <c r="L224" s="53"/>
      <c r="M224" s="53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</row>
    <row r="225" ht="12.75" customHeight="1">
      <c r="A225" s="101"/>
      <c r="B225" s="54"/>
      <c r="C225" s="102"/>
      <c r="D225" s="101"/>
      <c r="E225" s="101"/>
      <c r="F225" s="101"/>
      <c r="G225" s="101"/>
      <c r="H225" s="101"/>
      <c r="I225" s="101"/>
      <c r="J225" s="101"/>
      <c r="K225" s="101"/>
      <c r="L225" s="53"/>
      <c r="M225" s="53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</row>
    <row r="226" ht="12.75" customHeight="1">
      <c r="A226" s="101"/>
      <c r="B226" s="54"/>
      <c r="C226" s="102"/>
      <c r="D226" s="101"/>
      <c r="E226" s="101"/>
      <c r="F226" s="101"/>
      <c r="G226" s="101"/>
      <c r="H226" s="101"/>
      <c r="I226" s="101"/>
      <c r="J226" s="101"/>
      <c r="K226" s="101"/>
      <c r="L226" s="53"/>
      <c r="M226" s="53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</row>
    <row r="227" ht="12.75" customHeight="1">
      <c r="A227" s="101"/>
      <c r="B227" s="54"/>
      <c r="C227" s="102"/>
      <c r="D227" s="101"/>
      <c r="E227" s="101"/>
      <c r="F227" s="101"/>
      <c r="G227" s="101"/>
      <c r="H227" s="101"/>
      <c r="I227" s="101"/>
      <c r="J227" s="101"/>
      <c r="K227" s="101"/>
      <c r="L227" s="53"/>
      <c r="M227" s="53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</row>
    <row r="228" ht="12.75" customHeight="1">
      <c r="A228" s="101"/>
      <c r="B228" s="54"/>
      <c r="C228" s="102"/>
      <c r="D228" s="101"/>
      <c r="E228" s="101"/>
      <c r="F228" s="101"/>
      <c r="G228" s="101"/>
      <c r="H228" s="101"/>
      <c r="I228" s="101"/>
      <c r="J228" s="101"/>
      <c r="K228" s="101"/>
      <c r="L228" s="53"/>
      <c r="M228" s="53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</row>
    <row r="229" ht="12.75" customHeight="1">
      <c r="A229" s="101"/>
      <c r="B229" s="54"/>
      <c r="C229" s="102"/>
      <c r="D229" s="101"/>
      <c r="E229" s="101"/>
      <c r="F229" s="101"/>
      <c r="G229" s="101"/>
      <c r="H229" s="101"/>
      <c r="I229" s="101"/>
      <c r="J229" s="101"/>
      <c r="K229" s="101"/>
      <c r="L229" s="53"/>
      <c r="M229" s="53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</row>
    <row r="230" ht="12.75" customHeight="1">
      <c r="A230" s="101"/>
      <c r="B230" s="54"/>
      <c r="C230" s="102"/>
      <c r="D230" s="101"/>
      <c r="E230" s="101"/>
      <c r="F230" s="101"/>
      <c r="G230" s="101"/>
      <c r="H230" s="101"/>
      <c r="I230" s="101"/>
      <c r="J230" s="101"/>
      <c r="K230" s="101"/>
      <c r="L230" s="53"/>
      <c r="M230" s="53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</row>
    <row r="231" ht="12.75" customHeight="1">
      <c r="A231" s="101"/>
      <c r="B231" s="54"/>
      <c r="C231" s="102"/>
      <c r="D231" s="101"/>
      <c r="E231" s="101"/>
      <c r="F231" s="101"/>
      <c r="G231" s="101"/>
      <c r="H231" s="101"/>
      <c r="I231" s="101"/>
      <c r="J231" s="101"/>
      <c r="K231" s="101"/>
      <c r="L231" s="53"/>
      <c r="M231" s="53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</row>
    <row r="232" ht="12.75" customHeight="1">
      <c r="A232" s="101"/>
      <c r="B232" s="54"/>
      <c r="C232" s="102"/>
      <c r="D232" s="101"/>
      <c r="E232" s="101"/>
      <c r="F232" s="101"/>
      <c r="G232" s="101"/>
      <c r="H232" s="101"/>
      <c r="I232" s="101"/>
      <c r="J232" s="101"/>
      <c r="K232" s="101"/>
      <c r="L232" s="53"/>
      <c r="M232" s="53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</row>
    <row r="233" ht="12.75" customHeight="1">
      <c r="A233" s="101"/>
      <c r="B233" s="54"/>
      <c r="C233" s="102"/>
      <c r="D233" s="101"/>
      <c r="E233" s="101"/>
      <c r="F233" s="101"/>
      <c r="G233" s="101"/>
      <c r="H233" s="101"/>
      <c r="I233" s="101"/>
      <c r="J233" s="101"/>
      <c r="K233" s="101"/>
      <c r="L233" s="53"/>
      <c r="M233" s="53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</row>
    <row r="234" ht="12.75" customHeight="1">
      <c r="A234" s="101"/>
      <c r="B234" s="54"/>
      <c r="C234" s="102"/>
      <c r="D234" s="101"/>
      <c r="E234" s="101"/>
      <c r="F234" s="101"/>
      <c r="G234" s="101"/>
      <c r="H234" s="101"/>
      <c r="I234" s="101"/>
      <c r="J234" s="101"/>
      <c r="K234" s="101"/>
      <c r="L234" s="53"/>
      <c r="M234" s="53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</row>
    <row r="235" ht="12.75" customHeight="1">
      <c r="A235" s="101"/>
      <c r="B235" s="54"/>
      <c r="C235" s="102"/>
      <c r="D235" s="101"/>
      <c r="E235" s="101"/>
      <c r="F235" s="101"/>
      <c r="G235" s="101"/>
      <c r="H235" s="101"/>
      <c r="I235" s="101"/>
      <c r="J235" s="101"/>
      <c r="K235" s="101"/>
      <c r="L235" s="53"/>
      <c r="M235" s="53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</row>
    <row r="236" ht="12.75" customHeight="1">
      <c r="A236" s="101"/>
      <c r="B236" s="54"/>
      <c r="C236" s="102"/>
      <c r="D236" s="101"/>
      <c r="E236" s="101"/>
      <c r="F236" s="101"/>
      <c r="G236" s="101"/>
      <c r="H236" s="101"/>
      <c r="I236" s="101"/>
      <c r="J236" s="101"/>
      <c r="K236" s="101"/>
      <c r="L236" s="53"/>
      <c r="M236" s="53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</row>
    <row r="237" ht="12.75" customHeight="1">
      <c r="A237" s="101"/>
      <c r="B237" s="54"/>
      <c r="C237" s="102"/>
      <c r="D237" s="101"/>
      <c r="E237" s="101"/>
      <c r="F237" s="101"/>
      <c r="G237" s="101"/>
      <c r="H237" s="101"/>
      <c r="I237" s="101"/>
      <c r="J237" s="101"/>
      <c r="K237" s="101"/>
      <c r="L237" s="53"/>
      <c r="M237" s="53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</row>
    <row r="238" ht="12.75" customHeight="1">
      <c r="A238" s="101"/>
      <c r="B238" s="54"/>
      <c r="C238" s="102"/>
      <c r="D238" s="101"/>
      <c r="E238" s="101"/>
      <c r="F238" s="101"/>
      <c r="G238" s="101"/>
      <c r="H238" s="101"/>
      <c r="I238" s="101"/>
      <c r="J238" s="101"/>
      <c r="K238" s="101"/>
      <c r="L238" s="53"/>
      <c r="M238" s="53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</row>
    <row r="239" ht="12.75" customHeight="1">
      <c r="A239" s="101"/>
      <c r="B239" s="54"/>
      <c r="C239" s="102"/>
      <c r="D239" s="101"/>
      <c r="E239" s="101"/>
      <c r="F239" s="101"/>
      <c r="G239" s="101"/>
      <c r="H239" s="101"/>
      <c r="I239" s="101"/>
      <c r="J239" s="101"/>
      <c r="K239" s="101"/>
      <c r="L239" s="53"/>
      <c r="M239" s="53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</row>
    <row r="240" ht="12.75" customHeight="1">
      <c r="A240" s="101"/>
      <c r="B240" s="54"/>
      <c r="C240" s="102"/>
      <c r="D240" s="101"/>
      <c r="E240" s="101"/>
      <c r="F240" s="101"/>
      <c r="G240" s="101"/>
      <c r="H240" s="101"/>
      <c r="I240" s="101"/>
      <c r="J240" s="101"/>
      <c r="K240" s="101"/>
      <c r="L240" s="53"/>
      <c r="M240" s="53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</row>
    <row r="241" ht="12.75" customHeight="1">
      <c r="A241" s="101"/>
      <c r="B241" s="54"/>
      <c r="C241" s="102"/>
      <c r="D241" s="101"/>
      <c r="E241" s="101"/>
      <c r="F241" s="101"/>
      <c r="G241" s="101"/>
      <c r="H241" s="101"/>
      <c r="I241" s="101"/>
      <c r="J241" s="101"/>
      <c r="K241" s="101"/>
      <c r="L241" s="53"/>
      <c r="M241" s="53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</row>
    <row r="242" ht="12.75" customHeight="1">
      <c r="A242" s="101"/>
      <c r="B242" s="54"/>
      <c r="C242" s="102"/>
      <c r="D242" s="101"/>
      <c r="E242" s="101"/>
      <c r="F242" s="101"/>
      <c r="G242" s="101"/>
      <c r="H242" s="101"/>
      <c r="I242" s="101"/>
      <c r="J242" s="101"/>
      <c r="K242" s="101"/>
      <c r="L242" s="53"/>
      <c r="M242" s="53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</row>
    <row r="243" ht="12.75" customHeight="1">
      <c r="A243" s="101"/>
      <c r="B243" s="54"/>
      <c r="C243" s="102"/>
      <c r="D243" s="101"/>
      <c r="E243" s="101"/>
      <c r="F243" s="101"/>
      <c r="G243" s="101"/>
      <c r="H243" s="101"/>
      <c r="I243" s="101"/>
      <c r="J243" s="101"/>
      <c r="K243" s="101"/>
      <c r="L243" s="53"/>
      <c r="M243" s="53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</row>
    <row r="244" ht="12.75" customHeight="1">
      <c r="A244" s="101"/>
      <c r="B244" s="54"/>
      <c r="C244" s="102"/>
      <c r="D244" s="101"/>
      <c r="E244" s="101"/>
      <c r="F244" s="101"/>
      <c r="G244" s="101"/>
      <c r="H244" s="101"/>
      <c r="I244" s="101"/>
      <c r="J244" s="101"/>
      <c r="K244" s="101"/>
      <c r="L244" s="53"/>
      <c r="M244" s="53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</row>
    <row r="245" ht="12.75" customHeight="1">
      <c r="A245" s="101"/>
      <c r="B245" s="54"/>
      <c r="C245" s="102"/>
      <c r="D245" s="101"/>
      <c r="E245" s="101"/>
      <c r="F245" s="101"/>
      <c r="G245" s="101"/>
      <c r="H245" s="101"/>
      <c r="I245" s="101"/>
      <c r="J245" s="101"/>
      <c r="K245" s="101"/>
      <c r="L245" s="53"/>
      <c r="M245" s="53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</row>
    <row r="246" ht="12.75" customHeight="1">
      <c r="A246" s="101"/>
      <c r="B246" s="54"/>
      <c r="C246" s="102"/>
      <c r="D246" s="101"/>
      <c r="E246" s="101"/>
      <c r="F246" s="101"/>
      <c r="G246" s="101"/>
      <c r="H246" s="101"/>
      <c r="I246" s="101"/>
      <c r="J246" s="101"/>
      <c r="K246" s="101"/>
      <c r="L246" s="53"/>
      <c r="M246" s="53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</row>
    <row r="247" ht="12.75" customHeight="1">
      <c r="A247" s="101"/>
      <c r="B247" s="54"/>
      <c r="C247" s="102"/>
      <c r="D247" s="101"/>
      <c r="E247" s="101"/>
      <c r="F247" s="101"/>
      <c r="G247" s="101"/>
      <c r="H247" s="101"/>
      <c r="I247" s="101"/>
      <c r="J247" s="101"/>
      <c r="K247" s="101"/>
      <c r="L247" s="53"/>
      <c r="M247" s="53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</row>
    <row r="248" ht="12.75" customHeight="1">
      <c r="A248" s="101"/>
      <c r="B248" s="54"/>
      <c r="C248" s="102"/>
      <c r="D248" s="101"/>
      <c r="E248" s="101"/>
      <c r="F248" s="101"/>
      <c r="G248" s="101"/>
      <c r="H248" s="101"/>
      <c r="I248" s="101"/>
      <c r="J248" s="101"/>
      <c r="K248" s="101"/>
      <c r="L248" s="53"/>
      <c r="M248" s="53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</row>
    <row r="249" ht="12.75" customHeight="1">
      <c r="A249" s="101"/>
      <c r="B249" s="54"/>
      <c r="C249" s="102"/>
      <c r="D249" s="101"/>
      <c r="E249" s="101"/>
      <c r="F249" s="101"/>
      <c r="G249" s="101"/>
      <c r="H249" s="101"/>
      <c r="I249" s="101"/>
      <c r="J249" s="101"/>
      <c r="K249" s="101"/>
      <c r="L249" s="53"/>
      <c r="M249" s="53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</row>
    <row r="250" ht="12.75" customHeight="1">
      <c r="A250" s="101"/>
      <c r="B250" s="54"/>
      <c r="C250" s="102"/>
      <c r="D250" s="101"/>
      <c r="E250" s="101"/>
      <c r="F250" s="101"/>
      <c r="G250" s="101"/>
      <c r="H250" s="101"/>
      <c r="I250" s="101"/>
      <c r="J250" s="101"/>
      <c r="K250" s="101"/>
      <c r="L250" s="53"/>
      <c r="M250" s="53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</row>
    <row r="251" ht="12.75" customHeight="1">
      <c r="A251" s="101"/>
      <c r="B251" s="54"/>
      <c r="C251" s="102"/>
      <c r="D251" s="101"/>
      <c r="E251" s="101"/>
      <c r="F251" s="101"/>
      <c r="G251" s="101"/>
      <c r="H251" s="101"/>
      <c r="I251" s="101"/>
      <c r="J251" s="101"/>
      <c r="K251" s="101"/>
      <c r="L251" s="53"/>
      <c r="M251" s="53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</row>
    <row r="252" ht="12.75" customHeight="1">
      <c r="A252" s="101"/>
      <c r="B252" s="54"/>
      <c r="C252" s="102"/>
      <c r="D252" s="101"/>
      <c r="E252" s="101"/>
      <c r="F252" s="101"/>
      <c r="G252" s="101"/>
      <c r="H252" s="101"/>
      <c r="I252" s="101"/>
      <c r="J252" s="101"/>
      <c r="K252" s="101"/>
      <c r="L252" s="53"/>
      <c r="M252" s="53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</row>
    <row r="253" ht="12.75" customHeight="1">
      <c r="A253" s="101"/>
      <c r="B253" s="54"/>
      <c r="C253" s="102"/>
      <c r="D253" s="101"/>
      <c r="E253" s="101"/>
      <c r="F253" s="101"/>
      <c r="G253" s="101"/>
      <c r="H253" s="101"/>
      <c r="I253" s="101"/>
      <c r="J253" s="101"/>
      <c r="K253" s="101"/>
      <c r="L253" s="53"/>
      <c r="M253" s="53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</row>
    <row r="254" ht="12.75" customHeight="1">
      <c r="A254" s="101"/>
      <c r="B254" s="54"/>
      <c r="C254" s="102"/>
      <c r="D254" s="101"/>
      <c r="E254" s="101"/>
      <c r="F254" s="101"/>
      <c r="G254" s="101"/>
      <c r="H254" s="101"/>
      <c r="I254" s="101"/>
      <c r="J254" s="101"/>
      <c r="K254" s="101"/>
      <c r="L254" s="53"/>
      <c r="M254" s="53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</row>
    <row r="255" ht="12.75" customHeight="1">
      <c r="A255" s="101"/>
      <c r="B255" s="54"/>
      <c r="C255" s="102"/>
      <c r="D255" s="101"/>
      <c r="E255" s="101"/>
      <c r="F255" s="101"/>
      <c r="G255" s="101"/>
      <c r="H255" s="101"/>
      <c r="I255" s="101"/>
      <c r="J255" s="101"/>
      <c r="K255" s="101"/>
      <c r="L255" s="53"/>
      <c r="M255" s="53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</row>
    <row r="256" ht="12.75" customHeight="1">
      <c r="A256" s="101"/>
      <c r="B256" s="54"/>
      <c r="C256" s="102"/>
      <c r="D256" s="101"/>
      <c r="E256" s="101"/>
      <c r="F256" s="101"/>
      <c r="G256" s="101"/>
      <c r="H256" s="101"/>
      <c r="I256" s="101"/>
      <c r="J256" s="101"/>
      <c r="K256" s="101"/>
      <c r="L256" s="53"/>
      <c r="M256" s="53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</row>
    <row r="257" ht="12.75" customHeight="1">
      <c r="A257" s="101"/>
      <c r="B257" s="54"/>
      <c r="C257" s="102"/>
      <c r="D257" s="101"/>
      <c r="E257" s="101"/>
      <c r="F257" s="101"/>
      <c r="G257" s="101"/>
      <c r="H257" s="101"/>
      <c r="I257" s="101"/>
      <c r="J257" s="101"/>
      <c r="K257" s="101"/>
      <c r="L257" s="53"/>
      <c r="M257" s="53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</row>
    <row r="258" ht="12.75" customHeight="1">
      <c r="A258" s="101"/>
      <c r="B258" s="54"/>
      <c r="C258" s="102"/>
      <c r="D258" s="101"/>
      <c r="E258" s="101"/>
      <c r="F258" s="101"/>
      <c r="G258" s="101"/>
      <c r="H258" s="101"/>
      <c r="I258" s="101"/>
      <c r="J258" s="101"/>
      <c r="K258" s="101"/>
      <c r="L258" s="53"/>
      <c r="M258" s="53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</row>
    <row r="259" ht="12.75" customHeight="1">
      <c r="A259" s="101"/>
      <c r="B259" s="54"/>
      <c r="C259" s="102"/>
      <c r="D259" s="101"/>
      <c r="E259" s="101"/>
      <c r="F259" s="101"/>
      <c r="G259" s="101"/>
      <c r="H259" s="101"/>
      <c r="I259" s="101"/>
      <c r="J259" s="101"/>
      <c r="K259" s="101"/>
      <c r="L259" s="53"/>
      <c r="M259" s="53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</row>
    <row r="260" ht="12.75" customHeight="1">
      <c r="A260" s="101"/>
      <c r="B260" s="54"/>
      <c r="C260" s="102"/>
      <c r="D260" s="101"/>
      <c r="E260" s="101"/>
      <c r="F260" s="101"/>
      <c r="G260" s="101"/>
      <c r="H260" s="101"/>
      <c r="I260" s="101"/>
      <c r="J260" s="101"/>
      <c r="K260" s="101"/>
      <c r="L260" s="53"/>
      <c r="M260" s="53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</row>
    <row r="261" ht="12.75" customHeight="1">
      <c r="A261" s="101"/>
      <c r="B261" s="54"/>
      <c r="C261" s="102"/>
      <c r="D261" s="101"/>
      <c r="E261" s="101"/>
      <c r="F261" s="101"/>
      <c r="G261" s="101"/>
      <c r="H261" s="101"/>
      <c r="I261" s="101"/>
      <c r="J261" s="101"/>
      <c r="K261" s="101"/>
      <c r="L261" s="53"/>
      <c r="M261" s="53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</row>
    <row r="262" ht="12.75" customHeight="1">
      <c r="A262" s="101"/>
      <c r="B262" s="54"/>
      <c r="C262" s="102"/>
      <c r="D262" s="101"/>
      <c r="E262" s="101"/>
      <c r="F262" s="101"/>
      <c r="G262" s="101"/>
      <c r="H262" s="101"/>
      <c r="I262" s="101"/>
      <c r="J262" s="101"/>
      <c r="K262" s="101"/>
      <c r="L262" s="53"/>
      <c r="M262" s="53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</row>
    <row r="263" ht="12.75" customHeight="1">
      <c r="A263" s="101"/>
      <c r="B263" s="54"/>
      <c r="C263" s="102"/>
      <c r="D263" s="101"/>
      <c r="E263" s="101"/>
      <c r="F263" s="101"/>
      <c r="G263" s="101"/>
      <c r="H263" s="101"/>
      <c r="I263" s="101"/>
      <c r="J263" s="101"/>
      <c r="K263" s="101"/>
      <c r="L263" s="53"/>
      <c r="M263" s="53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</row>
    <row r="264" ht="12.75" customHeight="1">
      <c r="A264" s="101"/>
      <c r="B264" s="54"/>
      <c r="C264" s="102"/>
      <c r="D264" s="101"/>
      <c r="E264" s="101"/>
      <c r="F264" s="101"/>
      <c r="G264" s="101"/>
      <c r="H264" s="101"/>
      <c r="I264" s="101"/>
      <c r="J264" s="101"/>
      <c r="K264" s="101"/>
      <c r="L264" s="53"/>
      <c r="M264" s="53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</row>
    <row r="265" ht="12.75" customHeight="1">
      <c r="A265" s="101"/>
      <c r="B265" s="54"/>
      <c r="C265" s="102"/>
      <c r="D265" s="101"/>
      <c r="E265" s="101"/>
      <c r="F265" s="101"/>
      <c r="G265" s="101"/>
      <c r="H265" s="101"/>
      <c r="I265" s="101"/>
      <c r="J265" s="101"/>
      <c r="K265" s="101"/>
      <c r="L265" s="53"/>
      <c r="M265" s="53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</row>
    <row r="266" ht="12.75" customHeight="1">
      <c r="A266" s="101"/>
      <c r="B266" s="54"/>
      <c r="C266" s="102"/>
      <c r="D266" s="101"/>
      <c r="E266" s="101"/>
      <c r="F266" s="101"/>
      <c r="G266" s="101"/>
      <c r="H266" s="101"/>
      <c r="I266" s="101"/>
      <c r="J266" s="101"/>
      <c r="K266" s="101"/>
      <c r="L266" s="53"/>
      <c r="M266" s="53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</row>
    <row r="267" ht="12.75" customHeight="1">
      <c r="A267" s="101"/>
      <c r="B267" s="54"/>
      <c r="C267" s="102"/>
      <c r="D267" s="101"/>
      <c r="E267" s="101"/>
      <c r="F267" s="101"/>
      <c r="G267" s="101"/>
      <c r="H267" s="101"/>
      <c r="I267" s="101"/>
      <c r="J267" s="101"/>
      <c r="K267" s="101"/>
      <c r="L267" s="53"/>
      <c r="M267" s="53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</row>
    <row r="268" ht="12.75" customHeight="1">
      <c r="A268" s="101"/>
      <c r="B268" s="54"/>
      <c r="C268" s="102"/>
      <c r="D268" s="101"/>
      <c r="E268" s="101"/>
      <c r="F268" s="101"/>
      <c r="G268" s="101"/>
      <c r="H268" s="101"/>
      <c r="I268" s="101"/>
      <c r="J268" s="101"/>
      <c r="K268" s="101"/>
      <c r="L268" s="53"/>
      <c r="M268" s="53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</row>
    <row r="269" ht="12.75" customHeight="1">
      <c r="A269" s="101"/>
      <c r="B269" s="54"/>
      <c r="C269" s="102"/>
      <c r="D269" s="101"/>
      <c r="E269" s="101"/>
      <c r="F269" s="101"/>
      <c r="G269" s="101"/>
      <c r="H269" s="101"/>
      <c r="I269" s="101"/>
      <c r="J269" s="101"/>
      <c r="K269" s="101"/>
      <c r="L269" s="53"/>
      <c r="M269" s="53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</row>
    <row r="270" ht="12.75" customHeight="1">
      <c r="A270" s="101"/>
      <c r="B270" s="54"/>
      <c r="C270" s="102"/>
      <c r="D270" s="101"/>
      <c r="E270" s="101"/>
      <c r="F270" s="101"/>
      <c r="G270" s="101"/>
      <c r="H270" s="101"/>
      <c r="I270" s="101"/>
      <c r="J270" s="101"/>
      <c r="K270" s="101"/>
      <c r="L270" s="53"/>
      <c r="M270" s="53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</row>
    <row r="271" ht="12.75" customHeight="1">
      <c r="A271" s="101"/>
      <c r="B271" s="54"/>
      <c r="C271" s="102"/>
      <c r="D271" s="101"/>
      <c r="E271" s="101"/>
      <c r="F271" s="101"/>
      <c r="G271" s="101"/>
      <c r="H271" s="101"/>
      <c r="I271" s="101"/>
      <c r="J271" s="101"/>
      <c r="K271" s="101"/>
      <c r="L271" s="53"/>
      <c r="M271" s="53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</row>
    <row r="272" ht="12.75" customHeight="1">
      <c r="A272" s="101"/>
      <c r="B272" s="54"/>
      <c r="C272" s="102"/>
      <c r="D272" s="101"/>
      <c r="E272" s="101"/>
      <c r="F272" s="101"/>
      <c r="G272" s="101"/>
      <c r="H272" s="101"/>
      <c r="I272" s="101"/>
      <c r="J272" s="101"/>
      <c r="K272" s="101"/>
      <c r="L272" s="53"/>
      <c r="M272" s="53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</row>
    <row r="273" ht="12.75" customHeight="1">
      <c r="A273" s="101"/>
      <c r="B273" s="54"/>
      <c r="C273" s="102"/>
      <c r="D273" s="101"/>
      <c r="E273" s="101"/>
      <c r="F273" s="101"/>
      <c r="G273" s="101"/>
      <c r="H273" s="101"/>
      <c r="I273" s="101"/>
      <c r="J273" s="101"/>
      <c r="K273" s="101"/>
      <c r="L273" s="53"/>
      <c r="M273" s="53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</row>
    <row r="274" ht="12.75" customHeight="1">
      <c r="A274" s="101"/>
      <c r="B274" s="54"/>
      <c r="C274" s="102"/>
      <c r="D274" s="101"/>
      <c r="E274" s="101"/>
      <c r="F274" s="101"/>
      <c r="G274" s="101"/>
      <c r="H274" s="101"/>
      <c r="I274" s="101"/>
      <c r="J274" s="101"/>
      <c r="K274" s="101"/>
      <c r="L274" s="53"/>
      <c r="M274" s="53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</row>
    <row r="275" ht="12.75" customHeight="1">
      <c r="A275" s="101"/>
      <c r="B275" s="54"/>
      <c r="C275" s="102"/>
      <c r="D275" s="101"/>
      <c r="E275" s="101"/>
      <c r="F275" s="101"/>
      <c r="G275" s="101"/>
      <c r="H275" s="101"/>
      <c r="I275" s="101"/>
      <c r="J275" s="101"/>
      <c r="K275" s="101"/>
      <c r="L275" s="53"/>
      <c r="M275" s="53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</row>
    <row r="276" ht="12.75" customHeight="1">
      <c r="A276" s="101"/>
      <c r="B276" s="54"/>
      <c r="C276" s="102"/>
      <c r="D276" s="101"/>
      <c r="E276" s="101"/>
      <c r="F276" s="101"/>
      <c r="G276" s="101"/>
      <c r="H276" s="101"/>
      <c r="I276" s="101"/>
      <c r="J276" s="101"/>
      <c r="K276" s="101"/>
      <c r="L276" s="53"/>
      <c r="M276" s="53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</row>
    <row r="277" ht="12.75" customHeight="1">
      <c r="A277" s="101"/>
      <c r="B277" s="54"/>
      <c r="C277" s="102"/>
      <c r="D277" s="101"/>
      <c r="E277" s="101"/>
      <c r="F277" s="101"/>
      <c r="G277" s="101"/>
      <c r="H277" s="101"/>
      <c r="I277" s="101"/>
      <c r="J277" s="101"/>
      <c r="K277" s="101"/>
      <c r="L277" s="53"/>
      <c r="M277" s="53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</row>
    <row r="278" ht="12.75" customHeight="1">
      <c r="A278" s="101"/>
      <c r="B278" s="54"/>
      <c r="C278" s="102"/>
      <c r="D278" s="101"/>
      <c r="E278" s="101"/>
      <c r="F278" s="101"/>
      <c r="G278" s="101"/>
      <c r="H278" s="101"/>
      <c r="I278" s="101"/>
      <c r="J278" s="101"/>
      <c r="K278" s="101"/>
      <c r="L278" s="53"/>
      <c r="M278" s="53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</row>
    <row r="279" ht="12.75" customHeight="1">
      <c r="A279" s="101"/>
      <c r="B279" s="54"/>
      <c r="C279" s="102"/>
      <c r="D279" s="101"/>
      <c r="E279" s="101"/>
      <c r="F279" s="101"/>
      <c r="G279" s="101"/>
      <c r="H279" s="101"/>
      <c r="I279" s="101"/>
      <c r="J279" s="101"/>
      <c r="K279" s="101"/>
      <c r="L279" s="53"/>
      <c r="M279" s="53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</row>
    <row r="280" ht="12.75" customHeight="1">
      <c r="A280" s="101"/>
      <c r="B280" s="54"/>
      <c r="C280" s="102"/>
      <c r="D280" s="101"/>
      <c r="E280" s="101"/>
      <c r="F280" s="101"/>
      <c r="G280" s="101"/>
      <c r="H280" s="101"/>
      <c r="I280" s="101"/>
      <c r="J280" s="101"/>
      <c r="K280" s="101"/>
      <c r="L280" s="53"/>
      <c r="M280" s="53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</row>
    <row r="281" ht="12.75" customHeight="1">
      <c r="A281" s="101"/>
      <c r="B281" s="54"/>
      <c r="C281" s="102"/>
      <c r="D281" s="101"/>
      <c r="E281" s="101"/>
      <c r="F281" s="101"/>
      <c r="G281" s="101"/>
      <c r="H281" s="101"/>
      <c r="I281" s="101"/>
      <c r="J281" s="101"/>
      <c r="K281" s="101"/>
      <c r="L281" s="53"/>
      <c r="M281" s="53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</row>
    <row r="282" ht="12.75" customHeight="1">
      <c r="A282" s="101"/>
      <c r="B282" s="54"/>
      <c r="C282" s="102"/>
      <c r="D282" s="101"/>
      <c r="E282" s="101"/>
      <c r="F282" s="101"/>
      <c r="G282" s="101"/>
      <c r="H282" s="101"/>
      <c r="I282" s="101"/>
      <c r="J282" s="101"/>
      <c r="K282" s="101"/>
      <c r="L282" s="53"/>
      <c r="M282" s="53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</row>
    <row r="283" ht="12.75" customHeight="1">
      <c r="A283" s="101"/>
      <c r="B283" s="54"/>
      <c r="C283" s="102"/>
      <c r="D283" s="101"/>
      <c r="E283" s="101"/>
      <c r="F283" s="101"/>
      <c r="G283" s="101"/>
      <c r="H283" s="101"/>
      <c r="I283" s="101"/>
      <c r="J283" s="101"/>
      <c r="K283" s="101"/>
      <c r="L283" s="53"/>
      <c r="M283" s="53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</row>
    <row r="284" ht="12.75" customHeight="1">
      <c r="A284" s="101"/>
      <c r="B284" s="54"/>
      <c r="C284" s="102"/>
      <c r="D284" s="101"/>
      <c r="E284" s="101"/>
      <c r="F284" s="101"/>
      <c r="G284" s="101"/>
      <c r="H284" s="101"/>
      <c r="I284" s="101"/>
      <c r="J284" s="101"/>
      <c r="K284" s="101"/>
      <c r="L284" s="53"/>
      <c r="M284" s="53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</row>
    <row r="285" ht="12.75" customHeight="1">
      <c r="A285" s="101"/>
      <c r="B285" s="54"/>
      <c r="C285" s="102"/>
      <c r="D285" s="101"/>
      <c r="E285" s="101"/>
      <c r="F285" s="101"/>
      <c r="G285" s="101"/>
      <c r="H285" s="101"/>
      <c r="I285" s="101"/>
      <c r="J285" s="101"/>
      <c r="K285" s="101"/>
      <c r="L285" s="53"/>
      <c r="M285" s="53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</row>
    <row r="286" ht="12.75" customHeight="1">
      <c r="A286" s="101"/>
      <c r="B286" s="54"/>
      <c r="C286" s="102"/>
      <c r="D286" s="101"/>
      <c r="E286" s="101"/>
      <c r="F286" s="101"/>
      <c r="G286" s="101"/>
      <c r="H286" s="101"/>
      <c r="I286" s="101"/>
      <c r="J286" s="101"/>
      <c r="K286" s="101"/>
      <c r="L286" s="53"/>
      <c r="M286" s="53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</row>
    <row r="287" ht="12.75" customHeight="1">
      <c r="A287" s="101"/>
      <c r="B287" s="54"/>
      <c r="C287" s="102"/>
      <c r="D287" s="101"/>
      <c r="E287" s="101"/>
      <c r="F287" s="101"/>
      <c r="G287" s="101"/>
      <c r="H287" s="101"/>
      <c r="I287" s="101"/>
      <c r="J287" s="101"/>
      <c r="K287" s="101"/>
      <c r="L287" s="53"/>
      <c r="M287" s="53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</row>
    <row r="288" ht="12.75" customHeight="1">
      <c r="A288" s="101"/>
      <c r="B288" s="54"/>
      <c r="C288" s="102"/>
      <c r="D288" s="101"/>
      <c r="E288" s="101"/>
      <c r="F288" s="101"/>
      <c r="G288" s="101"/>
      <c r="H288" s="101"/>
      <c r="I288" s="101"/>
      <c r="J288" s="101"/>
      <c r="K288" s="101"/>
      <c r="L288" s="53"/>
      <c r="M288" s="53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</row>
    <row r="289" ht="12.75" customHeight="1">
      <c r="A289" s="101"/>
      <c r="B289" s="54"/>
      <c r="C289" s="102"/>
      <c r="D289" s="101"/>
      <c r="E289" s="101"/>
      <c r="F289" s="101"/>
      <c r="G289" s="101"/>
      <c r="H289" s="101"/>
      <c r="I289" s="101"/>
      <c r="J289" s="101"/>
      <c r="K289" s="101"/>
      <c r="L289" s="53"/>
      <c r="M289" s="53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</row>
    <row r="290" ht="12.75" customHeight="1">
      <c r="A290" s="101"/>
      <c r="B290" s="54"/>
      <c r="C290" s="102"/>
      <c r="D290" s="101"/>
      <c r="E290" s="101"/>
      <c r="F290" s="101"/>
      <c r="G290" s="101"/>
      <c r="H290" s="101"/>
      <c r="I290" s="101"/>
      <c r="J290" s="101"/>
      <c r="K290" s="101"/>
      <c r="L290" s="53"/>
      <c r="M290" s="53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</row>
    <row r="291" ht="12.75" customHeight="1">
      <c r="A291" s="101"/>
      <c r="B291" s="54"/>
      <c r="C291" s="102"/>
      <c r="D291" s="101"/>
      <c r="E291" s="101"/>
      <c r="F291" s="101"/>
      <c r="G291" s="101"/>
      <c r="H291" s="101"/>
      <c r="I291" s="101"/>
      <c r="J291" s="101"/>
      <c r="K291" s="101"/>
      <c r="L291" s="53"/>
      <c r="M291" s="53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</row>
    <row r="292" ht="12.75" customHeight="1">
      <c r="A292" s="101"/>
      <c r="B292" s="54"/>
      <c r="C292" s="102"/>
      <c r="D292" s="101"/>
      <c r="E292" s="101"/>
      <c r="F292" s="101"/>
      <c r="G292" s="101"/>
      <c r="H292" s="101"/>
      <c r="I292" s="101"/>
      <c r="J292" s="101"/>
      <c r="K292" s="101"/>
      <c r="L292" s="53"/>
      <c r="M292" s="53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</row>
    <row r="293" ht="12.75" customHeight="1">
      <c r="A293" s="101"/>
      <c r="B293" s="54"/>
      <c r="C293" s="102"/>
      <c r="D293" s="101"/>
      <c r="E293" s="101"/>
      <c r="F293" s="101"/>
      <c r="G293" s="101"/>
      <c r="H293" s="101"/>
      <c r="I293" s="101"/>
      <c r="J293" s="101"/>
      <c r="K293" s="101"/>
      <c r="L293" s="53"/>
      <c r="M293" s="53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</row>
    <row r="294" ht="12.75" customHeight="1">
      <c r="A294" s="101"/>
      <c r="B294" s="54"/>
      <c r="C294" s="102"/>
      <c r="D294" s="101"/>
      <c r="E294" s="101"/>
      <c r="F294" s="101"/>
      <c r="G294" s="101"/>
      <c r="H294" s="101"/>
      <c r="I294" s="101"/>
      <c r="J294" s="101"/>
      <c r="K294" s="101"/>
      <c r="L294" s="53"/>
      <c r="M294" s="53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</row>
    <row r="295" ht="12.75" customHeight="1">
      <c r="A295" s="101"/>
      <c r="B295" s="54"/>
      <c r="C295" s="102"/>
      <c r="D295" s="101"/>
      <c r="E295" s="101"/>
      <c r="F295" s="101"/>
      <c r="G295" s="101"/>
      <c r="H295" s="101"/>
      <c r="I295" s="101"/>
      <c r="J295" s="101"/>
      <c r="K295" s="101"/>
      <c r="L295" s="53"/>
      <c r="M295" s="53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</row>
    <row r="296" ht="12.75" customHeight="1">
      <c r="A296" s="101"/>
      <c r="B296" s="54"/>
      <c r="C296" s="102"/>
      <c r="D296" s="101"/>
      <c r="E296" s="101"/>
      <c r="F296" s="101"/>
      <c r="G296" s="101"/>
      <c r="H296" s="101"/>
      <c r="I296" s="101"/>
      <c r="J296" s="101"/>
      <c r="K296" s="101"/>
      <c r="L296" s="53"/>
      <c r="M296" s="53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</row>
    <row r="297" ht="12.75" customHeight="1">
      <c r="A297" s="101"/>
      <c r="B297" s="54"/>
      <c r="C297" s="102"/>
      <c r="D297" s="101"/>
      <c r="E297" s="101"/>
      <c r="F297" s="101"/>
      <c r="G297" s="101"/>
      <c r="H297" s="101"/>
      <c r="I297" s="101"/>
      <c r="J297" s="101"/>
      <c r="K297" s="101"/>
      <c r="L297" s="53"/>
      <c r="M297" s="53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</row>
    <row r="298" ht="12.75" customHeight="1">
      <c r="A298" s="101"/>
      <c r="B298" s="54"/>
      <c r="C298" s="102"/>
      <c r="D298" s="101"/>
      <c r="E298" s="101"/>
      <c r="F298" s="101"/>
      <c r="G298" s="101"/>
      <c r="H298" s="101"/>
      <c r="I298" s="101"/>
      <c r="J298" s="101"/>
      <c r="K298" s="101"/>
      <c r="L298" s="53"/>
      <c r="M298" s="53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</row>
    <row r="299" ht="12.75" customHeight="1">
      <c r="A299" s="101"/>
      <c r="B299" s="54"/>
      <c r="C299" s="102"/>
      <c r="D299" s="101"/>
      <c r="E299" s="101"/>
      <c r="F299" s="101"/>
      <c r="G299" s="101"/>
      <c r="H299" s="101"/>
      <c r="I299" s="101"/>
      <c r="J299" s="101"/>
      <c r="K299" s="101"/>
      <c r="L299" s="53"/>
      <c r="M299" s="53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</row>
    <row r="300" ht="12.75" customHeight="1">
      <c r="A300" s="101"/>
      <c r="B300" s="54"/>
      <c r="C300" s="102"/>
      <c r="D300" s="101"/>
      <c r="E300" s="101"/>
      <c r="F300" s="101"/>
      <c r="G300" s="101"/>
      <c r="H300" s="101"/>
      <c r="I300" s="101"/>
      <c r="J300" s="101"/>
      <c r="K300" s="101"/>
      <c r="L300" s="53"/>
      <c r="M300" s="53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</row>
    <row r="301" ht="12.75" customHeight="1">
      <c r="A301" s="101"/>
      <c r="B301" s="54"/>
      <c r="C301" s="102"/>
      <c r="D301" s="101"/>
      <c r="E301" s="101"/>
      <c r="F301" s="101"/>
      <c r="G301" s="101"/>
      <c r="H301" s="101"/>
      <c r="I301" s="101"/>
      <c r="J301" s="101"/>
      <c r="K301" s="101"/>
      <c r="L301" s="53"/>
      <c r="M301" s="53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</row>
    <row r="302" ht="12.75" customHeight="1">
      <c r="A302" s="101"/>
      <c r="B302" s="54"/>
      <c r="C302" s="102"/>
      <c r="D302" s="101"/>
      <c r="E302" s="101"/>
      <c r="F302" s="101"/>
      <c r="G302" s="101"/>
      <c r="H302" s="101"/>
      <c r="I302" s="101"/>
      <c r="J302" s="101"/>
      <c r="K302" s="101"/>
      <c r="L302" s="53"/>
      <c r="M302" s="53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</row>
    <row r="303" ht="12.75" customHeight="1">
      <c r="A303" s="101"/>
      <c r="B303" s="54"/>
      <c r="C303" s="102"/>
      <c r="D303" s="101"/>
      <c r="E303" s="101"/>
      <c r="F303" s="101"/>
      <c r="G303" s="101"/>
      <c r="H303" s="101"/>
      <c r="I303" s="101"/>
      <c r="J303" s="101"/>
      <c r="K303" s="101"/>
      <c r="L303" s="53"/>
      <c r="M303" s="53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</row>
    <row r="304" ht="12.75" customHeight="1">
      <c r="A304" s="101"/>
      <c r="B304" s="54"/>
      <c r="C304" s="102"/>
      <c r="D304" s="101"/>
      <c r="E304" s="101"/>
      <c r="F304" s="101"/>
      <c r="G304" s="101"/>
      <c r="H304" s="101"/>
      <c r="I304" s="101"/>
      <c r="J304" s="101"/>
      <c r="K304" s="101"/>
      <c r="L304" s="53"/>
      <c r="M304" s="53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</row>
    <row r="305" ht="12.75" customHeight="1">
      <c r="A305" s="101"/>
      <c r="B305" s="54"/>
      <c r="C305" s="102"/>
      <c r="D305" s="101"/>
      <c r="E305" s="101"/>
      <c r="F305" s="101"/>
      <c r="G305" s="101"/>
      <c r="H305" s="101"/>
      <c r="I305" s="101"/>
      <c r="J305" s="101"/>
      <c r="K305" s="101"/>
      <c r="L305" s="53"/>
      <c r="M305" s="53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</row>
    <row r="306" ht="12.75" customHeight="1">
      <c r="A306" s="101"/>
      <c r="B306" s="54"/>
      <c r="C306" s="102"/>
      <c r="D306" s="101"/>
      <c r="E306" s="101"/>
      <c r="F306" s="101"/>
      <c r="G306" s="101"/>
      <c r="H306" s="101"/>
      <c r="I306" s="101"/>
      <c r="J306" s="101"/>
      <c r="K306" s="101"/>
      <c r="L306" s="53"/>
      <c r="M306" s="53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</row>
    <row r="307" ht="12.75" customHeight="1">
      <c r="A307" s="101"/>
      <c r="B307" s="54"/>
      <c r="C307" s="102"/>
      <c r="D307" s="101"/>
      <c r="E307" s="101"/>
      <c r="F307" s="101"/>
      <c r="G307" s="101"/>
      <c r="H307" s="101"/>
      <c r="I307" s="101"/>
      <c r="J307" s="101"/>
      <c r="K307" s="101"/>
      <c r="L307" s="53"/>
      <c r="M307" s="53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</row>
    <row r="308" ht="12.75" customHeight="1">
      <c r="A308" s="101"/>
      <c r="B308" s="54"/>
      <c r="C308" s="102"/>
      <c r="D308" s="101"/>
      <c r="E308" s="101"/>
      <c r="F308" s="101"/>
      <c r="G308" s="101"/>
      <c r="H308" s="101"/>
      <c r="I308" s="101"/>
      <c r="J308" s="101"/>
      <c r="K308" s="101"/>
      <c r="L308" s="53"/>
      <c r="M308" s="53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</row>
    <row r="309" ht="12.75" customHeight="1">
      <c r="A309" s="101"/>
      <c r="B309" s="54"/>
      <c r="C309" s="102"/>
      <c r="D309" s="101"/>
      <c r="E309" s="101"/>
      <c r="F309" s="101"/>
      <c r="G309" s="101"/>
      <c r="H309" s="101"/>
      <c r="I309" s="101"/>
      <c r="J309" s="101"/>
      <c r="K309" s="101"/>
      <c r="L309" s="53"/>
      <c r="M309" s="53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</row>
    <row r="310" ht="12.75" customHeight="1">
      <c r="A310" s="101"/>
      <c r="B310" s="54"/>
      <c r="C310" s="102"/>
      <c r="D310" s="101"/>
      <c r="E310" s="101"/>
      <c r="F310" s="101"/>
      <c r="G310" s="101"/>
      <c r="H310" s="101"/>
      <c r="I310" s="101"/>
      <c r="J310" s="101"/>
      <c r="K310" s="101"/>
      <c r="L310" s="53"/>
      <c r="M310" s="53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</row>
    <row r="311" ht="12.75" customHeight="1">
      <c r="A311" s="101"/>
      <c r="B311" s="54"/>
      <c r="C311" s="102"/>
      <c r="D311" s="101"/>
      <c r="E311" s="101"/>
      <c r="F311" s="101"/>
      <c r="G311" s="101"/>
      <c r="H311" s="101"/>
      <c r="I311" s="101"/>
      <c r="J311" s="101"/>
      <c r="K311" s="101"/>
      <c r="L311" s="53"/>
      <c r="M311" s="53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</row>
    <row r="312" ht="12.75" customHeight="1">
      <c r="A312" s="101"/>
      <c r="B312" s="54"/>
      <c r="C312" s="102"/>
      <c r="D312" s="101"/>
      <c r="E312" s="101"/>
      <c r="F312" s="101"/>
      <c r="G312" s="101"/>
      <c r="H312" s="101"/>
      <c r="I312" s="101"/>
      <c r="J312" s="101"/>
      <c r="K312" s="101"/>
      <c r="L312" s="53"/>
      <c r="M312" s="53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</row>
    <row r="313" ht="12.75" customHeight="1">
      <c r="A313" s="101"/>
      <c r="B313" s="54"/>
      <c r="C313" s="102"/>
      <c r="D313" s="101"/>
      <c r="E313" s="101"/>
      <c r="F313" s="101"/>
      <c r="G313" s="101"/>
      <c r="H313" s="101"/>
      <c r="I313" s="101"/>
      <c r="J313" s="101"/>
      <c r="K313" s="101"/>
      <c r="L313" s="53"/>
      <c r="M313" s="53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</row>
    <row r="314" ht="12.75" customHeight="1">
      <c r="A314" s="101"/>
      <c r="B314" s="54"/>
      <c r="C314" s="102"/>
      <c r="D314" s="101"/>
      <c r="E314" s="101"/>
      <c r="F314" s="101"/>
      <c r="G314" s="101"/>
      <c r="H314" s="101"/>
      <c r="I314" s="101"/>
      <c r="J314" s="101"/>
      <c r="K314" s="101"/>
      <c r="L314" s="53"/>
      <c r="M314" s="53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</row>
    <row r="315" ht="12.75" customHeight="1">
      <c r="A315" s="101"/>
      <c r="B315" s="54"/>
      <c r="C315" s="102"/>
      <c r="D315" s="101"/>
      <c r="E315" s="101"/>
      <c r="F315" s="101"/>
      <c r="G315" s="101"/>
      <c r="H315" s="101"/>
      <c r="I315" s="101"/>
      <c r="J315" s="101"/>
      <c r="K315" s="101"/>
      <c r="L315" s="53"/>
      <c r="M315" s="53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</row>
    <row r="316" ht="12.75" customHeight="1">
      <c r="A316" s="101"/>
      <c r="B316" s="54"/>
      <c r="C316" s="102"/>
      <c r="D316" s="101"/>
      <c r="E316" s="101"/>
      <c r="F316" s="101"/>
      <c r="G316" s="101"/>
      <c r="H316" s="101"/>
      <c r="I316" s="101"/>
      <c r="J316" s="101"/>
      <c r="K316" s="101"/>
      <c r="L316" s="53"/>
      <c r="M316" s="53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</row>
    <row r="317" ht="12.75" customHeight="1">
      <c r="A317" s="101"/>
      <c r="B317" s="54"/>
      <c r="C317" s="102"/>
      <c r="D317" s="101"/>
      <c r="E317" s="101"/>
      <c r="F317" s="101"/>
      <c r="G317" s="101"/>
      <c r="H317" s="101"/>
      <c r="I317" s="101"/>
      <c r="J317" s="101"/>
      <c r="K317" s="101"/>
      <c r="L317" s="53"/>
      <c r="M317" s="53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</row>
    <row r="318" ht="12.75" customHeight="1">
      <c r="A318" s="101"/>
      <c r="B318" s="54"/>
      <c r="C318" s="102"/>
      <c r="D318" s="101"/>
      <c r="E318" s="101"/>
      <c r="F318" s="101"/>
      <c r="G318" s="101"/>
      <c r="H318" s="101"/>
      <c r="I318" s="101"/>
      <c r="J318" s="101"/>
      <c r="K318" s="101"/>
      <c r="L318" s="53"/>
      <c r="M318" s="53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</row>
    <row r="319" ht="12.75" customHeight="1">
      <c r="A319" s="101"/>
      <c r="B319" s="54"/>
      <c r="C319" s="102"/>
      <c r="D319" s="101"/>
      <c r="E319" s="101"/>
      <c r="F319" s="101"/>
      <c r="G319" s="101"/>
      <c r="H319" s="101"/>
      <c r="I319" s="101"/>
      <c r="J319" s="101"/>
      <c r="K319" s="101"/>
      <c r="L319" s="53"/>
      <c r="M319" s="53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</row>
    <row r="320" ht="12.75" customHeight="1">
      <c r="A320" s="101"/>
      <c r="B320" s="54"/>
      <c r="C320" s="102"/>
      <c r="D320" s="101"/>
      <c r="E320" s="101"/>
      <c r="F320" s="101"/>
      <c r="G320" s="101"/>
      <c r="H320" s="101"/>
      <c r="I320" s="101"/>
      <c r="J320" s="101"/>
      <c r="K320" s="101"/>
      <c r="L320" s="53"/>
      <c r="M320" s="53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</row>
    <row r="321" ht="12.75" customHeight="1">
      <c r="A321" s="101"/>
      <c r="B321" s="54"/>
      <c r="C321" s="102"/>
      <c r="D321" s="101"/>
      <c r="E321" s="101"/>
      <c r="F321" s="101"/>
      <c r="G321" s="101"/>
      <c r="H321" s="101"/>
      <c r="I321" s="101"/>
      <c r="J321" s="101"/>
      <c r="K321" s="101"/>
      <c r="L321" s="53"/>
      <c r="M321" s="53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</row>
    <row r="322" ht="12.75" customHeight="1">
      <c r="A322" s="101"/>
      <c r="B322" s="54"/>
      <c r="C322" s="102"/>
      <c r="D322" s="101"/>
      <c r="E322" s="101"/>
      <c r="F322" s="101"/>
      <c r="G322" s="101"/>
      <c r="H322" s="101"/>
      <c r="I322" s="101"/>
      <c r="J322" s="101"/>
      <c r="K322" s="101"/>
      <c r="L322" s="53"/>
      <c r="M322" s="53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</row>
    <row r="323" ht="12.75" customHeight="1">
      <c r="A323" s="101"/>
      <c r="B323" s="54"/>
      <c r="C323" s="102"/>
      <c r="D323" s="101"/>
      <c r="E323" s="101"/>
      <c r="F323" s="101"/>
      <c r="G323" s="101"/>
      <c r="H323" s="101"/>
      <c r="I323" s="101"/>
      <c r="J323" s="101"/>
      <c r="K323" s="101"/>
      <c r="L323" s="53"/>
      <c r="M323" s="53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</row>
    <row r="324" ht="12.75" customHeight="1">
      <c r="A324" s="101"/>
      <c r="B324" s="54"/>
      <c r="C324" s="102"/>
      <c r="D324" s="101"/>
      <c r="E324" s="101"/>
      <c r="F324" s="101"/>
      <c r="G324" s="101"/>
      <c r="H324" s="101"/>
      <c r="I324" s="101"/>
      <c r="J324" s="101"/>
      <c r="K324" s="101"/>
      <c r="L324" s="53"/>
      <c r="M324" s="53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</row>
    <row r="325" ht="12.75" customHeight="1">
      <c r="A325" s="101"/>
      <c r="B325" s="54"/>
      <c r="C325" s="102"/>
      <c r="D325" s="101"/>
      <c r="E325" s="101"/>
      <c r="F325" s="101"/>
      <c r="G325" s="101"/>
      <c r="H325" s="101"/>
      <c r="I325" s="101"/>
      <c r="J325" s="101"/>
      <c r="K325" s="101"/>
      <c r="L325" s="53"/>
      <c r="M325" s="53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</row>
    <row r="326" ht="12.75" customHeight="1">
      <c r="A326" s="101"/>
      <c r="B326" s="54"/>
      <c r="C326" s="102"/>
      <c r="D326" s="101"/>
      <c r="E326" s="101"/>
      <c r="F326" s="101"/>
      <c r="G326" s="101"/>
      <c r="H326" s="101"/>
      <c r="I326" s="101"/>
      <c r="J326" s="101"/>
      <c r="K326" s="101"/>
      <c r="L326" s="53"/>
      <c r="M326" s="53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</row>
    <row r="327" ht="12.75" customHeight="1">
      <c r="A327" s="101"/>
      <c r="B327" s="54"/>
      <c r="C327" s="102"/>
      <c r="D327" s="101"/>
      <c r="E327" s="101"/>
      <c r="F327" s="101"/>
      <c r="G327" s="101"/>
      <c r="H327" s="101"/>
      <c r="I327" s="101"/>
      <c r="J327" s="101"/>
      <c r="K327" s="101"/>
      <c r="L327" s="53"/>
      <c r="M327" s="53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</row>
    <row r="328" ht="12.75" customHeight="1">
      <c r="A328" s="101"/>
      <c r="B328" s="54"/>
      <c r="C328" s="102"/>
      <c r="D328" s="101"/>
      <c r="E328" s="101"/>
      <c r="F328" s="101"/>
      <c r="G328" s="101"/>
      <c r="H328" s="101"/>
      <c r="I328" s="101"/>
      <c r="J328" s="101"/>
      <c r="K328" s="101"/>
      <c r="L328" s="53"/>
      <c r="M328" s="53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</row>
    <row r="329" ht="12.75" customHeight="1">
      <c r="A329" s="101"/>
      <c r="B329" s="54"/>
      <c r="C329" s="102"/>
      <c r="D329" s="101"/>
      <c r="E329" s="101"/>
      <c r="F329" s="101"/>
      <c r="G329" s="101"/>
      <c r="H329" s="101"/>
      <c r="I329" s="101"/>
      <c r="J329" s="101"/>
      <c r="K329" s="101"/>
      <c r="L329" s="53"/>
      <c r="M329" s="53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</row>
    <row r="330" ht="12.75" customHeight="1">
      <c r="A330" s="101"/>
      <c r="B330" s="54"/>
      <c r="C330" s="102"/>
      <c r="D330" s="101"/>
      <c r="E330" s="101"/>
      <c r="F330" s="101"/>
      <c r="G330" s="101"/>
      <c r="H330" s="101"/>
      <c r="I330" s="101"/>
      <c r="J330" s="101"/>
      <c r="K330" s="101"/>
      <c r="L330" s="53"/>
      <c r="M330" s="53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</row>
    <row r="331" ht="12.75" customHeight="1">
      <c r="A331" s="101"/>
      <c r="B331" s="54"/>
      <c r="C331" s="102"/>
      <c r="D331" s="101"/>
      <c r="E331" s="101"/>
      <c r="F331" s="101"/>
      <c r="G331" s="101"/>
      <c r="H331" s="101"/>
      <c r="I331" s="101"/>
      <c r="J331" s="101"/>
      <c r="K331" s="101"/>
      <c r="L331" s="53"/>
      <c r="M331" s="53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</row>
    <row r="332" ht="12.75" customHeight="1">
      <c r="A332" s="101"/>
      <c r="B332" s="54"/>
      <c r="C332" s="102"/>
      <c r="D332" s="101"/>
      <c r="E332" s="101"/>
      <c r="F332" s="101"/>
      <c r="G332" s="101"/>
      <c r="H332" s="101"/>
      <c r="I332" s="101"/>
      <c r="J332" s="101"/>
      <c r="K332" s="101"/>
      <c r="L332" s="53"/>
      <c r="M332" s="53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</row>
    <row r="333" ht="12.75" customHeight="1">
      <c r="A333" s="101"/>
      <c r="B333" s="54"/>
      <c r="C333" s="102"/>
      <c r="D333" s="101"/>
      <c r="E333" s="101"/>
      <c r="F333" s="101"/>
      <c r="G333" s="101"/>
      <c r="H333" s="101"/>
      <c r="I333" s="101"/>
      <c r="J333" s="101"/>
      <c r="K333" s="101"/>
      <c r="L333" s="53"/>
      <c r="M333" s="53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</row>
    <row r="334" ht="12.75" customHeight="1">
      <c r="A334" s="101"/>
      <c r="B334" s="54"/>
      <c r="C334" s="102"/>
      <c r="D334" s="101"/>
      <c r="E334" s="101"/>
      <c r="F334" s="101"/>
      <c r="G334" s="101"/>
      <c r="H334" s="101"/>
      <c r="I334" s="101"/>
      <c r="J334" s="101"/>
      <c r="K334" s="101"/>
      <c r="L334" s="53"/>
      <c r="M334" s="53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</row>
    <row r="335" ht="12.75" customHeight="1">
      <c r="A335" s="101"/>
      <c r="B335" s="54"/>
      <c r="C335" s="102"/>
      <c r="D335" s="101"/>
      <c r="E335" s="101"/>
      <c r="F335" s="101"/>
      <c r="G335" s="101"/>
      <c r="H335" s="101"/>
      <c r="I335" s="101"/>
      <c r="J335" s="101"/>
      <c r="K335" s="101"/>
      <c r="L335" s="53"/>
      <c r="M335" s="53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</row>
    <row r="336" ht="12.75" customHeight="1">
      <c r="A336" s="101"/>
      <c r="B336" s="54"/>
      <c r="C336" s="102"/>
      <c r="D336" s="101"/>
      <c r="E336" s="101"/>
      <c r="F336" s="101"/>
      <c r="G336" s="101"/>
      <c r="H336" s="101"/>
      <c r="I336" s="101"/>
      <c r="J336" s="101"/>
      <c r="K336" s="101"/>
      <c r="L336" s="53"/>
      <c r="M336" s="53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</row>
    <row r="337" ht="12.75" customHeight="1">
      <c r="A337" s="101"/>
      <c r="B337" s="54"/>
      <c r="C337" s="102"/>
      <c r="D337" s="101"/>
      <c r="E337" s="101"/>
      <c r="F337" s="101"/>
      <c r="G337" s="101"/>
      <c r="H337" s="101"/>
      <c r="I337" s="101"/>
      <c r="J337" s="101"/>
      <c r="K337" s="101"/>
      <c r="L337" s="53"/>
      <c r="M337" s="53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</row>
    <row r="338" ht="12.75" customHeight="1">
      <c r="A338" s="101"/>
      <c r="B338" s="54"/>
      <c r="C338" s="102"/>
      <c r="D338" s="101"/>
      <c r="E338" s="101"/>
      <c r="F338" s="101"/>
      <c r="G338" s="101"/>
      <c r="H338" s="101"/>
      <c r="I338" s="101"/>
      <c r="J338" s="101"/>
      <c r="K338" s="101"/>
      <c r="L338" s="53"/>
      <c r="M338" s="53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</row>
    <row r="339" ht="12.75" customHeight="1">
      <c r="A339" s="101"/>
      <c r="B339" s="54"/>
      <c r="C339" s="102"/>
      <c r="D339" s="101"/>
      <c r="E339" s="101"/>
      <c r="F339" s="101"/>
      <c r="G339" s="101"/>
      <c r="H339" s="101"/>
      <c r="I339" s="101"/>
      <c r="J339" s="101"/>
      <c r="K339" s="101"/>
      <c r="L339" s="53"/>
      <c r="M339" s="53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</row>
    <row r="340" ht="12.75" customHeight="1">
      <c r="A340" s="101"/>
      <c r="B340" s="54"/>
      <c r="C340" s="102"/>
      <c r="D340" s="101"/>
      <c r="E340" s="101"/>
      <c r="F340" s="101"/>
      <c r="G340" s="101"/>
      <c r="H340" s="101"/>
      <c r="I340" s="101"/>
      <c r="J340" s="101"/>
      <c r="K340" s="101"/>
      <c r="L340" s="53"/>
      <c r="M340" s="53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</row>
    <row r="341" ht="12.75" customHeight="1">
      <c r="A341" s="101"/>
      <c r="B341" s="54"/>
      <c r="C341" s="102"/>
      <c r="D341" s="101"/>
      <c r="E341" s="101"/>
      <c r="F341" s="101"/>
      <c r="G341" s="101"/>
      <c r="H341" s="101"/>
      <c r="I341" s="101"/>
      <c r="J341" s="101"/>
      <c r="K341" s="101"/>
      <c r="L341" s="53"/>
      <c r="M341" s="53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</row>
    <row r="342" ht="12.75" customHeight="1">
      <c r="A342" s="101"/>
      <c r="B342" s="54"/>
      <c r="C342" s="102"/>
      <c r="D342" s="101"/>
      <c r="E342" s="101"/>
      <c r="F342" s="101"/>
      <c r="G342" s="101"/>
      <c r="H342" s="101"/>
      <c r="I342" s="101"/>
      <c r="J342" s="101"/>
      <c r="K342" s="101"/>
      <c r="L342" s="53"/>
      <c r="M342" s="53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</row>
    <row r="343" ht="12.75" customHeight="1">
      <c r="A343" s="101"/>
      <c r="B343" s="54"/>
      <c r="C343" s="102"/>
      <c r="D343" s="101"/>
      <c r="E343" s="101"/>
      <c r="F343" s="101"/>
      <c r="G343" s="101"/>
      <c r="H343" s="101"/>
      <c r="I343" s="101"/>
      <c r="J343" s="101"/>
      <c r="K343" s="101"/>
      <c r="L343" s="53"/>
      <c r="M343" s="53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</row>
    <row r="344" ht="12.75" customHeight="1">
      <c r="A344" s="101"/>
      <c r="B344" s="54"/>
      <c r="C344" s="102"/>
      <c r="D344" s="101"/>
      <c r="E344" s="101"/>
      <c r="F344" s="101"/>
      <c r="G344" s="101"/>
      <c r="H344" s="101"/>
      <c r="I344" s="101"/>
      <c r="J344" s="101"/>
      <c r="K344" s="101"/>
      <c r="L344" s="53"/>
      <c r="M344" s="53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</row>
    <row r="345" ht="12.75" customHeight="1">
      <c r="A345" s="101"/>
      <c r="B345" s="54"/>
      <c r="C345" s="102"/>
      <c r="D345" s="101"/>
      <c r="E345" s="101"/>
      <c r="F345" s="101"/>
      <c r="G345" s="101"/>
      <c r="H345" s="101"/>
      <c r="I345" s="101"/>
      <c r="J345" s="101"/>
      <c r="K345" s="101"/>
      <c r="L345" s="53"/>
      <c r="M345" s="53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</row>
    <row r="346" ht="12.75" customHeight="1">
      <c r="A346" s="101"/>
      <c r="B346" s="54"/>
      <c r="C346" s="102"/>
      <c r="D346" s="101"/>
      <c r="E346" s="101"/>
      <c r="F346" s="101"/>
      <c r="G346" s="101"/>
      <c r="H346" s="101"/>
      <c r="I346" s="101"/>
      <c r="J346" s="101"/>
      <c r="K346" s="101"/>
      <c r="L346" s="53"/>
      <c r="M346" s="53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</row>
    <row r="347" ht="12.75" customHeight="1">
      <c r="A347" s="101"/>
      <c r="B347" s="54"/>
      <c r="C347" s="102"/>
      <c r="D347" s="101"/>
      <c r="E347" s="101"/>
      <c r="F347" s="101"/>
      <c r="G347" s="101"/>
      <c r="H347" s="101"/>
      <c r="I347" s="101"/>
      <c r="J347" s="101"/>
      <c r="K347" s="101"/>
      <c r="L347" s="53"/>
      <c r="M347" s="53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</row>
    <row r="348" ht="12.75" customHeight="1">
      <c r="A348" s="101"/>
      <c r="B348" s="54"/>
      <c r="C348" s="102"/>
      <c r="D348" s="101"/>
      <c r="E348" s="101"/>
      <c r="F348" s="101"/>
      <c r="G348" s="101"/>
      <c r="H348" s="101"/>
      <c r="I348" s="101"/>
      <c r="J348" s="101"/>
      <c r="K348" s="101"/>
      <c r="L348" s="53"/>
      <c r="M348" s="53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</row>
    <row r="349" ht="12.75" customHeight="1">
      <c r="A349" s="101"/>
      <c r="B349" s="54"/>
      <c r="C349" s="102"/>
      <c r="D349" s="101"/>
      <c r="E349" s="101"/>
      <c r="F349" s="101"/>
      <c r="G349" s="101"/>
      <c r="H349" s="101"/>
      <c r="I349" s="101"/>
      <c r="J349" s="101"/>
      <c r="K349" s="101"/>
      <c r="L349" s="53"/>
      <c r="M349" s="53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</row>
    <row r="350" ht="12.75" customHeight="1">
      <c r="A350" s="101"/>
      <c r="B350" s="54"/>
      <c r="C350" s="102"/>
      <c r="D350" s="101"/>
      <c r="E350" s="101"/>
      <c r="F350" s="101"/>
      <c r="G350" s="101"/>
      <c r="H350" s="101"/>
      <c r="I350" s="101"/>
      <c r="J350" s="101"/>
      <c r="K350" s="101"/>
      <c r="L350" s="53"/>
      <c r="M350" s="53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</row>
    <row r="351" ht="12.75" customHeight="1">
      <c r="A351" s="101"/>
      <c r="B351" s="54"/>
      <c r="C351" s="102"/>
      <c r="D351" s="101"/>
      <c r="E351" s="101"/>
      <c r="F351" s="101"/>
      <c r="G351" s="101"/>
      <c r="H351" s="101"/>
      <c r="I351" s="101"/>
      <c r="J351" s="101"/>
      <c r="K351" s="101"/>
      <c r="L351" s="53"/>
      <c r="M351" s="53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</row>
    <row r="352" ht="12.75" customHeight="1">
      <c r="A352" s="101"/>
      <c r="B352" s="54"/>
      <c r="C352" s="102"/>
      <c r="D352" s="101"/>
      <c r="E352" s="101"/>
      <c r="F352" s="101"/>
      <c r="G352" s="101"/>
      <c r="H352" s="101"/>
      <c r="I352" s="101"/>
      <c r="J352" s="101"/>
      <c r="K352" s="101"/>
      <c r="L352" s="53"/>
      <c r="M352" s="53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</row>
    <row r="353" ht="12.75" customHeight="1">
      <c r="A353" s="101"/>
      <c r="B353" s="54"/>
      <c r="C353" s="102"/>
      <c r="D353" s="101"/>
      <c r="E353" s="101"/>
      <c r="F353" s="101"/>
      <c r="G353" s="101"/>
      <c r="H353" s="101"/>
      <c r="I353" s="101"/>
      <c r="J353" s="101"/>
      <c r="K353" s="101"/>
      <c r="L353" s="53"/>
      <c r="M353" s="53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</row>
    <row r="354" ht="12.75" customHeight="1">
      <c r="A354" s="101"/>
      <c r="B354" s="54"/>
      <c r="C354" s="102"/>
      <c r="D354" s="101"/>
      <c r="E354" s="101"/>
      <c r="F354" s="101"/>
      <c r="G354" s="101"/>
      <c r="H354" s="101"/>
      <c r="I354" s="101"/>
      <c r="J354" s="101"/>
      <c r="K354" s="101"/>
      <c r="L354" s="53"/>
      <c r="M354" s="53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</row>
    <row r="355" ht="12.75" customHeight="1">
      <c r="A355" s="101"/>
      <c r="B355" s="54"/>
      <c r="C355" s="102"/>
      <c r="D355" s="101"/>
      <c r="E355" s="101"/>
      <c r="F355" s="101"/>
      <c r="G355" s="101"/>
      <c r="H355" s="101"/>
      <c r="I355" s="101"/>
      <c r="J355" s="101"/>
      <c r="K355" s="101"/>
      <c r="L355" s="53"/>
      <c r="M355" s="53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</row>
    <row r="356" ht="12.75" customHeight="1">
      <c r="A356" s="101"/>
      <c r="B356" s="54"/>
      <c r="C356" s="102"/>
      <c r="D356" s="101"/>
      <c r="E356" s="101"/>
      <c r="F356" s="101"/>
      <c r="G356" s="101"/>
      <c r="H356" s="101"/>
      <c r="I356" s="101"/>
      <c r="J356" s="101"/>
      <c r="K356" s="101"/>
      <c r="L356" s="53"/>
      <c r="M356" s="53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</row>
    <row r="357" ht="12.75" customHeight="1">
      <c r="A357" s="101"/>
      <c r="B357" s="54"/>
      <c r="C357" s="102"/>
      <c r="D357" s="101"/>
      <c r="E357" s="101"/>
      <c r="F357" s="101"/>
      <c r="G357" s="101"/>
      <c r="H357" s="101"/>
      <c r="I357" s="101"/>
      <c r="J357" s="101"/>
      <c r="K357" s="101"/>
      <c r="L357" s="53"/>
      <c r="M357" s="53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</row>
    <row r="358" ht="12.75" customHeight="1">
      <c r="A358" s="101"/>
      <c r="B358" s="54"/>
      <c r="C358" s="102"/>
      <c r="D358" s="101"/>
      <c r="E358" s="101"/>
      <c r="F358" s="101"/>
      <c r="G358" s="101"/>
      <c r="H358" s="101"/>
      <c r="I358" s="101"/>
      <c r="J358" s="101"/>
      <c r="K358" s="101"/>
      <c r="L358" s="53"/>
      <c r="M358" s="53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</row>
    <row r="359" ht="12.75" customHeight="1">
      <c r="A359" s="101"/>
      <c r="B359" s="54"/>
      <c r="C359" s="102"/>
      <c r="D359" s="101"/>
      <c r="E359" s="101"/>
      <c r="F359" s="101"/>
      <c r="G359" s="101"/>
      <c r="H359" s="101"/>
      <c r="I359" s="101"/>
      <c r="J359" s="101"/>
      <c r="K359" s="101"/>
      <c r="L359" s="53"/>
      <c r="M359" s="53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</row>
    <row r="360" ht="12.75" customHeight="1">
      <c r="A360" s="101"/>
      <c r="B360" s="54"/>
      <c r="C360" s="102"/>
      <c r="D360" s="101"/>
      <c r="E360" s="101"/>
      <c r="F360" s="101"/>
      <c r="G360" s="101"/>
      <c r="H360" s="101"/>
      <c r="I360" s="101"/>
      <c r="J360" s="101"/>
      <c r="K360" s="101"/>
      <c r="L360" s="53"/>
      <c r="M360" s="53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</row>
    <row r="361" ht="12.75" customHeight="1">
      <c r="A361" s="101"/>
      <c r="B361" s="54"/>
      <c r="C361" s="102"/>
      <c r="D361" s="101"/>
      <c r="E361" s="101"/>
      <c r="F361" s="101"/>
      <c r="G361" s="101"/>
      <c r="H361" s="101"/>
      <c r="I361" s="101"/>
      <c r="J361" s="101"/>
      <c r="K361" s="101"/>
      <c r="L361" s="53"/>
      <c r="M361" s="53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</row>
    <row r="362" ht="12.75" customHeight="1">
      <c r="A362" s="101"/>
      <c r="B362" s="54"/>
      <c r="C362" s="102"/>
      <c r="D362" s="101"/>
      <c r="E362" s="101"/>
      <c r="F362" s="101"/>
      <c r="G362" s="101"/>
      <c r="H362" s="101"/>
      <c r="I362" s="101"/>
      <c r="J362" s="101"/>
      <c r="K362" s="101"/>
      <c r="L362" s="53"/>
      <c r="M362" s="53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</row>
    <row r="363" ht="12.75" customHeight="1">
      <c r="A363" s="101"/>
      <c r="B363" s="54"/>
      <c r="C363" s="102"/>
      <c r="D363" s="101"/>
      <c r="E363" s="101"/>
      <c r="F363" s="101"/>
      <c r="G363" s="101"/>
      <c r="H363" s="101"/>
      <c r="I363" s="101"/>
      <c r="J363" s="101"/>
      <c r="K363" s="101"/>
      <c r="L363" s="53"/>
      <c r="M363" s="53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</row>
    <row r="364" ht="12.75" customHeight="1">
      <c r="A364" s="101"/>
      <c r="B364" s="54"/>
      <c r="C364" s="102"/>
      <c r="D364" s="101"/>
      <c r="E364" s="101"/>
      <c r="F364" s="101"/>
      <c r="G364" s="101"/>
      <c r="H364" s="101"/>
      <c r="I364" s="101"/>
      <c r="J364" s="101"/>
      <c r="K364" s="101"/>
      <c r="L364" s="53"/>
      <c r="M364" s="53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</row>
    <row r="365" ht="12.75" customHeight="1">
      <c r="A365" s="101"/>
      <c r="B365" s="54"/>
      <c r="C365" s="102"/>
      <c r="D365" s="101"/>
      <c r="E365" s="101"/>
      <c r="F365" s="101"/>
      <c r="G365" s="101"/>
      <c r="H365" s="101"/>
      <c r="I365" s="101"/>
      <c r="J365" s="101"/>
      <c r="K365" s="101"/>
      <c r="L365" s="53"/>
      <c r="M365" s="53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</row>
    <row r="366" ht="12.75" customHeight="1">
      <c r="A366" s="101"/>
      <c r="B366" s="54"/>
      <c r="C366" s="102"/>
      <c r="D366" s="101"/>
      <c r="E366" s="101"/>
      <c r="F366" s="101"/>
      <c r="G366" s="101"/>
      <c r="H366" s="101"/>
      <c r="I366" s="101"/>
      <c r="J366" s="101"/>
      <c r="K366" s="101"/>
      <c r="L366" s="53"/>
      <c r="M366" s="53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</row>
    <row r="367" ht="12.75" customHeight="1">
      <c r="A367" s="101"/>
      <c r="B367" s="54"/>
      <c r="C367" s="102"/>
      <c r="D367" s="101"/>
      <c r="E367" s="101"/>
      <c r="F367" s="101"/>
      <c r="G367" s="101"/>
      <c r="H367" s="101"/>
      <c r="I367" s="101"/>
      <c r="J367" s="101"/>
      <c r="K367" s="101"/>
      <c r="L367" s="53"/>
      <c r="M367" s="53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</row>
    <row r="368" ht="12.75" customHeight="1">
      <c r="A368" s="101"/>
      <c r="B368" s="54"/>
      <c r="C368" s="102"/>
      <c r="D368" s="101"/>
      <c r="E368" s="101"/>
      <c r="F368" s="101"/>
      <c r="G368" s="101"/>
      <c r="H368" s="101"/>
      <c r="I368" s="101"/>
      <c r="J368" s="101"/>
      <c r="K368" s="101"/>
      <c r="L368" s="53"/>
      <c r="M368" s="53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</row>
    <row r="369" ht="12.75" customHeight="1">
      <c r="A369" s="101"/>
      <c r="B369" s="54"/>
      <c r="C369" s="102"/>
      <c r="D369" s="101"/>
      <c r="E369" s="101"/>
      <c r="F369" s="101"/>
      <c r="G369" s="101"/>
      <c r="H369" s="101"/>
      <c r="I369" s="101"/>
      <c r="J369" s="101"/>
      <c r="K369" s="101"/>
      <c r="L369" s="53"/>
      <c r="M369" s="53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</row>
    <row r="370" ht="12.75" customHeight="1">
      <c r="A370" s="101"/>
      <c r="B370" s="54"/>
      <c r="C370" s="102"/>
      <c r="D370" s="101"/>
      <c r="E370" s="101"/>
      <c r="F370" s="101"/>
      <c r="G370" s="101"/>
      <c r="H370" s="101"/>
      <c r="I370" s="101"/>
      <c r="J370" s="101"/>
      <c r="K370" s="101"/>
      <c r="L370" s="53"/>
      <c r="M370" s="53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</row>
    <row r="371" ht="12.75" customHeight="1">
      <c r="A371" s="101"/>
      <c r="B371" s="54"/>
      <c r="C371" s="102"/>
      <c r="D371" s="101"/>
      <c r="E371" s="101"/>
      <c r="F371" s="101"/>
      <c r="G371" s="101"/>
      <c r="H371" s="101"/>
      <c r="I371" s="101"/>
      <c r="J371" s="101"/>
      <c r="K371" s="101"/>
      <c r="L371" s="53"/>
      <c r="M371" s="53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</row>
    <row r="372" ht="12.75" customHeight="1">
      <c r="A372" s="101"/>
      <c r="B372" s="54"/>
      <c r="C372" s="102"/>
      <c r="D372" s="101"/>
      <c r="E372" s="101"/>
      <c r="F372" s="101"/>
      <c r="G372" s="101"/>
      <c r="H372" s="101"/>
      <c r="I372" s="101"/>
      <c r="J372" s="101"/>
      <c r="K372" s="101"/>
      <c r="L372" s="53"/>
      <c r="M372" s="53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</row>
    <row r="373" ht="12.75" customHeight="1">
      <c r="A373" s="101"/>
      <c r="B373" s="54"/>
      <c r="C373" s="102"/>
      <c r="D373" s="101"/>
      <c r="E373" s="101"/>
      <c r="F373" s="101"/>
      <c r="G373" s="101"/>
      <c r="H373" s="101"/>
      <c r="I373" s="101"/>
      <c r="J373" s="101"/>
      <c r="K373" s="101"/>
      <c r="L373" s="53"/>
      <c r="M373" s="53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</row>
    <row r="374" ht="12.75" customHeight="1">
      <c r="A374" s="101"/>
      <c r="B374" s="54"/>
      <c r="C374" s="102"/>
      <c r="D374" s="101"/>
      <c r="E374" s="101"/>
      <c r="F374" s="101"/>
      <c r="G374" s="101"/>
      <c r="H374" s="101"/>
      <c r="I374" s="101"/>
      <c r="J374" s="101"/>
      <c r="K374" s="101"/>
      <c r="L374" s="53"/>
      <c r="M374" s="53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</row>
    <row r="375" ht="12.75" customHeight="1">
      <c r="A375" s="101"/>
      <c r="B375" s="54"/>
      <c r="C375" s="102"/>
      <c r="D375" s="101"/>
      <c r="E375" s="101"/>
      <c r="F375" s="101"/>
      <c r="G375" s="101"/>
      <c r="H375" s="101"/>
      <c r="I375" s="101"/>
      <c r="J375" s="101"/>
      <c r="K375" s="101"/>
      <c r="L375" s="53"/>
      <c r="M375" s="53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</row>
    <row r="376" ht="12.75" customHeight="1">
      <c r="A376" s="101"/>
      <c r="B376" s="54"/>
      <c r="C376" s="102"/>
      <c r="D376" s="101"/>
      <c r="E376" s="101"/>
      <c r="F376" s="101"/>
      <c r="G376" s="101"/>
      <c r="H376" s="101"/>
      <c r="I376" s="101"/>
      <c r="J376" s="101"/>
      <c r="K376" s="101"/>
      <c r="L376" s="53"/>
      <c r="M376" s="53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</row>
    <row r="377" ht="12.75" customHeight="1">
      <c r="A377" s="101"/>
      <c r="B377" s="54"/>
      <c r="C377" s="102"/>
      <c r="D377" s="101"/>
      <c r="E377" s="101"/>
      <c r="F377" s="101"/>
      <c r="G377" s="101"/>
      <c r="H377" s="101"/>
      <c r="I377" s="101"/>
      <c r="J377" s="101"/>
      <c r="K377" s="101"/>
      <c r="L377" s="53"/>
      <c r="M377" s="53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</row>
    <row r="378" ht="12.75" customHeight="1">
      <c r="A378" s="101"/>
      <c r="B378" s="54"/>
      <c r="C378" s="102"/>
      <c r="D378" s="101"/>
      <c r="E378" s="101"/>
      <c r="F378" s="101"/>
      <c r="G378" s="101"/>
      <c r="H378" s="101"/>
      <c r="I378" s="101"/>
      <c r="J378" s="101"/>
      <c r="K378" s="101"/>
      <c r="L378" s="53"/>
      <c r="M378" s="53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</row>
    <row r="379" ht="12.75" customHeight="1">
      <c r="A379" s="101"/>
      <c r="B379" s="54"/>
      <c r="C379" s="102"/>
      <c r="D379" s="101"/>
      <c r="E379" s="101"/>
      <c r="F379" s="101"/>
      <c r="G379" s="101"/>
      <c r="H379" s="101"/>
      <c r="I379" s="101"/>
      <c r="J379" s="101"/>
      <c r="K379" s="101"/>
      <c r="L379" s="53"/>
      <c r="M379" s="53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</row>
    <row r="380" ht="12.75" customHeight="1">
      <c r="A380" s="101"/>
      <c r="B380" s="54"/>
      <c r="C380" s="102"/>
      <c r="D380" s="101"/>
      <c r="E380" s="101"/>
      <c r="F380" s="101"/>
      <c r="G380" s="101"/>
      <c r="H380" s="101"/>
      <c r="I380" s="101"/>
      <c r="J380" s="101"/>
      <c r="K380" s="101"/>
      <c r="L380" s="53"/>
      <c r="M380" s="53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</row>
    <row r="381" ht="12.75" customHeight="1">
      <c r="A381" s="101"/>
      <c r="B381" s="54"/>
      <c r="C381" s="102"/>
      <c r="D381" s="101"/>
      <c r="E381" s="101"/>
      <c r="F381" s="101"/>
      <c r="G381" s="101"/>
      <c r="H381" s="101"/>
      <c r="I381" s="101"/>
      <c r="J381" s="101"/>
      <c r="K381" s="101"/>
      <c r="L381" s="53"/>
      <c r="M381" s="53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</row>
    <row r="382" ht="12.75" customHeight="1">
      <c r="A382" s="101"/>
      <c r="B382" s="54"/>
      <c r="C382" s="102"/>
      <c r="D382" s="101"/>
      <c r="E382" s="101"/>
      <c r="F382" s="101"/>
      <c r="G382" s="101"/>
      <c r="H382" s="101"/>
      <c r="I382" s="101"/>
      <c r="J382" s="101"/>
      <c r="K382" s="101"/>
      <c r="L382" s="53"/>
      <c r="M382" s="53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</row>
    <row r="383" ht="12.75" customHeight="1">
      <c r="A383" s="101"/>
      <c r="B383" s="54"/>
      <c r="C383" s="102"/>
      <c r="D383" s="101"/>
      <c r="E383" s="101"/>
      <c r="F383" s="101"/>
      <c r="G383" s="101"/>
      <c r="H383" s="101"/>
      <c r="I383" s="101"/>
      <c r="J383" s="101"/>
      <c r="K383" s="101"/>
      <c r="L383" s="53"/>
      <c r="M383" s="53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</row>
    <row r="384" ht="12.75" customHeight="1">
      <c r="A384" s="101"/>
      <c r="B384" s="54"/>
      <c r="C384" s="102"/>
      <c r="D384" s="101"/>
      <c r="E384" s="101"/>
      <c r="F384" s="101"/>
      <c r="G384" s="101"/>
      <c r="H384" s="101"/>
      <c r="I384" s="101"/>
      <c r="J384" s="101"/>
      <c r="K384" s="101"/>
      <c r="L384" s="53"/>
      <c r="M384" s="53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</row>
    <row r="385" ht="12.75" customHeight="1">
      <c r="A385" s="101"/>
      <c r="B385" s="54"/>
      <c r="C385" s="102"/>
      <c r="D385" s="101"/>
      <c r="E385" s="101"/>
      <c r="F385" s="101"/>
      <c r="G385" s="101"/>
      <c r="H385" s="101"/>
      <c r="I385" s="101"/>
      <c r="J385" s="101"/>
      <c r="K385" s="101"/>
      <c r="L385" s="53"/>
      <c r="M385" s="53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</row>
    <row r="386" ht="12.75" customHeight="1">
      <c r="A386" s="101"/>
      <c r="B386" s="54"/>
      <c r="C386" s="102"/>
      <c r="D386" s="101"/>
      <c r="E386" s="101"/>
      <c r="F386" s="101"/>
      <c r="G386" s="101"/>
      <c r="H386" s="101"/>
      <c r="I386" s="101"/>
      <c r="J386" s="101"/>
      <c r="K386" s="101"/>
      <c r="L386" s="53"/>
      <c r="M386" s="53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</row>
    <row r="387" ht="12.75" customHeight="1">
      <c r="A387" s="101"/>
      <c r="B387" s="54"/>
      <c r="C387" s="102"/>
      <c r="D387" s="101"/>
      <c r="E387" s="101"/>
      <c r="F387" s="101"/>
      <c r="G387" s="101"/>
      <c r="H387" s="101"/>
      <c r="I387" s="101"/>
      <c r="J387" s="101"/>
      <c r="K387" s="101"/>
      <c r="L387" s="53"/>
      <c r="M387" s="53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</row>
    <row r="388" ht="12.75" customHeight="1">
      <c r="A388" s="101"/>
      <c r="B388" s="54"/>
      <c r="C388" s="102"/>
      <c r="D388" s="101"/>
      <c r="E388" s="101"/>
      <c r="F388" s="101"/>
      <c r="G388" s="101"/>
      <c r="H388" s="101"/>
      <c r="I388" s="101"/>
      <c r="J388" s="101"/>
      <c r="K388" s="101"/>
      <c r="L388" s="53"/>
      <c r="M388" s="53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</row>
    <row r="389" ht="12.75" customHeight="1">
      <c r="A389" s="101"/>
      <c r="B389" s="54"/>
      <c r="C389" s="102"/>
      <c r="D389" s="101"/>
      <c r="E389" s="101"/>
      <c r="F389" s="101"/>
      <c r="G389" s="101"/>
      <c r="H389" s="101"/>
      <c r="I389" s="101"/>
      <c r="J389" s="101"/>
      <c r="K389" s="101"/>
      <c r="L389" s="53"/>
      <c r="M389" s="53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</row>
    <row r="390" ht="12.75" customHeight="1">
      <c r="A390" s="101"/>
      <c r="B390" s="54"/>
      <c r="C390" s="102"/>
      <c r="D390" s="101"/>
      <c r="E390" s="101"/>
      <c r="F390" s="101"/>
      <c r="G390" s="101"/>
      <c r="H390" s="101"/>
      <c r="I390" s="101"/>
      <c r="J390" s="101"/>
      <c r="K390" s="101"/>
      <c r="L390" s="53"/>
      <c r="M390" s="53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</row>
    <row r="391" ht="12.75" customHeight="1">
      <c r="A391" s="101"/>
      <c r="B391" s="54"/>
      <c r="C391" s="102"/>
      <c r="D391" s="101"/>
      <c r="E391" s="101"/>
      <c r="F391" s="101"/>
      <c r="G391" s="101"/>
      <c r="H391" s="101"/>
      <c r="I391" s="101"/>
      <c r="J391" s="101"/>
      <c r="K391" s="101"/>
      <c r="L391" s="53"/>
      <c r="M391" s="53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</row>
    <row r="392" ht="12.75" customHeight="1">
      <c r="A392" s="101"/>
      <c r="B392" s="54"/>
      <c r="C392" s="102"/>
      <c r="D392" s="101"/>
      <c r="E392" s="101"/>
      <c r="F392" s="101"/>
      <c r="G392" s="101"/>
      <c r="H392" s="101"/>
      <c r="I392" s="101"/>
      <c r="J392" s="101"/>
      <c r="K392" s="101"/>
      <c r="L392" s="53"/>
      <c r="M392" s="53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</row>
    <row r="393" ht="12.75" customHeight="1">
      <c r="A393" s="101"/>
      <c r="B393" s="54"/>
      <c r="C393" s="102"/>
      <c r="D393" s="101"/>
      <c r="E393" s="101"/>
      <c r="F393" s="101"/>
      <c r="G393" s="101"/>
      <c r="H393" s="101"/>
      <c r="I393" s="101"/>
      <c r="J393" s="101"/>
      <c r="K393" s="101"/>
      <c r="L393" s="53"/>
      <c r="M393" s="53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</row>
    <row r="394" ht="12.75" customHeight="1">
      <c r="A394" s="101"/>
      <c r="B394" s="54"/>
      <c r="C394" s="102"/>
      <c r="D394" s="101"/>
      <c r="E394" s="101"/>
      <c r="F394" s="101"/>
      <c r="G394" s="101"/>
      <c r="H394" s="101"/>
      <c r="I394" s="101"/>
      <c r="J394" s="101"/>
      <c r="K394" s="101"/>
      <c r="L394" s="53"/>
      <c r="M394" s="53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</row>
    <row r="395" ht="12.75" customHeight="1">
      <c r="A395" s="101"/>
      <c r="B395" s="54"/>
      <c r="C395" s="102"/>
      <c r="D395" s="101"/>
      <c r="E395" s="101"/>
      <c r="F395" s="101"/>
      <c r="G395" s="101"/>
      <c r="H395" s="101"/>
      <c r="I395" s="101"/>
      <c r="J395" s="101"/>
      <c r="K395" s="101"/>
      <c r="L395" s="53"/>
      <c r="M395" s="53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</row>
    <row r="396" ht="12.75" customHeight="1">
      <c r="A396" s="101"/>
      <c r="B396" s="54"/>
      <c r="C396" s="102"/>
      <c r="D396" s="101"/>
      <c r="E396" s="101"/>
      <c r="F396" s="101"/>
      <c r="G396" s="101"/>
      <c r="H396" s="101"/>
      <c r="I396" s="101"/>
      <c r="J396" s="101"/>
      <c r="K396" s="101"/>
      <c r="L396" s="53"/>
      <c r="M396" s="53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</row>
    <row r="397" ht="12.75" customHeight="1">
      <c r="A397" s="101"/>
      <c r="B397" s="54"/>
      <c r="C397" s="102"/>
      <c r="D397" s="101"/>
      <c r="E397" s="101"/>
      <c r="F397" s="101"/>
      <c r="G397" s="101"/>
      <c r="H397" s="101"/>
      <c r="I397" s="101"/>
      <c r="J397" s="101"/>
      <c r="K397" s="101"/>
      <c r="L397" s="53"/>
      <c r="M397" s="53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</row>
    <row r="398" ht="12.75" customHeight="1">
      <c r="A398" s="101"/>
      <c r="B398" s="54"/>
      <c r="C398" s="102"/>
      <c r="D398" s="101"/>
      <c r="E398" s="101"/>
      <c r="F398" s="101"/>
      <c r="G398" s="101"/>
      <c r="H398" s="101"/>
      <c r="I398" s="101"/>
      <c r="J398" s="101"/>
      <c r="K398" s="101"/>
      <c r="L398" s="53"/>
      <c r="M398" s="53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</row>
    <row r="399" ht="12.75" customHeight="1">
      <c r="A399" s="101"/>
      <c r="B399" s="54"/>
      <c r="C399" s="102"/>
      <c r="D399" s="101"/>
      <c r="E399" s="101"/>
      <c r="F399" s="101"/>
      <c r="G399" s="101"/>
      <c r="H399" s="101"/>
      <c r="I399" s="101"/>
      <c r="J399" s="101"/>
      <c r="K399" s="101"/>
      <c r="L399" s="53"/>
      <c r="M399" s="53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</row>
    <row r="400" ht="12.75" customHeight="1">
      <c r="A400" s="101"/>
      <c r="B400" s="54"/>
      <c r="C400" s="102"/>
      <c r="D400" s="101"/>
      <c r="E400" s="101"/>
      <c r="F400" s="101"/>
      <c r="G400" s="101"/>
      <c r="H400" s="101"/>
      <c r="I400" s="101"/>
      <c r="J400" s="101"/>
      <c r="K400" s="101"/>
      <c r="L400" s="53"/>
      <c r="M400" s="53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</row>
    <row r="401" ht="12.75" customHeight="1">
      <c r="A401" s="101"/>
      <c r="B401" s="54"/>
      <c r="C401" s="102"/>
      <c r="D401" s="101"/>
      <c r="E401" s="101"/>
      <c r="F401" s="101"/>
      <c r="G401" s="101"/>
      <c r="H401" s="101"/>
      <c r="I401" s="101"/>
      <c r="J401" s="101"/>
      <c r="K401" s="101"/>
      <c r="L401" s="53"/>
      <c r="M401" s="53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</row>
    <row r="402" ht="12.75" customHeight="1">
      <c r="A402" s="101"/>
      <c r="B402" s="54"/>
      <c r="C402" s="102"/>
      <c r="D402" s="101"/>
      <c r="E402" s="101"/>
      <c r="F402" s="101"/>
      <c r="G402" s="101"/>
      <c r="H402" s="101"/>
      <c r="I402" s="101"/>
      <c r="J402" s="101"/>
      <c r="K402" s="101"/>
      <c r="L402" s="53"/>
      <c r="M402" s="53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</row>
    <row r="403" ht="12.75" customHeight="1">
      <c r="A403" s="101"/>
      <c r="B403" s="54"/>
      <c r="C403" s="102"/>
      <c r="D403" s="101"/>
      <c r="E403" s="101"/>
      <c r="F403" s="101"/>
      <c r="G403" s="101"/>
      <c r="H403" s="101"/>
      <c r="I403" s="101"/>
      <c r="J403" s="101"/>
      <c r="K403" s="101"/>
      <c r="L403" s="53"/>
      <c r="M403" s="53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</row>
    <row r="404" ht="12.75" customHeight="1">
      <c r="A404" s="101"/>
      <c r="B404" s="54"/>
      <c r="C404" s="102"/>
      <c r="D404" s="101"/>
      <c r="E404" s="101"/>
      <c r="F404" s="101"/>
      <c r="G404" s="101"/>
      <c r="H404" s="101"/>
      <c r="I404" s="101"/>
      <c r="J404" s="101"/>
      <c r="K404" s="101"/>
      <c r="L404" s="53"/>
      <c r="M404" s="53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</row>
    <row r="405" ht="12.75" customHeight="1">
      <c r="A405" s="101"/>
      <c r="B405" s="54"/>
      <c r="C405" s="102"/>
      <c r="D405" s="101"/>
      <c r="E405" s="101"/>
      <c r="F405" s="101"/>
      <c r="G405" s="101"/>
      <c r="H405" s="101"/>
      <c r="I405" s="101"/>
      <c r="J405" s="101"/>
      <c r="K405" s="101"/>
      <c r="L405" s="53"/>
      <c r="M405" s="53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</row>
    <row r="406" ht="12.75" customHeight="1">
      <c r="A406" s="101"/>
      <c r="B406" s="54"/>
      <c r="C406" s="102"/>
      <c r="D406" s="101"/>
      <c r="E406" s="101"/>
      <c r="F406" s="101"/>
      <c r="G406" s="101"/>
      <c r="H406" s="101"/>
      <c r="I406" s="101"/>
      <c r="J406" s="101"/>
      <c r="K406" s="101"/>
      <c r="L406" s="53"/>
      <c r="M406" s="53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</row>
    <row r="407" ht="12.75" customHeight="1">
      <c r="A407" s="101"/>
      <c r="B407" s="54"/>
      <c r="C407" s="102"/>
      <c r="D407" s="101"/>
      <c r="E407" s="101"/>
      <c r="F407" s="101"/>
      <c r="G407" s="101"/>
      <c r="H407" s="101"/>
      <c r="I407" s="101"/>
      <c r="J407" s="101"/>
      <c r="K407" s="101"/>
      <c r="L407" s="53"/>
      <c r="M407" s="53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</row>
    <row r="408" ht="12.75" customHeight="1">
      <c r="A408" s="101"/>
      <c r="B408" s="54"/>
      <c r="C408" s="102"/>
      <c r="D408" s="101"/>
      <c r="E408" s="101"/>
      <c r="F408" s="101"/>
      <c r="G408" s="101"/>
      <c r="H408" s="101"/>
      <c r="I408" s="101"/>
      <c r="J408" s="101"/>
      <c r="K408" s="101"/>
      <c r="L408" s="53"/>
      <c r="M408" s="53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</row>
    <row r="409" ht="12.75" customHeight="1">
      <c r="A409" s="101"/>
      <c r="B409" s="54"/>
      <c r="C409" s="102"/>
      <c r="D409" s="101"/>
      <c r="E409" s="101"/>
      <c r="F409" s="101"/>
      <c r="G409" s="101"/>
      <c r="H409" s="101"/>
      <c r="I409" s="101"/>
      <c r="J409" s="101"/>
      <c r="K409" s="101"/>
      <c r="L409" s="53"/>
      <c r="M409" s="53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</row>
    <row r="410" ht="12.75" customHeight="1">
      <c r="A410" s="101"/>
      <c r="B410" s="54"/>
      <c r="C410" s="102"/>
      <c r="D410" s="101"/>
      <c r="E410" s="101"/>
      <c r="F410" s="101"/>
      <c r="G410" s="101"/>
      <c r="H410" s="101"/>
      <c r="I410" s="101"/>
      <c r="J410" s="101"/>
      <c r="K410" s="101"/>
      <c r="L410" s="53"/>
      <c r="M410" s="53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</row>
    <row r="411" ht="12.75" customHeight="1">
      <c r="A411" s="101"/>
      <c r="B411" s="54"/>
      <c r="C411" s="102"/>
      <c r="D411" s="101"/>
      <c r="E411" s="101"/>
      <c r="F411" s="101"/>
      <c r="G411" s="101"/>
      <c r="H411" s="101"/>
      <c r="I411" s="101"/>
      <c r="J411" s="101"/>
      <c r="K411" s="101"/>
      <c r="L411" s="53"/>
      <c r="M411" s="53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</row>
    <row r="412" ht="12.75" customHeight="1">
      <c r="A412" s="101"/>
      <c r="B412" s="54"/>
      <c r="C412" s="102"/>
      <c r="D412" s="101"/>
      <c r="E412" s="101"/>
      <c r="F412" s="101"/>
      <c r="G412" s="101"/>
      <c r="H412" s="101"/>
      <c r="I412" s="101"/>
      <c r="J412" s="101"/>
      <c r="K412" s="101"/>
      <c r="L412" s="53"/>
      <c r="M412" s="53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</row>
    <row r="413" ht="12.75" customHeight="1">
      <c r="A413" s="101"/>
      <c r="B413" s="54"/>
      <c r="C413" s="102"/>
      <c r="D413" s="101"/>
      <c r="E413" s="101"/>
      <c r="F413" s="101"/>
      <c r="G413" s="101"/>
      <c r="H413" s="101"/>
      <c r="I413" s="101"/>
      <c r="J413" s="101"/>
      <c r="K413" s="101"/>
      <c r="L413" s="53"/>
      <c r="M413" s="53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</row>
    <row r="414" ht="12.75" customHeight="1">
      <c r="A414" s="101"/>
      <c r="B414" s="54"/>
      <c r="C414" s="102"/>
      <c r="D414" s="101"/>
      <c r="E414" s="101"/>
      <c r="F414" s="101"/>
      <c r="G414" s="101"/>
      <c r="H414" s="101"/>
      <c r="I414" s="101"/>
      <c r="J414" s="101"/>
      <c r="K414" s="101"/>
      <c r="L414" s="53"/>
      <c r="M414" s="53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</row>
    <row r="415" ht="12.75" customHeight="1">
      <c r="A415" s="101"/>
      <c r="B415" s="54"/>
      <c r="C415" s="102"/>
      <c r="D415" s="101"/>
      <c r="E415" s="101"/>
      <c r="F415" s="101"/>
      <c r="G415" s="101"/>
      <c r="H415" s="101"/>
      <c r="I415" s="101"/>
      <c r="J415" s="101"/>
      <c r="K415" s="101"/>
      <c r="L415" s="53"/>
      <c r="M415" s="53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</row>
    <row r="416" ht="12.75" customHeight="1">
      <c r="A416" s="101"/>
      <c r="B416" s="54"/>
      <c r="C416" s="102"/>
      <c r="D416" s="101"/>
      <c r="E416" s="101"/>
      <c r="F416" s="101"/>
      <c r="G416" s="101"/>
      <c r="H416" s="101"/>
      <c r="I416" s="101"/>
      <c r="J416" s="101"/>
      <c r="K416" s="101"/>
      <c r="L416" s="53"/>
      <c r="M416" s="53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</row>
    <row r="417" ht="12.75" customHeight="1">
      <c r="A417" s="101"/>
      <c r="B417" s="54"/>
      <c r="C417" s="102"/>
      <c r="D417" s="101"/>
      <c r="E417" s="101"/>
      <c r="F417" s="101"/>
      <c r="G417" s="101"/>
      <c r="H417" s="101"/>
      <c r="I417" s="101"/>
      <c r="J417" s="101"/>
      <c r="K417" s="101"/>
      <c r="L417" s="53"/>
      <c r="M417" s="53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</row>
    <row r="418" ht="12.75" customHeight="1">
      <c r="A418" s="101"/>
      <c r="B418" s="54"/>
      <c r="C418" s="102"/>
      <c r="D418" s="101"/>
      <c r="E418" s="101"/>
      <c r="F418" s="101"/>
      <c r="G418" s="101"/>
      <c r="H418" s="101"/>
      <c r="I418" s="101"/>
      <c r="J418" s="101"/>
      <c r="K418" s="101"/>
      <c r="L418" s="53"/>
      <c r="M418" s="53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</row>
    <row r="419" ht="12.75" customHeight="1">
      <c r="A419" s="101"/>
      <c r="B419" s="54"/>
      <c r="C419" s="102"/>
      <c r="D419" s="101"/>
      <c r="E419" s="101"/>
      <c r="F419" s="101"/>
      <c r="G419" s="101"/>
      <c r="H419" s="101"/>
      <c r="I419" s="101"/>
      <c r="J419" s="101"/>
      <c r="K419" s="101"/>
      <c r="L419" s="53"/>
      <c r="M419" s="53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</row>
    <row r="420" ht="12.75" customHeight="1">
      <c r="A420" s="101"/>
      <c r="B420" s="54"/>
      <c r="C420" s="102"/>
      <c r="D420" s="101"/>
      <c r="E420" s="101"/>
      <c r="F420" s="101"/>
      <c r="G420" s="101"/>
      <c r="H420" s="101"/>
      <c r="I420" s="101"/>
      <c r="J420" s="101"/>
      <c r="K420" s="101"/>
      <c r="L420" s="53"/>
      <c r="M420" s="53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</row>
    <row r="421" ht="12.75" customHeight="1">
      <c r="A421" s="101"/>
      <c r="B421" s="54"/>
      <c r="C421" s="102"/>
      <c r="D421" s="101"/>
      <c r="E421" s="101"/>
      <c r="F421" s="101"/>
      <c r="G421" s="101"/>
      <c r="H421" s="101"/>
      <c r="I421" s="101"/>
      <c r="J421" s="101"/>
      <c r="K421" s="101"/>
      <c r="L421" s="53"/>
      <c r="M421" s="53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</row>
    <row r="422" ht="12.75" customHeight="1">
      <c r="A422" s="101"/>
      <c r="B422" s="54"/>
      <c r="C422" s="102"/>
      <c r="D422" s="101"/>
      <c r="E422" s="101"/>
      <c r="F422" s="101"/>
      <c r="G422" s="101"/>
      <c r="H422" s="101"/>
      <c r="I422" s="101"/>
      <c r="J422" s="101"/>
      <c r="K422" s="101"/>
      <c r="L422" s="53"/>
      <c r="M422" s="53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</row>
    <row r="423" ht="12.75" customHeight="1">
      <c r="A423" s="101"/>
      <c r="B423" s="54"/>
      <c r="C423" s="102"/>
      <c r="D423" s="101"/>
      <c r="E423" s="101"/>
      <c r="F423" s="101"/>
      <c r="G423" s="101"/>
      <c r="H423" s="101"/>
      <c r="I423" s="101"/>
      <c r="J423" s="101"/>
      <c r="K423" s="101"/>
      <c r="L423" s="53"/>
      <c r="M423" s="53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</row>
    <row r="424" ht="12.75" customHeight="1">
      <c r="A424" s="101"/>
      <c r="B424" s="54"/>
      <c r="C424" s="102"/>
      <c r="D424" s="101"/>
      <c r="E424" s="101"/>
      <c r="F424" s="101"/>
      <c r="G424" s="101"/>
      <c r="H424" s="101"/>
      <c r="I424" s="101"/>
      <c r="J424" s="101"/>
      <c r="K424" s="101"/>
      <c r="L424" s="53"/>
      <c r="M424" s="53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</row>
    <row r="425" ht="12.75" customHeight="1">
      <c r="A425" s="101"/>
      <c r="B425" s="54"/>
      <c r="C425" s="102"/>
      <c r="D425" s="101"/>
      <c r="E425" s="101"/>
      <c r="F425" s="101"/>
      <c r="G425" s="101"/>
      <c r="H425" s="101"/>
      <c r="I425" s="101"/>
      <c r="J425" s="101"/>
      <c r="K425" s="101"/>
      <c r="L425" s="53"/>
      <c r="M425" s="53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</row>
    <row r="426" ht="12.75" customHeight="1">
      <c r="A426" s="101"/>
      <c r="B426" s="54"/>
      <c r="C426" s="102"/>
      <c r="D426" s="101"/>
      <c r="E426" s="101"/>
      <c r="F426" s="101"/>
      <c r="G426" s="101"/>
      <c r="H426" s="101"/>
      <c r="I426" s="101"/>
      <c r="J426" s="101"/>
      <c r="K426" s="101"/>
      <c r="L426" s="53"/>
      <c r="M426" s="53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</row>
    <row r="427" ht="12.75" customHeight="1">
      <c r="A427" s="101"/>
      <c r="B427" s="54"/>
      <c r="C427" s="102"/>
      <c r="D427" s="101"/>
      <c r="E427" s="101"/>
      <c r="F427" s="101"/>
      <c r="G427" s="101"/>
      <c r="H427" s="101"/>
      <c r="I427" s="101"/>
      <c r="J427" s="101"/>
      <c r="K427" s="101"/>
      <c r="L427" s="53"/>
      <c r="M427" s="53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</row>
    <row r="428" ht="12.75" customHeight="1">
      <c r="A428" s="101"/>
      <c r="B428" s="54"/>
      <c r="C428" s="102"/>
      <c r="D428" s="101"/>
      <c r="E428" s="101"/>
      <c r="F428" s="101"/>
      <c r="G428" s="101"/>
      <c r="H428" s="101"/>
      <c r="I428" s="101"/>
      <c r="J428" s="101"/>
      <c r="K428" s="101"/>
      <c r="L428" s="53"/>
      <c r="M428" s="53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</row>
    <row r="429" ht="12.75" customHeight="1">
      <c r="A429" s="101"/>
      <c r="B429" s="54"/>
      <c r="C429" s="102"/>
      <c r="D429" s="101"/>
      <c r="E429" s="101"/>
      <c r="F429" s="101"/>
      <c r="G429" s="101"/>
      <c r="H429" s="101"/>
      <c r="I429" s="101"/>
      <c r="J429" s="101"/>
      <c r="K429" s="101"/>
      <c r="L429" s="53"/>
      <c r="M429" s="53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</row>
    <row r="430" ht="12.75" customHeight="1">
      <c r="A430" s="101"/>
      <c r="B430" s="54"/>
      <c r="C430" s="102"/>
      <c r="D430" s="101"/>
      <c r="E430" s="101"/>
      <c r="F430" s="101"/>
      <c r="G430" s="101"/>
      <c r="H430" s="101"/>
      <c r="I430" s="101"/>
      <c r="J430" s="101"/>
      <c r="K430" s="101"/>
      <c r="L430" s="53"/>
      <c r="M430" s="53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</row>
    <row r="431" ht="12.75" customHeight="1">
      <c r="A431" s="101"/>
      <c r="B431" s="54"/>
      <c r="C431" s="102"/>
      <c r="D431" s="101"/>
      <c r="E431" s="101"/>
      <c r="F431" s="101"/>
      <c r="G431" s="101"/>
      <c r="H431" s="101"/>
      <c r="I431" s="101"/>
      <c r="J431" s="101"/>
      <c r="K431" s="101"/>
      <c r="L431" s="53"/>
      <c r="M431" s="53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</row>
    <row r="432" ht="12.75" customHeight="1">
      <c r="A432" s="101"/>
      <c r="B432" s="54"/>
      <c r="C432" s="102"/>
      <c r="D432" s="101"/>
      <c r="E432" s="101"/>
      <c r="F432" s="101"/>
      <c r="G432" s="101"/>
      <c r="H432" s="101"/>
      <c r="I432" s="101"/>
      <c r="J432" s="101"/>
      <c r="K432" s="101"/>
      <c r="L432" s="53"/>
      <c r="M432" s="53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</row>
    <row r="433" ht="12.75" customHeight="1">
      <c r="A433" s="101"/>
      <c r="B433" s="54"/>
      <c r="C433" s="102"/>
      <c r="D433" s="101"/>
      <c r="E433" s="101"/>
      <c r="F433" s="101"/>
      <c r="G433" s="101"/>
      <c r="H433" s="101"/>
      <c r="I433" s="101"/>
      <c r="J433" s="101"/>
      <c r="K433" s="101"/>
      <c r="L433" s="53"/>
      <c r="M433" s="53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</row>
    <row r="434" ht="12.75" customHeight="1">
      <c r="A434" s="101"/>
      <c r="B434" s="54"/>
      <c r="C434" s="102"/>
      <c r="D434" s="101"/>
      <c r="E434" s="101"/>
      <c r="F434" s="101"/>
      <c r="G434" s="101"/>
      <c r="H434" s="101"/>
      <c r="I434" s="101"/>
      <c r="J434" s="101"/>
      <c r="K434" s="101"/>
      <c r="L434" s="53"/>
      <c r="M434" s="53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</row>
    <row r="435" ht="12.75" customHeight="1">
      <c r="A435" s="101"/>
      <c r="B435" s="54"/>
      <c r="C435" s="102"/>
      <c r="D435" s="101"/>
      <c r="E435" s="101"/>
      <c r="F435" s="101"/>
      <c r="G435" s="101"/>
      <c r="H435" s="101"/>
      <c r="I435" s="101"/>
      <c r="J435" s="101"/>
      <c r="K435" s="101"/>
      <c r="L435" s="53"/>
      <c r="M435" s="53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</row>
    <row r="436" ht="12.75" customHeight="1">
      <c r="A436" s="101"/>
      <c r="B436" s="54"/>
      <c r="C436" s="102"/>
      <c r="D436" s="101"/>
      <c r="E436" s="101"/>
      <c r="F436" s="101"/>
      <c r="G436" s="101"/>
      <c r="H436" s="101"/>
      <c r="I436" s="101"/>
      <c r="J436" s="101"/>
      <c r="K436" s="101"/>
      <c r="L436" s="53"/>
      <c r="M436" s="53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</row>
    <row r="437" ht="12.75" customHeight="1">
      <c r="A437" s="101"/>
      <c r="B437" s="54"/>
      <c r="C437" s="102"/>
      <c r="D437" s="101"/>
      <c r="E437" s="101"/>
      <c r="F437" s="101"/>
      <c r="G437" s="101"/>
      <c r="H437" s="101"/>
      <c r="I437" s="101"/>
      <c r="J437" s="101"/>
      <c r="K437" s="101"/>
      <c r="L437" s="53"/>
      <c r="M437" s="53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</row>
    <row r="438" ht="12.75" customHeight="1">
      <c r="A438" s="101"/>
      <c r="B438" s="54"/>
      <c r="C438" s="102"/>
      <c r="D438" s="101"/>
      <c r="E438" s="101"/>
      <c r="F438" s="101"/>
      <c r="G438" s="101"/>
      <c r="H438" s="101"/>
      <c r="I438" s="101"/>
      <c r="J438" s="101"/>
      <c r="K438" s="101"/>
      <c r="L438" s="53"/>
      <c r="M438" s="53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</row>
    <row r="439" ht="12.75" customHeight="1">
      <c r="A439" s="101"/>
      <c r="B439" s="54"/>
      <c r="C439" s="102"/>
      <c r="D439" s="101"/>
      <c r="E439" s="101"/>
      <c r="F439" s="101"/>
      <c r="G439" s="101"/>
      <c r="H439" s="101"/>
      <c r="I439" s="101"/>
      <c r="J439" s="101"/>
      <c r="K439" s="101"/>
      <c r="L439" s="53"/>
      <c r="M439" s="53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</row>
    <row r="440" ht="12.75" customHeight="1">
      <c r="A440" s="101"/>
      <c r="B440" s="54"/>
      <c r="C440" s="102"/>
      <c r="D440" s="101"/>
      <c r="E440" s="101"/>
      <c r="F440" s="101"/>
      <c r="G440" s="101"/>
      <c r="H440" s="101"/>
      <c r="I440" s="101"/>
      <c r="J440" s="101"/>
      <c r="K440" s="101"/>
      <c r="L440" s="53"/>
      <c r="M440" s="53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</row>
    <row r="441" ht="12.75" customHeight="1">
      <c r="A441" s="101"/>
      <c r="B441" s="54"/>
      <c r="C441" s="102"/>
      <c r="D441" s="101"/>
      <c r="E441" s="101"/>
      <c r="F441" s="101"/>
      <c r="G441" s="101"/>
      <c r="H441" s="101"/>
      <c r="I441" s="101"/>
      <c r="J441" s="101"/>
      <c r="K441" s="101"/>
      <c r="L441" s="53"/>
      <c r="M441" s="53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</row>
    <row r="442" ht="12.75" customHeight="1">
      <c r="A442" s="101"/>
      <c r="B442" s="54"/>
      <c r="C442" s="102"/>
      <c r="D442" s="101"/>
      <c r="E442" s="101"/>
      <c r="F442" s="101"/>
      <c r="G442" s="101"/>
      <c r="H442" s="101"/>
      <c r="I442" s="101"/>
      <c r="J442" s="101"/>
      <c r="K442" s="101"/>
      <c r="L442" s="53"/>
      <c r="M442" s="53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</row>
    <row r="443" ht="12.75" customHeight="1">
      <c r="A443" s="101"/>
      <c r="B443" s="54"/>
      <c r="C443" s="102"/>
      <c r="D443" s="101"/>
      <c r="E443" s="101"/>
      <c r="F443" s="101"/>
      <c r="G443" s="101"/>
      <c r="H443" s="101"/>
      <c r="I443" s="101"/>
      <c r="J443" s="101"/>
      <c r="K443" s="101"/>
      <c r="L443" s="53"/>
      <c r="M443" s="53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</row>
    <row r="444" ht="12.75" customHeight="1">
      <c r="A444" s="101"/>
      <c r="B444" s="54"/>
      <c r="C444" s="102"/>
      <c r="D444" s="101"/>
      <c r="E444" s="101"/>
      <c r="F444" s="101"/>
      <c r="G444" s="101"/>
      <c r="H444" s="101"/>
      <c r="I444" s="101"/>
      <c r="J444" s="101"/>
      <c r="K444" s="101"/>
      <c r="L444" s="53"/>
      <c r="M444" s="53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</row>
    <row r="445" ht="12.75" customHeight="1">
      <c r="A445" s="101"/>
      <c r="B445" s="54"/>
      <c r="C445" s="102"/>
      <c r="D445" s="101"/>
      <c r="E445" s="101"/>
      <c r="F445" s="101"/>
      <c r="G445" s="101"/>
      <c r="H445" s="101"/>
      <c r="I445" s="101"/>
      <c r="J445" s="101"/>
      <c r="K445" s="101"/>
      <c r="L445" s="53"/>
      <c r="M445" s="53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</row>
    <row r="446" ht="12.75" customHeight="1">
      <c r="A446" s="101"/>
      <c r="B446" s="54"/>
      <c r="C446" s="102"/>
      <c r="D446" s="101"/>
      <c r="E446" s="101"/>
      <c r="F446" s="101"/>
      <c r="G446" s="101"/>
      <c r="H446" s="101"/>
      <c r="I446" s="101"/>
      <c r="J446" s="101"/>
      <c r="K446" s="101"/>
      <c r="L446" s="53"/>
      <c r="M446" s="53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</row>
    <row r="447" ht="12.75" customHeight="1">
      <c r="A447" s="101"/>
      <c r="B447" s="54"/>
      <c r="C447" s="102"/>
      <c r="D447" s="101"/>
      <c r="E447" s="101"/>
      <c r="F447" s="101"/>
      <c r="G447" s="101"/>
      <c r="H447" s="101"/>
      <c r="I447" s="101"/>
      <c r="J447" s="101"/>
      <c r="K447" s="101"/>
      <c r="L447" s="53"/>
      <c r="M447" s="53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</row>
    <row r="448" ht="12.75" customHeight="1">
      <c r="A448" s="101"/>
      <c r="B448" s="54"/>
      <c r="C448" s="102"/>
      <c r="D448" s="101"/>
      <c r="E448" s="101"/>
      <c r="F448" s="101"/>
      <c r="G448" s="101"/>
      <c r="H448" s="101"/>
      <c r="I448" s="101"/>
      <c r="J448" s="101"/>
      <c r="K448" s="101"/>
      <c r="L448" s="53"/>
      <c r="M448" s="53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</row>
    <row r="449" ht="12.75" customHeight="1">
      <c r="A449" s="101"/>
      <c r="B449" s="54"/>
      <c r="C449" s="102"/>
      <c r="D449" s="101"/>
      <c r="E449" s="101"/>
      <c r="F449" s="101"/>
      <c r="G449" s="101"/>
      <c r="H449" s="101"/>
      <c r="I449" s="101"/>
      <c r="J449" s="101"/>
      <c r="K449" s="101"/>
      <c r="L449" s="53"/>
      <c r="M449" s="53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</row>
    <row r="450" ht="12.75" customHeight="1">
      <c r="A450" s="101"/>
      <c r="B450" s="54"/>
      <c r="C450" s="102"/>
      <c r="D450" s="101"/>
      <c r="E450" s="101"/>
      <c r="F450" s="101"/>
      <c r="G450" s="101"/>
      <c r="H450" s="101"/>
      <c r="I450" s="101"/>
      <c r="J450" s="101"/>
      <c r="K450" s="101"/>
      <c r="L450" s="53"/>
      <c r="M450" s="53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</row>
    <row r="451" ht="12.75" customHeight="1">
      <c r="A451" s="101"/>
      <c r="B451" s="54"/>
      <c r="C451" s="102"/>
      <c r="D451" s="101"/>
      <c r="E451" s="101"/>
      <c r="F451" s="101"/>
      <c r="G451" s="101"/>
      <c r="H451" s="101"/>
      <c r="I451" s="101"/>
      <c r="J451" s="101"/>
      <c r="K451" s="101"/>
      <c r="L451" s="53"/>
      <c r="M451" s="53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</row>
    <row r="452" ht="12.75" customHeight="1">
      <c r="A452" s="101"/>
      <c r="B452" s="54"/>
      <c r="C452" s="102"/>
      <c r="D452" s="101"/>
      <c r="E452" s="101"/>
      <c r="F452" s="101"/>
      <c r="G452" s="101"/>
      <c r="H452" s="101"/>
      <c r="I452" s="101"/>
      <c r="J452" s="101"/>
      <c r="K452" s="101"/>
      <c r="L452" s="53"/>
      <c r="M452" s="53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</row>
    <row r="453" ht="12.75" customHeight="1">
      <c r="A453" s="101"/>
      <c r="B453" s="54"/>
      <c r="C453" s="102"/>
      <c r="D453" s="101"/>
      <c r="E453" s="101"/>
      <c r="F453" s="101"/>
      <c r="G453" s="101"/>
      <c r="H453" s="101"/>
      <c r="I453" s="101"/>
      <c r="J453" s="101"/>
      <c r="K453" s="101"/>
      <c r="L453" s="53"/>
      <c r="M453" s="53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</row>
    <row r="454" ht="12.75" customHeight="1">
      <c r="A454" s="101"/>
      <c r="B454" s="54"/>
      <c r="C454" s="102"/>
      <c r="D454" s="101"/>
      <c r="E454" s="101"/>
      <c r="F454" s="101"/>
      <c r="G454" s="101"/>
      <c r="H454" s="101"/>
      <c r="I454" s="101"/>
      <c r="J454" s="101"/>
      <c r="K454" s="101"/>
      <c r="L454" s="53"/>
      <c r="M454" s="53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</row>
    <row r="455" ht="12.75" customHeight="1">
      <c r="A455" s="101"/>
      <c r="B455" s="54"/>
      <c r="C455" s="102"/>
      <c r="D455" s="101"/>
      <c r="E455" s="101"/>
      <c r="F455" s="101"/>
      <c r="G455" s="101"/>
      <c r="H455" s="101"/>
      <c r="I455" s="101"/>
      <c r="J455" s="101"/>
      <c r="K455" s="101"/>
      <c r="L455" s="53"/>
      <c r="M455" s="53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</row>
    <row r="456" ht="12.75" customHeight="1">
      <c r="A456" s="101"/>
      <c r="B456" s="54"/>
      <c r="C456" s="102"/>
      <c r="D456" s="101"/>
      <c r="E456" s="101"/>
      <c r="F456" s="101"/>
      <c r="G456" s="101"/>
      <c r="H456" s="101"/>
      <c r="I456" s="101"/>
      <c r="J456" s="101"/>
      <c r="K456" s="101"/>
      <c r="L456" s="53"/>
      <c r="M456" s="53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</row>
    <row r="457" ht="12.75" customHeight="1">
      <c r="A457" s="101"/>
      <c r="B457" s="54"/>
      <c r="C457" s="102"/>
      <c r="D457" s="101"/>
      <c r="E457" s="101"/>
      <c r="F457" s="101"/>
      <c r="G457" s="101"/>
      <c r="H457" s="101"/>
      <c r="I457" s="101"/>
      <c r="J457" s="101"/>
      <c r="K457" s="101"/>
      <c r="L457" s="53"/>
      <c r="M457" s="53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</row>
    <row r="458" ht="12.75" customHeight="1">
      <c r="A458" s="101"/>
      <c r="B458" s="54"/>
      <c r="C458" s="102"/>
      <c r="D458" s="101"/>
      <c r="E458" s="101"/>
      <c r="F458" s="101"/>
      <c r="G458" s="101"/>
      <c r="H458" s="101"/>
      <c r="I458" s="101"/>
      <c r="J458" s="101"/>
      <c r="K458" s="101"/>
      <c r="L458" s="53"/>
      <c r="M458" s="53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</row>
    <row r="459" ht="12.75" customHeight="1">
      <c r="A459" s="101"/>
      <c r="B459" s="54"/>
      <c r="C459" s="102"/>
      <c r="D459" s="101"/>
      <c r="E459" s="101"/>
      <c r="F459" s="101"/>
      <c r="G459" s="101"/>
      <c r="H459" s="101"/>
      <c r="I459" s="101"/>
      <c r="J459" s="101"/>
      <c r="K459" s="101"/>
      <c r="L459" s="53"/>
      <c r="M459" s="53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</row>
    <row r="460" ht="12.75" customHeight="1">
      <c r="A460" s="101"/>
      <c r="B460" s="54"/>
      <c r="C460" s="102"/>
      <c r="D460" s="101"/>
      <c r="E460" s="101"/>
      <c r="F460" s="101"/>
      <c r="G460" s="101"/>
      <c r="H460" s="101"/>
      <c r="I460" s="101"/>
      <c r="J460" s="101"/>
      <c r="K460" s="101"/>
      <c r="L460" s="53"/>
      <c r="M460" s="53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</row>
    <row r="461" ht="12.75" customHeight="1">
      <c r="A461" s="101"/>
      <c r="B461" s="54"/>
      <c r="C461" s="102"/>
      <c r="D461" s="101"/>
      <c r="E461" s="101"/>
      <c r="F461" s="101"/>
      <c r="G461" s="101"/>
      <c r="H461" s="101"/>
      <c r="I461" s="101"/>
      <c r="J461" s="101"/>
      <c r="K461" s="101"/>
      <c r="L461" s="53"/>
      <c r="M461" s="53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</row>
    <row r="462" ht="12.75" customHeight="1">
      <c r="A462" s="101"/>
      <c r="B462" s="54"/>
      <c r="C462" s="102"/>
      <c r="D462" s="101"/>
      <c r="E462" s="101"/>
      <c r="F462" s="101"/>
      <c r="G462" s="101"/>
      <c r="H462" s="101"/>
      <c r="I462" s="101"/>
      <c r="J462" s="101"/>
      <c r="K462" s="101"/>
      <c r="L462" s="53"/>
      <c r="M462" s="53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</row>
    <row r="463" ht="12.75" customHeight="1">
      <c r="A463" s="101"/>
      <c r="B463" s="54"/>
      <c r="C463" s="102"/>
      <c r="D463" s="101"/>
      <c r="E463" s="101"/>
      <c r="F463" s="101"/>
      <c r="G463" s="101"/>
      <c r="H463" s="101"/>
      <c r="I463" s="101"/>
      <c r="J463" s="101"/>
      <c r="K463" s="101"/>
      <c r="L463" s="53"/>
      <c r="M463" s="53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</row>
    <row r="464" ht="12.75" customHeight="1">
      <c r="A464" s="101"/>
      <c r="B464" s="54"/>
      <c r="C464" s="102"/>
      <c r="D464" s="101"/>
      <c r="E464" s="101"/>
      <c r="F464" s="101"/>
      <c r="G464" s="101"/>
      <c r="H464" s="101"/>
      <c r="I464" s="101"/>
      <c r="J464" s="101"/>
      <c r="K464" s="101"/>
      <c r="L464" s="53"/>
      <c r="M464" s="53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</row>
    <row r="465" ht="12.75" customHeight="1">
      <c r="A465" s="101"/>
      <c r="B465" s="54"/>
      <c r="C465" s="102"/>
      <c r="D465" s="101"/>
      <c r="E465" s="101"/>
      <c r="F465" s="101"/>
      <c r="G465" s="101"/>
      <c r="H465" s="101"/>
      <c r="I465" s="101"/>
      <c r="J465" s="101"/>
      <c r="K465" s="101"/>
      <c r="L465" s="53"/>
      <c r="M465" s="53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</row>
    <row r="466" ht="12.75" customHeight="1">
      <c r="A466" s="101"/>
      <c r="B466" s="54"/>
      <c r="C466" s="102"/>
      <c r="D466" s="101"/>
      <c r="E466" s="101"/>
      <c r="F466" s="101"/>
      <c r="G466" s="101"/>
      <c r="H466" s="101"/>
      <c r="I466" s="101"/>
      <c r="J466" s="101"/>
      <c r="K466" s="101"/>
      <c r="L466" s="53"/>
      <c r="M466" s="53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</row>
    <row r="467" ht="12.75" customHeight="1">
      <c r="A467" s="101"/>
      <c r="B467" s="54"/>
      <c r="C467" s="102"/>
      <c r="D467" s="101"/>
      <c r="E467" s="101"/>
      <c r="F467" s="101"/>
      <c r="G467" s="101"/>
      <c r="H467" s="101"/>
      <c r="I467" s="101"/>
      <c r="J467" s="101"/>
      <c r="K467" s="101"/>
      <c r="L467" s="53"/>
      <c r="M467" s="53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</row>
    <row r="468" ht="12.75" customHeight="1">
      <c r="A468" s="101"/>
      <c r="B468" s="54"/>
      <c r="C468" s="102"/>
      <c r="D468" s="101"/>
      <c r="E468" s="101"/>
      <c r="F468" s="101"/>
      <c r="G468" s="101"/>
      <c r="H468" s="101"/>
      <c r="I468" s="101"/>
      <c r="J468" s="101"/>
      <c r="K468" s="101"/>
      <c r="L468" s="53"/>
      <c r="M468" s="53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</row>
    <row r="469" ht="12.75" customHeight="1">
      <c r="A469" s="101"/>
      <c r="B469" s="54"/>
      <c r="C469" s="102"/>
      <c r="D469" s="101"/>
      <c r="E469" s="101"/>
      <c r="F469" s="101"/>
      <c r="G469" s="101"/>
      <c r="H469" s="101"/>
      <c r="I469" s="101"/>
      <c r="J469" s="101"/>
      <c r="K469" s="101"/>
      <c r="L469" s="53"/>
      <c r="M469" s="53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</row>
    <row r="470" ht="12.75" customHeight="1">
      <c r="A470" s="101"/>
      <c r="B470" s="54"/>
      <c r="C470" s="102"/>
      <c r="D470" s="101"/>
      <c r="E470" s="101"/>
      <c r="F470" s="101"/>
      <c r="G470" s="101"/>
      <c r="H470" s="101"/>
      <c r="I470" s="101"/>
      <c r="J470" s="101"/>
      <c r="K470" s="101"/>
      <c r="L470" s="53"/>
      <c r="M470" s="53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</row>
    <row r="471" ht="12.75" customHeight="1">
      <c r="A471" s="101"/>
      <c r="B471" s="54"/>
      <c r="C471" s="102"/>
      <c r="D471" s="101"/>
      <c r="E471" s="101"/>
      <c r="F471" s="101"/>
      <c r="G471" s="101"/>
      <c r="H471" s="101"/>
      <c r="I471" s="101"/>
      <c r="J471" s="101"/>
      <c r="K471" s="101"/>
      <c r="L471" s="53"/>
      <c r="M471" s="53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</row>
    <row r="472" ht="12.75" customHeight="1">
      <c r="A472" s="101"/>
      <c r="B472" s="54"/>
      <c r="C472" s="102"/>
      <c r="D472" s="101"/>
      <c r="E472" s="101"/>
      <c r="F472" s="101"/>
      <c r="G472" s="101"/>
      <c r="H472" s="101"/>
      <c r="I472" s="101"/>
      <c r="J472" s="101"/>
      <c r="K472" s="101"/>
      <c r="L472" s="53"/>
      <c r="M472" s="53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</row>
    <row r="473" ht="12.75" customHeight="1">
      <c r="A473" s="101"/>
      <c r="B473" s="54"/>
      <c r="C473" s="102"/>
      <c r="D473" s="101"/>
      <c r="E473" s="101"/>
      <c r="F473" s="101"/>
      <c r="G473" s="101"/>
      <c r="H473" s="101"/>
      <c r="I473" s="101"/>
      <c r="J473" s="101"/>
      <c r="K473" s="101"/>
      <c r="L473" s="53"/>
      <c r="M473" s="53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</row>
    <row r="474" ht="12.75" customHeight="1">
      <c r="A474" s="101"/>
      <c r="B474" s="54"/>
      <c r="C474" s="102"/>
      <c r="D474" s="101"/>
      <c r="E474" s="101"/>
      <c r="F474" s="101"/>
      <c r="G474" s="101"/>
      <c r="H474" s="101"/>
      <c r="I474" s="101"/>
      <c r="J474" s="101"/>
      <c r="K474" s="101"/>
      <c r="L474" s="53"/>
      <c r="M474" s="53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</row>
    <row r="475" ht="12.75" customHeight="1">
      <c r="A475" s="101"/>
      <c r="B475" s="54"/>
      <c r="C475" s="102"/>
      <c r="D475" s="101"/>
      <c r="E475" s="101"/>
      <c r="F475" s="101"/>
      <c r="G475" s="101"/>
      <c r="H475" s="101"/>
      <c r="I475" s="101"/>
      <c r="J475" s="101"/>
      <c r="K475" s="101"/>
      <c r="L475" s="53"/>
      <c r="M475" s="53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</row>
    <row r="476" ht="12.75" customHeight="1">
      <c r="A476" s="101"/>
      <c r="B476" s="54"/>
      <c r="C476" s="102"/>
      <c r="D476" s="101"/>
      <c r="E476" s="101"/>
      <c r="F476" s="101"/>
      <c r="G476" s="101"/>
      <c r="H476" s="101"/>
      <c r="I476" s="101"/>
      <c r="J476" s="101"/>
      <c r="K476" s="101"/>
      <c r="L476" s="53"/>
      <c r="M476" s="53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</row>
    <row r="477" ht="12.75" customHeight="1">
      <c r="A477" s="101"/>
      <c r="B477" s="54"/>
      <c r="C477" s="102"/>
      <c r="D477" s="101"/>
      <c r="E477" s="101"/>
      <c r="F477" s="101"/>
      <c r="G477" s="101"/>
      <c r="H477" s="101"/>
      <c r="I477" s="101"/>
      <c r="J477" s="101"/>
      <c r="K477" s="101"/>
      <c r="L477" s="53"/>
      <c r="M477" s="53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</row>
    <row r="478" ht="12.75" customHeight="1">
      <c r="A478" s="101"/>
      <c r="B478" s="54"/>
      <c r="C478" s="102"/>
      <c r="D478" s="101"/>
      <c r="E478" s="101"/>
      <c r="F478" s="101"/>
      <c r="G478" s="101"/>
      <c r="H478" s="101"/>
      <c r="I478" s="101"/>
      <c r="J478" s="101"/>
      <c r="K478" s="101"/>
      <c r="L478" s="53"/>
      <c r="M478" s="53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</row>
    <row r="479" ht="12.75" customHeight="1">
      <c r="A479" s="101"/>
      <c r="B479" s="54"/>
      <c r="C479" s="102"/>
      <c r="D479" s="101"/>
      <c r="E479" s="101"/>
      <c r="F479" s="101"/>
      <c r="G479" s="101"/>
      <c r="H479" s="101"/>
      <c r="I479" s="101"/>
      <c r="J479" s="101"/>
      <c r="K479" s="101"/>
      <c r="L479" s="53"/>
      <c r="M479" s="53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</row>
    <row r="480" ht="12.75" customHeight="1">
      <c r="A480" s="101"/>
      <c r="B480" s="54"/>
      <c r="C480" s="102"/>
      <c r="D480" s="101"/>
      <c r="E480" s="101"/>
      <c r="F480" s="101"/>
      <c r="G480" s="101"/>
      <c r="H480" s="101"/>
      <c r="I480" s="101"/>
      <c r="J480" s="101"/>
      <c r="K480" s="101"/>
      <c r="L480" s="53"/>
      <c r="M480" s="53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</row>
    <row r="481" ht="12.75" customHeight="1">
      <c r="A481" s="101"/>
      <c r="B481" s="54"/>
      <c r="C481" s="102"/>
      <c r="D481" s="101"/>
      <c r="E481" s="101"/>
      <c r="F481" s="101"/>
      <c r="G481" s="101"/>
      <c r="H481" s="101"/>
      <c r="I481" s="101"/>
      <c r="J481" s="101"/>
      <c r="K481" s="101"/>
      <c r="L481" s="53"/>
      <c r="M481" s="53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</row>
    <row r="482" ht="12.75" customHeight="1">
      <c r="A482" s="101"/>
      <c r="B482" s="54"/>
      <c r="C482" s="102"/>
      <c r="D482" s="101"/>
      <c r="E482" s="101"/>
      <c r="F482" s="101"/>
      <c r="G482" s="101"/>
      <c r="H482" s="101"/>
      <c r="I482" s="101"/>
      <c r="J482" s="101"/>
      <c r="K482" s="101"/>
      <c r="L482" s="53"/>
      <c r="M482" s="53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</row>
    <row r="483" ht="12.75" customHeight="1">
      <c r="A483" s="101"/>
      <c r="B483" s="54"/>
      <c r="C483" s="102"/>
      <c r="D483" s="101"/>
      <c r="E483" s="101"/>
      <c r="F483" s="101"/>
      <c r="G483" s="101"/>
      <c r="H483" s="101"/>
      <c r="I483" s="101"/>
      <c r="J483" s="101"/>
      <c r="K483" s="101"/>
      <c r="L483" s="53"/>
      <c r="M483" s="53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</row>
    <row r="484" ht="12.75" customHeight="1">
      <c r="A484" s="101"/>
      <c r="B484" s="54"/>
      <c r="C484" s="102"/>
      <c r="D484" s="101"/>
      <c r="E484" s="101"/>
      <c r="F484" s="101"/>
      <c r="G484" s="101"/>
      <c r="H484" s="101"/>
      <c r="I484" s="101"/>
      <c r="J484" s="101"/>
      <c r="K484" s="101"/>
      <c r="L484" s="53"/>
      <c r="M484" s="53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</row>
    <row r="485" ht="12.75" customHeight="1">
      <c r="A485" s="101"/>
      <c r="B485" s="54"/>
      <c r="C485" s="102"/>
      <c r="D485" s="101"/>
      <c r="E485" s="101"/>
      <c r="F485" s="101"/>
      <c r="G485" s="101"/>
      <c r="H485" s="101"/>
      <c r="I485" s="101"/>
      <c r="J485" s="101"/>
      <c r="K485" s="101"/>
      <c r="L485" s="53"/>
      <c r="M485" s="53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</row>
    <row r="486" ht="12.75" customHeight="1">
      <c r="A486" s="101"/>
      <c r="B486" s="54"/>
      <c r="C486" s="102"/>
      <c r="D486" s="101"/>
      <c r="E486" s="101"/>
      <c r="F486" s="101"/>
      <c r="G486" s="101"/>
      <c r="H486" s="101"/>
      <c r="I486" s="101"/>
      <c r="J486" s="101"/>
      <c r="K486" s="101"/>
      <c r="L486" s="53"/>
      <c r="M486" s="53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</row>
    <row r="487" ht="12.75" customHeight="1">
      <c r="A487" s="101"/>
      <c r="B487" s="54"/>
      <c r="C487" s="102"/>
      <c r="D487" s="101"/>
      <c r="E487" s="101"/>
      <c r="F487" s="101"/>
      <c r="G487" s="101"/>
      <c r="H487" s="101"/>
      <c r="I487" s="101"/>
      <c r="J487" s="101"/>
      <c r="K487" s="101"/>
      <c r="L487" s="53"/>
      <c r="M487" s="53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</row>
    <row r="488" ht="12.75" customHeight="1">
      <c r="A488" s="101"/>
      <c r="B488" s="54"/>
      <c r="C488" s="102"/>
      <c r="D488" s="101"/>
      <c r="E488" s="101"/>
      <c r="F488" s="101"/>
      <c r="G488" s="101"/>
      <c r="H488" s="101"/>
      <c r="I488" s="101"/>
      <c r="J488" s="101"/>
      <c r="K488" s="101"/>
      <c r="L488" s="53"/>
      <c r="M488" s="53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</row>
    <row r="489" ht="12.75" customHeight="1">
      <c r="A489" s="101"/>
      <c r="B489" s="54"/>
      <c r="C489" s="102"/>
      <c r="D489" s="101"/>
      <c r="E489" s="101"/>
      <c r="F489" s="101"/>
      <c r="G489" s="101"/>
      <c r="H489" s="101"/>
      <c r="I489" s="101"/>
      <c r="J489" s="101"/>
      <c r="K489" s="101"/>
      <c r="L489" s="53"/>
      <c r="M489" s="53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</row>
    <row r="490" ht="12.75" customHeight="1">
      <c r="A490" s="101"/>
      <c r="B490" s="54"/>
      <c r="C490" s="102"/>
      <c r="D490" s="101"/>
      <c r="E490" s="101"/>
      <c r="F490" s="101"/>
      <c r="G490" s="101"/>
      <c r="H490" s="101"/>
      <c r="I490" s="101"/>
      <c r="J490" s="101"/>
      <c r="K490" s="101"/>
      <c r="L490" s="53"/>
      <c r="M490" s="53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</row>
    <row r="491" ht="12.75" customHeight="1">
      <c r="A491" s="101"/>
      <c r="B491" s="54"/>
      <c r="C491" s="102"/>
      <c r="D491" s="101"/>
      <c r="E491" s="101"/>
      <c r="F491" s="101"/>
      <c r="G491" s="101"/>
      <c r="H491" s="101"/>
      <c r="I491" s="101"/>
      <c r="J491" s="101"/>
      <c r="K491" s="101"/>
      <c r="L491" s="53"/>
      <c r="M491" s="53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</row>
    <row r="492" ht="12.75" customHeight="1">
      <c r="A492" s="101"/>
      <c r="B492" s="54"/>
      <c r="C492" s="102"/>
      <c r="D492" s="101"/>
      <c r="E492" s="101"/>
      <c r="F492" s="101"/>
      <c r="G492" s="101"/>
      <c r="H492" s="101"/>
      <c r="I492" s="101"/>
      <c r="J492" s="101"/>
      <c r="K492" s="101"/>
      <c r="L492" s="53"/>
      <c r="M492" s="53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</row>
    <row r="493" ht="12.75" customHeight="1">
      <c r="A493" s="101"/>
      <c r="B493" s="54"/>
      <c r="C493" s="102"/>
      <c r="D493" s="101"/>
      <c r="E493" s="101"/>
      <c r="F493" s="101"/>
      <c r="G493" s="101"/>
      <c r="H493" s="101"/>
      <c r="I493" s="101"/>
      <c r="J493" s="101"/>
      <c r="K493" s="101"/>
      <c r="L493" s="53"/>
      <c r="M493" s="53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</row>
    <row r="494" ht="12.75" customHeight="1">
      <c r="A494" s="101"/>
      <c r="B494" s="54"/>
      <c r="C494" s="102"/>
      <c r="D494" s="101"/>
      <c r="E494" s="101"/>
      <c r="F494" s="101"/>
      <c r="G494" s="101"/>
      <c r="H494" s="101"/>
      <c r="I494" s="101"/>
      <c r="J494" s="101"/>
      <c r="K494" s="101"/>
      <c r="L494" s="53"/>
      <c r="M494" s="53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</row>
    <row r="495" ht="12.75" customHeight="1">
      <c r="A495" s="101"/>
      <c r="B495" s="54"/>
      <c r="C495" s="102"/>
      <c r="D495" s="101"/>
      <c r="E495" s="101"/>
      <c r="F495" s="101"/>
      <c r="G495" s="101"/>
      <c r="H495" s="101"/>
      <c r="I495" s="101"/>
      <c r="J495" s="101"/>
      <c r="K495" s="101"/>
      <c r="L495" s="53"/>
      <c r="M495" s="53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</row>
    <row r="496" ht="12.75" customHeight="1">
      <c r="A496" s="101"/>
      <c r="B496" s="54"/>
      <c r="C496" s="102"/>
      <c r="D496" s="101"/>
      <c r="E496" s="101"/>
      <c r="F496" s="101"/>
      <c r="G496" s="101"/>
      <c r="H496" s="101"/>
      <c r="I496" s="101"/>
      <c r="J496" s="101"/>
      <c r="K496" s="101"/>
      <c r="L496" s="53"/>
      <c r="M496" s="53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</row>
    <row r="497" ht="12.75" customHeight="1">
      <c r="A497" s="101"/>
      <c r="B497" s="54"/>
      <c r="C497" s="102"/>
      <c r="D497" s="101"/>
      <c r="E497" s="101"/>
      <c r="F497" s="101"/>
      <c r="G497" s="101"/>
      <c r="H497" s="101"/>
      <c r="I497" s="101"/>
      <c r="J497" s="101"/>
      <c r="K497" s="101"/>
      <c r="L497" s="53"/>
      <c r="M497" s="53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</row>
    <row r="498" ht="12.75" customHeight="1">
      <c r="A498" s="101"/>
      <c r="B498" s="54"/>
      <c r="C498" s="102"/>
      <c r="D498" s="101"/>
      <c r="E498" s="101"/>
      <c r="F498" s="101"/>
      <c r="G498" s="101"/>
      <c r="H498" s="101"/>
      <c r="I498" s="101"/>
      <c r="J498" s="101"/>
      <c r="K498" s="101"/>
      <c r="L498" s="53"/>
      <c r="M498" s="53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</row>
    <row r="499" ht="12.75" customHeight="1">
      <c r="A499" s="101"/>
      <c r="B499" s="54"/>
      <c r="C499" s="102"/>
      <c r="D499" s="101"/>
      <c r="E499" s="101"/>
      <c r="F499" s="101"/>
      <c r="G499" s="101"/>
      <c r="H499" s="101"/>
      <c r="I499" s="101"/>
      <c r="J499" s="101"/>
      <c r="K499" s="101"/>
      <c r="L499" s="53"/>
      <c r="M499" s="53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</row>
    <row r="500" ht="12.75" customHeight="1">
      <c r="A500" s="101"/>
      <c r="B500" s="54"/>
      <c r="C500" s="102"/>
      <c r="D500" s="101"/>
      <c r="E500" s="101"/>
      <c r="F500" s="101"/>
      <c r="G500" s="101"/>
      <c r="H500" s="101"/>
      <c r="I500" s="101"/>
      <c r="J500" s="101"/>
      <c r="K500" s="101"/>
      <c r="L500" s="53"/>
      <c r="M500" s="53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</row>
    <row r="501" ht="12.75" customHeight="1">
      <c r="A501" s="101"/>
      <c r="B501" s="54"/>
      <c r="C501" s="102"/>
      <c r="D501" s="101"/>
      <c r="E501" s="101"/>
      <c r="F501" s="101"/>
      <c r="G501" s="101"/>
      <c r="H501" s="101"/>
      <c r="I501" s="101"/>
      <c r="J501" s="101"/>
      <c r="K501" s="101"/>
      <c r="L501" s="53"/>
      <c r="M501" s="53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</row>
    <row r="502" ht="12.75" customHeight="1">
      <c r="A502" s="101"/>
      <c r="B502" s="54"/>
      <c r="C502" s="102"/>
      <c r="D502" s="101"/>
      <c r="E502" s="101"/>
      <c r="F502" s="101"/>
      <c r="G502" s="101"/>
      <c r="H502" s="101"/>
      <c r="I502" s="101"/>
      <c r="J502" s="101"/>
      <c r="K502" s="101"/>
      <c r="L502" s="53"/>
      <c r="M502" s="53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</row>
    <row r="503" ht="12.75" customHeight="1">
      <c r="A503" s="101"/>
      <c r="B503" s="54"/>
      <c r="C503" s="102"/>
      <c r="D503" s="101"/>
      <c r="E503" s="101"/>
      <c r="F503" s="101"/>
      <c r="G503" s="101"/>
      <c r="H503" s="101"/>
      <c r="I503" s="101"/>
      <c r="J503" s="101"/>
      <c r="K503" s="101"/>
      <c r="L503" s="53"/>
      <c r="M503" s="53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</row>
    <row r="504" ht="12.75" customHeight="1">
      <c r="A504" s="101"/>
      <c r="B504" s="54"/>
      <c r="C504" s="102"/>
      <c r="D504" s="101"/>
      <c r="E504" s="101"/>
      <c r="F504" s="101"/>
      <c r="G504" s="101"/>
      <c r="H504" s="101"/>
      <c r="I504" s="101"/>
      <c r="J504" s="101"/>
      <c r="K504" s="101"/>
      <c r="L504" s="53"/>
      <c r="M504" s="53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</row>
    <row r="505" ht="12.75" customHeight="1">
      <c r="A505" s="101"/>
      <c r="B505" s="54"/>
      <c r="C505" s="102"/>
      <c r="D505" s="101"/>
      <c r="E505" s="101"/>
      <c r="F505" s="101"/>
      <c r="G505" s="101"/>
      <c r="H505" s="101"/>
      <c r="I505" s="101"/>
      <c r="J505" s="101"/>
      <c r="K505" s="101"/>
      <c r="L505" s="53"/>
      <c r="M505" s="53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</row>
    <row r="506" ht="12.75" customHeight="1">
      <c r="A506" s="101"/>
      <c r="B506" s="54"/>
      <c r="C506" s="102"/>
      <c r="D506" s="101"/>
      <c r="E506" s="101"/>
      <c r="F506" s="101"/>
      <c r="G506" s="101"/>
      <c r="H506" s="101"/>
      <c r="I506" s="101"/>
      <c r="J506" s="101"/>
      <c r="K506" s="101"/>
      <c r="L506" s="53"/>
      <c r="M506" s="53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</row>
    <row r="507" ht="12.75" customHeight="1">
      <c r="A507" s="101"/>
      <c r="B507" s="54"/>
      <c r="C507" s="102"/>
      <c r="D507" s="101"/>
      <c r="E507" s="101"/>
      <c r="F507" s="101"/>
      <c r="G507" s="101"/>
      <c r="H507" s="101"/>
      <c r="I507" s="101"/>
      <c r="J507" s="101"/>
      <c r="K507" s="101"/>
      <c r="L507" s="53"/>
      <c r="M507" s="53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</row>
    <row r="508" ht="12.75" customHeight="1">
      <c r="A508" s="101"/>
      <c r="B508" s="54"/>
      <c r="C508" s="102"/>
      <c r="D508" s="101"/>
      <c r="E508" s="101"/>
      <c r="F508" s="101"/>
      <c r="G508" s="101"/>
      <c r="H508" s="101"/>
      <c r="I508" s="101"/>
      <c r="J508" s="101"/>
      <c r="K508" s="101"/>
      <c r="L508" s="53"/>
      <c r="M508" s="53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</row>
    <row r="509" ht="12.75" customHeight="1">
      <c r="A509" s="101"/>
      <c r="B509" s="54"/>
      <c r="C509" s="102"/>
      <c r="D509" s="101"/>
      <c r="E509" s="101"/>
      <c r="F509" s="101"/>
      <c r="G509" s="101"/>
      <c r="H509" s="101"/>
      <c r="I509" s="101"/>
      <c r="J509" s="101"/>
      <c r="K509" s="101"/>
      <c r="L509" s="53"/>
      <c r="M509" s="53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</row>
    <row r="510" ht="12.75" customHeight="1">
      <c r="A510" s="101"/>
      <c r="B510" s="54"/>
      <c r="C510" s="102"/>
      <c r="D510" s="101"/>
      <c r="E510" s="101"/>
      <c r="F510" s="101"/>
      <c r="G510" s="101"/>
      <c r="H510" s="101"/>
      <c r="I510" s="101"/>
      <c r="J510" s="101"/>
      <c r="K510" s="101"/>
      <c r="L510" s="53"/>
      <c r="M510" s="53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</row>
    <row r="511" ht="12.75" customHeight="1">
      <c r="A511" s="101"/>
      <c r="B511" s="54"/>
      <c r="C511" s="102"/>
      <c r="D511" s="101"/>
      <c r="E511" s="101"/>
      <c r="F511" s="101"/>
      <c r="G511" s="101"/>
      <c r="H511" s="101"/>
      <c r="I511" s="101"/>
      <c r="J511" s="101"/>
      <c r="K511" s="101"/>
      <c r="L511" s="53"/>
      <c r="M511" s="53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</row>
    <row r="512" ht="12.75" customHeight="1">
      <c r="A512" s="101"/>
      <c r="B512" s="54"/>
      <c r="C512" s="102"/>
      <c r="D512" s="101"/>
      <c r="E512" s="101"/>
      <c r="F512" s="101"/>
      <c r="G512" s="101"/>
      <c r="H512" s="101"/>
      <c r="I512" s="101"/>
      <c r="J512" s="101"/>
      <c r="K512" s="101"/>
      <c r="L512" s="53"/>
      <c r="M512" s="53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</row>
    <row r="513" ht="12.75" customHeight="1">
      <c r="A513" s="101"/>
      <c r="B513" s="54"/>
      <c r="C513" s="102"/>
      <c r="D513" s="101"/>
      <c r="E513" s="101"/>
      <c r="F513" s="101"/>
      <c r="G513" s="101"/>
      <c r="H513" s="101"/>
      <c r="I513" s="101"/>
      <c r="J513" s="101"/>
      <c r="K513" s="101"/>
      <c r="L513" s="53"/>
      <c r="M513" s="53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</row>
    <row r="514" ht="12.75" customHeight="1">
      <c r="A514" s="101"/>
      <c r="B514" s="54"/>
      <c r="C514" s="102"/>
      <c r="D514" s="101"/>
      <c r="E514" s="101"/>
      <c r="F514" s="101"/>
      <c r="G514" s="101"/>
      <c r="H514" s="101"/>
      <c r="I514" s="101"/>
      <c r="J514" s="101"/>
      <c r="K514" s="101"/>
      <c r="L514" s="53"/>
      <c r="M514" s="53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</row>
    <row r="515" ht="12.75" customHeight="1">
      <c r="A515" s="101"/>
      <c r="B515" s="54"/>
      <c r="C515" s="102"/>
      <c r="D515" s="101"/>
      <c r="E515" s="101"/>
      <c r="F515" s="101"/>
      <c r="G515" s="101"/>
      <c r="H515" s="101"/>
      <c r="I515" s="101"/>
      <c r="J515" s="101"/>
      <c r="K515" s="101"/>
      <c r="L515" s="53"/>
      <c r="M515" s="53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</row>
    <row r="516" ht="12.75" customHeight="1">
      <c r="A516" s="101"/>
      <c r="B516" s="54"/>
      <c r="C516" s="102"/>
      <c r="D516" s="101"/>
      <c r="E516" s="101"/>
      <c r="F516" s="101"/>
      <c r="G516" s="101"/>
      <c r="H516" s="101"/>
      <c r="I516" s="101"/>
      <c r="J516" s="101"/>
      <c r="K516" s="101"/>
      <c r="L516" s="53"/>
      <c r="M516" s="53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</row>
    <row r="517" ht="12.75" customHeight="1">
      <c r="A517" s="101"/>
      <c r="B517" s="54"/>
      <c r="C517" s="102"/>
      <c r="D517" s="101"/>
      <c r="E517" s="101"/>
      <c r="F517" s="101"/>
      <c r="G517" s="101"/>
      <c r="H517" s="101"/>
      <c r="I517" s="101"/>
      <c r="J517" s="101"/>
      <c r="K517" s="101"/>
      <c r="L517" s="53"/>
      <c r="M517" s="53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</row>
    <row r="518" ht="12.75" customHeight="1">
      <c r="A518" s="101"/>
      <c r="B518" s="54"/>
      <c r="C518" s="102"/>
      <c r="D518" s="101"/>
      <c r="E518" s="101"/>
      <c r="F518" s="101"/>
      <c r="G518" s="101"/>
      <c r="H518" s="101"/>
      <c r="I518" s="101"/>
      <c r="J518" s="101"/>
      <c r="K518" s="101"/>
      <c r="L518" s="53"/>
      <c r="M518" s="53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</row>
    <row r="519" ht="12.75" customHeight="1">
      <c r="A519" s="101"/>
      <c r="B519" s="54"/>
      <c r="C519" s="102"/>
      <c r="D519" s="101"/>
      <c r="E519" s="101"/>
      <c r="F519" s="101"/>
      <c r="G519" s="101"/>
      <c r="H519" s="101"/>
      <c r="I519" s="101"/>
      <c r="J519" s="101"/>
      <c r="K519" s="101"/>
      <c r="L519" s="53"/>
      <c r="M519" s="53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</row>
    <row r="520" ht="12.75" customHeight="1">
      <c r="A520" s="101"/>
      <c r="B520" s="54"/>
      <c r="C520" s="102"/>
      <c r="D520" s="101"/>
      <c r="E520" s="101"/>
      <c r="F520" s="101"/>
      <c r="G520" s="101"/>
      <c r="H520" s="101"/>
      <c r="I520" s="101"/>
      <c r="J520" s="101"/>
      <c r="K520" s="101"/>
      <c r="L520" s="53"/>
      <c r="M520" s="53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</row>
    <row r="521" ht="12.75" customHeight="1">
      <c r="A521" s="101"/>
      <c r="B521" s="54"/>
      <c r="C521" s="102"/>
      <c r="D521" s="101"/>
      <c r="E521" s="101"/>
      <c r="F521" s="101"/>
      <c r="G521" s="101"/>
      <c r="H521" s="101"/>
      <c r="I521" s="101"/>
      <c r="J521" s="101"/>
      <c r="K521" s="101"/>
      <c r="L521" s="53"/>
      <c r="M521" s="53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</row>
    <row r="522" ht="12.75" customHeight="1">
      <c r="A522" s="101"/>
      <c r="B522" s="54"/>
      <c r="C522" s="102"/>
      <c r="D522" s="101"/>
      <c r="E522" s="101"/>
      <c r="F522" s="101"/>
      <c r="G522" s="101"/>
      <c r="H522" s="101"/>
      <c r="I522" s="101"/>
      <c r="J522" s="101"/>
      <c r="K522" s="101"/>
      <c r="L522" s="53"/>
      <c r="M522" s="53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</row>
    <row r="523" ht="12.75" customHeight="1">
      <c r="A523" s="101"/>
      <c r="B523" s="54"/>
      <c r="C523" s="102"/>
      <c r="D523" s="101"/>
      <c r="E523" s="101"/>
      <c r="F523" s="101"/>
      <c r="G523" s="101"/>
      <c r="H523" s="101"/>
      <c r="I523" s="101"/>
      <c r="J523" s="101"/>
      <c r="K523" s="101"/>
      <c r="L523" s="53"/>
      <c r="M523" s="53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</row>
    <row r="524" ht="12.75" customHeight="1">
      <c r="A524" s="101"/>
      <c r="B524" s="54"/>
      <c r="C524" s="102"/>
      <c r="D524" s="101"/>
      <c r="E524" s="101"/>
      <c r="F524" s="101"/>
      <c r="G524" s="101"/>
      <c r="H524" s="101"/>
      <c r="I524" s="101"/>
      <c r="J524" s="101"/>
      <c r="K524" s="101"/>
      <c r="L524" s="53"/>
      <c r="M524" s="53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</row>
    <row r="525" ht="12.75" customHeight="1">
      <c r="A525" s="101"/>
      <c r="B525" s="54"/>
      <c r="C525" s="102"/>
      <c r="D525" s="101"/>
      <c r="E525" s="101"/>
      <c r="F525" s="101"/>
      <c r="G525" s="101"/>
      <c r="H525" s="101"/>
      <c r="I525" s="101"/>
      <c r="J525" s="101"/>
      <c r="K525" s="101"/>
      <c r="L525" s="53"/>
      <c r="M525" s="53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</row>
    <row r="526" ht="12.75" customHeight="1">
      <c r="A526" s="101"/>
      <c r="B526" s="54"/>
      <c r="C526" s="102"/>
      <c r="D526" s="101"/>
      <c r="E526" s="101"/>
      <c r="F526" s="101"/>
      <c r="G526" s="101"/>
      <c r="H526" s="101"/>
      <c r="I526" s="101"/>
      <c r="J526" s="101"/>
      <c r="K526" s="101"/>
      <c r="L526" s="53"/>
      <c r="M526" s="53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</row>
    <row r="527" ht="12.75" customHeight="1">
      <c r="A527" s="101"/>
      <c r="B527" s="54"/>
      <c r="C527" s="102"/>
      <c r="D527" s="101"/>
      <c r="E527" s="101"/>
      <c r="F527" s="101"/>
      <c r="G527" s="101"/>
      <c r="H527" s="101"/>
      <c r="I527" s="101"/>
      <c r="J527" s="101"/>
      <c r="K527" s="101"/>
      <c r="L527" s="53"/>
      <c r="M527" s="53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</row>
    <row r="528" ht="12.75" customHeight="1">
      <c r="A528" s="101"/>
      <c r="B528" s="54"/>
      <c r="C528" s="102"/>
      <c r="D528" s="101"/>
      <c r="E528" s="101"/>
      <c r="F528" s="101"/>
      <c r="G528" s="101"/>
      <c r="H528" s="101"/>
      <c r="I528" s="101"/>
      <c r="J528" s="101"/>
      <c r="K528" s="101"/>
      <c r="L528" s="53"/>
      <c r="M528" s="53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</row>
    <row r="529" ht="12.75" customHeight="1">
      <c r="A529" s="101"/>
      <c r="B529" s="54"/>
      <c r="C529" s="102"/>
      <c r="D529" s="101"/>
      <c r="E529" s="101"/>
      <c r="F529" s="101"/>
      <c r="G529" s="101"/>
      <c r="H529" s="101"/>
      <c r="I529" s="101"/>
      <c r="J529" s="101"/>
      <c r="K529" s="101"/>
      <c r="L529" s="53"/>
      <c r="M529" s="53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</row>
    <row r="530" ht="12.75" customHeight="1">
      <c r="A530" s="101"/>
      <c r="B530" s="54"/>
      <c r="C530" s="102"/>
      <c r="D530" s="101"/>
      <c r="E530" s="101"/>
      <c r="F530" s="101"/>
      <c r="G530" s="101"/>
      <c r="H530" s="101"/>
      <c r="I530" s="101"/>
      <c r="J530" s="101"/>
      <c r="K530" s="101"/>
      <c r="L530" s="53"/>
      <c r="M530" s="53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</row>
    <row r="531" ht="12.75" customHeight="1">
      <c r="A531" s="101"/>
      <c r="B531" s="54"/>
      <c r="C531" s="102"/>
      <c r="D531" s="101"/>
      <c r="E531" s="101"/>
      <c r="F531" s="101"/>
      <c r="G531" s="101"/>
      <c r="H531" s="101"/>
      <c r="I531" s="101"/>
      <c r="J531" s="101"/>
      <c r="K531" s="101"/>
      <c r="L531" s="53"/>
      <c r="M531" s="53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</row>
    <row r="532" ht="12.75" customHeight="1">
      <c r="A532" s="101"/>
      <c r="B532" s="54"/>
      <c r="C532" s="102"/>
      <c r="D532" s="101"/>
      <c r="E532" s="101"/>
      <c r="F532" s="101"/>
      <c r="G532" s="101"/>
      <c r="H532" s="101"/>
      <c r="I532" s="101"/>
      <c r="J532" s="101"/>
      <c r="K532" s="101"/>
      <c r="L532" s="53"/>
      <c r="M532" s="53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</row>
    <row r="533" ht="12.75" customHeight="1">
      <c r="A533" s="101"/>
      <c r="B533" s="54"/>
      <c r="C533" s="102"/>
      <c r="D533" s="101"/>
      <c r="E533" s="101"/>
      <c r="F533" s="101"/>
      <c r="G533" s="101"/>
      <c r="H533" s="101"/>
      <c r="I533" s="101"/>
      <c r="J533" s="101"/>
      <c r="K533" s="101"/>
      <c r="L533" s="53"/>
      <c r="M533" s="53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</row>
    <row r="534" ht="12.75" customHeight="1">
      <c r="A534" s="101"/>
      <c r="B534" s="54"/>
      <c r="C534" s="102"/>
      <c r="D534" s="101"/>
      <c r="E534" s="101"/>
      <c r="F534" s="101"/>
      <c r="G534" s="101"/>
      <c r="H534" s="101"/>
      <c r="I534" s="101"/>
      <c r="J534" s="101"/>
      <c r="K534" s="101"/>
      <c r="L534" s="53"/>
      <c r="M534" s="53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</row>
    <row r="535" ht="12.75" customHeight="1">
      <c r="A535" s="101"/>
      <c r="B535" s="54"/>
      <c r="C535" s="102"/>
      <c r="D535" s="101"/>
      <c r="E535" s="101"/>
      <c r="F535" s="101"/>
      <c r="G535" s="101"/>
      <c r="H535" s="101"/>
      <c r="I535" s="101"/>
      <c r="J535" s="101"/>
      <c r="K535" s="101"/>
      <c r="L535" s="53"/>
      <c r="M535" s="53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</row>
    <row r="536" ht="12.75" customHeight="1">
      <c r="A536" s="101"/>
      <c r="B536" s="54"/>
      <c r="C536" s="102"/>
      <c r="D536" s="101"/>
      <c r="E536" s="101"/>
      <c r="F536" s="101"/>
      <c r="G536" s="101"/>
      <c r="H536" s="101"/>
      <c r="I536" s="101"/>
      <c r="J536" s="101"/>
      <c r="K536" s="101"/>
      <c r="L536" s="53"/>
      <c r="M536" s="53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</row>
    <row r="537" ht="12.75" customHeight="1">
      <c r="A537" s="101"/>
      <c r="B537" s="54"/>
      <c r="C537" s="102"/>
      <c r="D537" s="101"/>
      <c r="E537" s="101"/>
      <c r="F537" s="101"/>
      <c r="G537" s="101"/>
      <c r="H537" s="101"/>
      <c r="I537" s="101"/>
      <c r="J537" s="101"/>
      <c r="K537" s="101"/>
      <c r="L537" s="53"/>
      <c r="M537" s="53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</row>
    <row r="538" ht="12.75" customHeight="1">
      <c r="A538" s="101"/>
      <c r="B538" s="54"/>
      <c r="C538" s="102"/>
      <c r="D538" s="101"/>
      <c r="E538" s="101"/>
      <c r="F538" s="101"/>
      <c r="G538" s="101"/>
      <c r="H538" s="101"/>
      <c r="I538" s="101"/>
      <c r="J538" s="101"/>
      <c r="K538" s="101"/>
      <c r="L538" s="53"/>
      <c r="M538" s="53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</row>
    <row r="539" ht="12.75" customHeight="1">
      <c r="A539" s="101"/>
      <c r="B539" s="54"/>
      <c r="C539" s="102"/>
      <c r="D539" s="101"/>
      <c r="E539" s="101"/>
      <c r="F539" s="101"/>
      <c r="G539" s="101"/>
      <c r="H539" s="101"/>
      <c r="I539" s="101"/>
      <c r="J539" s="101"/>
      <c r="K539" s="101"/>
      <c r="L539" s="53"/>
      <c r="M539" s="53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</row>
    <row r="540" ht="12.75" customHeight="1">
      <c r="A540" s="101"/>
      <c r="B540" s="54"/>
      <c r="C540" s="102"/>
      <c r="D540" s="101"/>
      <c r="E540" s="101"/>
      <c r="F540" s="101"/>
      <c r="G540" s="101"/>
      <c r="H540" s="101"/>
      <c r="I540" s="101"/>
      <c r="J540" s="101"/>
      <c r="K540" s="101"/>
      <c r="L540" s="53"/>
      <c r="M540" s="53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</row>
    <row r="541" ht="12.75" customHeight="1">
      <c r="A541" s="101"/>
      <c r="B541" s="54"/>
      <c r="C541" s="102"/>
      <c r="D541" s="101"/>
      <c r="E541" s="101"/>
      <c r="F541" s="101"/>
      <c r="G541" s="101"/>
      <c r="H541" s="101"/>
      <c r="I541" s="101"/>
      <c r="J541" s="101"/>
      <c r="K541" s="101"/>
      <c r="L541" s="53"/>
      <c r="M541" s="53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</row>
    <row r="542" ht="12.75" customHeight="1">
      <c r="A542" s="101"/>
      <c r="B542" s="54"/>
      <c r="C542" s="102"/>
      <c r="D542" s="101"/>
      <c r="E542" s="101"/>
      <c r="F542" s="101"/>
      <c r="G542" s="101"/>
      <c r="H542" s="101"/>
      <c r="I542" s="101"/>
      <c r="J542" s="101"/>
      <c r="K542" s="101"/>
      <c r="L542" s="53"/>
      <c r="M542" s="53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</row>
    <row r="543" ht="12.75" customHeight="1">
      <c r="A543" s="101"/>
      <c r="B543" s="54"/>
      <c r="C543" s="102"/>
      <c r="D543" s="101"/>
      <c r="E543" s="101"/>
      <c r="F543" s="101"/>
      <c r="G543" s="101"/>
      <c r="H543" s="101"/>
      <c r="I543" s="101"/>
      <c r="J543" s="101"/>
      <c r="K543" s="101"/>
      <c r="L543" s="53"/>
      <c r="M543" s="53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</row>
    <row r="544" ht="12.75" customHeight="1">
      <c r="A544" s="101"/>
      <c r="B544" s="54"/>
      <c r="C544" s="102"/>
      <c r="D544" s="101"/>
      <c r="E544" s="101"/>
      <c r="F544" s="101"/>
      <c r="G544" s="101"/>
      <c r="H544" s="101"/>
      <c r="I544" s="101"/>
      <c r="J544" s="101"/>
      <c r="K544" s="101"/>
      <c r="L544" s="53"/>
      <c r="M544" s="53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</row>
    <row r="545" ht="12.75" customHeight="1">
      <c r="A545" s="101"/>
      <c r="B545" s="54"/>
      <c r="C545" s="102"/>
      <c r="D545" s="101"/>
      <c r="E545" s="101"/>
      <c r="F545" s="101"/>
      <c r="G545" s="101"/>
      <c r="H545" s="101"/>
      <c r="I545" s="101"/>
      <c r="J545" s="101"/>
      <c r="K545" s="101"/>
      <c r="L545" s="53"/>
      <c r="M545" s="53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</row>
    <row r="546" ht="12.75" customHeight="1">
      <c r="A546" s="101"/>
      <c r="B546" s="54"/>
      <c r="C546" s="102"/>
      <c r="D546" s="101"/>
      <c r="E546" s="101"/>
      <c r="F546" s="101"/>
      <c r="G546" s="101"/>
      <c r="H546" s="101"/>
      <c r="I546" s="101"/>
      <c r="J546" s="101"/>
      <c r="K546" s="101"/>
      <c r="L546" s="53"/>
      <c r="M546" s="53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</row>
    <row r="547" ht="12.75" customHeight="1">
      <c r="A547" s="101"/>
      <c r="B547" s="54"/>
      <c r="C547" s="102"/>
      <c r="D547" s="101"/>
      <c r="E547" s="101"/>
      <c r="F547" s="101"/>
      <c r="G547" s="101"/>
      <c r="H547" s="101"/>
      <c r="I547" s="101"/>
      <c r="J547" s="101"/>
      <c r="K547" s="101"/>
      <c r="L547" s="53"/>
      <c r="M547" s="53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</row>
    <row r="548" ht="12.75" customHeight="1">
      <c r="A548" s="101"/>
      <c r="B548" s="54"/>
      <c r="C548" s="102"/>
      <c r="D548" s="101"/>
      <c r="E548" s="101"/>
      <c r="F548" s="101"/>
      <c r="G548" s="101"/>
      <c r="H548" s="101"/>
      <c r="I548" s="101"/>
      <c r="J548" s="101"/>
      <c r="K548" s="101"/>
      <c r="L548" s="53"/>
      <c r="M548" s="53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</row>
    <row r="549" ht="12.75" customHeight="1">
      <c r="A549" s="101"/>
      <c r="B549" s="54"/>
      <c r="C549" s="102"/>
      <c r="D549" s="101"/>
      <c r="E549" s="101"/>
      <c r="F549" s="101"/>
      <c r="G549" s="101"/>
      <c r="H549" s="101"/>
      <c r="I549" s="101"/>
      <c r="J549" s="101"/>
      <c r="K549" s="101"/>
      <c r="L549" s="53"/>
      <c r="M549" s="53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</row>
    <row r="550" ht="12.75" customHeight="1">
      <c r="A550" s="101"/>
      <c r="B550" s="54"/>
      <c r="C550" s="102"/>
      <c r="D550" s="101"/>
      <c r="E550" s="101"/>
      <c r="F550" s="101"/>
      <c r="G550" s="101"/>
      <c r="H550" s="101"/>
      <c r="I550" s="101"/>
      <c r="J550" s="101"/>
      <c r="K550" s="101"/>
      <c r="L550" s="53"/>
      <c r="M550" s="53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</row>
    <row r="551" ht="12.75" customHeight="1">
      <c r="A551" s="101"/>
      <c r="B551" s="54"/>
      <c r="C551" s="102"/>
      <c r="D551" s="101"/>
      <c r="E551" s="101"/>
      <c r="F551" s="101"/>
      <c r="G551" s="101"/>
      <c r="H551" s="101"/>
      <c r="I551" s="101"/>
      <c r="J551" s="101"/>
      <c r="K551" s="101"/>
      <c r="L551" s="53"/>
      <c r="M551" s="53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</row>
    <row r="552" ht="12.75" customHeight="1">
      <c r="A552" s="101"/>
      <c r="B552" s="54"/>
      <c r="C552" s="102"/>
      <c r="D552" s="101"/>
      <c r="E552" s="101"/>
      <c r="F552" s="101"/>
      <c r="G552" s="101"/>
      <c r="H552" s="101"/>
      <c r="I552" s="101"/>
      <c r="J552" s="101"/>
      <c r="K552" s="101"/>
      <c r="L552" s="53"/>
      <c r="M552" s="53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</row>
    <row r="553" ht="12.75" customHeight="1">
      <c r="A553" s="101"/>
      <c r="B553" s="54"/>
      <c r="C553" s="102"/>
      <c r="D553" s="101"/>
      <c r="E553" s="101"/>
      <c r="F553" s="101"/>
      <c r="G553" s="101"/>
      <c r="H553" s="101"/>
      <c r="I553" s="101"/>
      <c r="J553" s="101"/>
      <c r="K553" s="101"/>
      <c r="L553" s="53"/>
      <c r="M553" s="53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</row>
    <row r="554" ht="12.75" customHeight="1">
      <c r="A554" s="101"/>
      <c r="B554" s="54"/>
      <c r="C554" s="102"/>
      <c r="D554" s="101"/>
      <c r="E554" s="101"/>
      <c r="F554" s="101"/>
      <c r="G554" s="101"/>
      <c r="H554" s="101"/>
      <c r="I554" s="101"/>
      <c r="J554" s="101"/>
      <c r="K554" s="101"/>
      <c r="L554" s="53"/>
      <c r="M554" s="53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</row>
    <row r="555" ht="12.75" customHeight="1">
      <c r="A555" s="101"/>
      <c r="B555" s="54"/>
      <c r="C555" s="102"/>
      <c r="D555" s="101"/>
      <c r="E555" s="101"/>
      <c r="F555" s="101"/>
      <c r="G555" s="101"/>
      <c r="H555" s="101"/>
      <c r="I555" s="101"/>
      <c r="J555" s="101"/>
      <c r="K555" s="101"/>
      <c r="L555" s="53"/>
      <c r="M555" s="53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</row>
    <row r="556" ht="12.75" customHeight="1">
      <c r="A556" s="101"/>
      <c r="B556" s="54"/>
      <c r="C556" s="102"/>
      <c r="D556" s="101"/>
      <c r="E556" s="101"/>
      <c r="F556" s="101"/>
      <c r="G556" s="101"/>
      <c r="H556" s="101"/>
      <c r="I556" s="101"/>
      <c r="J556" s="101"/>
      <c r="K556" s="101"/>
      <c r="L556" s="53"/>
      <c r="M556" s="53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</row>
    <row r="557" ht="12.75" customHeight="1">
      <c r="A557" s="101"/>
      <c r="B557" s="54"/>
      <c r="C557" s="102"/>
      <c r="D557" s="101"/>
      <c r="E557" s="101"/>
      <c r="F557" s="101"/>
      <c r="G557" s="101"/>
      <c r="H557" s="101"/>
      <c r="I557" s="101"/>
      <c r="J557" s="101"/>
      <c r="K557" s="101"/>
      <c r="L557" s="53"/>
      <c r="M557" s="53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</row>
    <row r="558" ht="12.75" customHeight="1">
      <c r="A558" s="101"/>
      <c r="B558" s="54"/>
      <c r="C558" s="102"/>
      <c r="D558" s="101"/>
      <c r="E558" s="101"/>
      <c r="F558" s="101"/>
      <c r="G558" s="101"/>
      <c r="H558" s="101"/>
      <c r="I558" s="101"/>
      <c r="J558" s="101"/>
      <c r="K558" s="101"/>
      <c r="L558" s="53"/>
      <c r="M558" s="53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</row>
    <row r="559" ht="12.75" customHeight="1">
      <c r="A559" s="101"/>
      <c r="B559" s="54"/>
      <c r="C559" s="102"/>
      <c r="D559" s="101"/>
      <c r="E559" s="101"/>
      <c r="F559" s="101"/>
      <c r="G559" s="101"/>
      <c r="H559" s="101"/>
      <c r="I559" s="101"/>
      <c r="J559" s="101"/>
      <c r="K559" s="101"/>
      <c r="L559" s="53"/>
      <c r="M559" s="53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</row>
    <row r="560" ht="12.75" customHeight="1">
      <c r="A560" s="101"/>
      <c r="B560" s="54"/>
      <c r="C560" s="102"/>
      <c r="D560" s="101"/>
      <c r="E560" s="101"/>
      <c r="F560" s="101"/>
      <c r="G560" s="101"/>
      <c r="H560" s="101"/>
      <c r="I560" s="101"/>
      <c r="J560" s="101"/>
      <c r="K560" s="101"/>
      <c r="L560" s="53"/>
      <c r="M560" s="53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</row>
    <row r="561" ht="12.75" customHeight="1">
      <c r="A561" s="101"/>
      <c r="B561" s="54"/>
      <c r="C561" s="102"/>
      <c r="D561" s="101"/>
      <c r="E561" s="101"/>
      <c r="F561" s="101"/>
      <c r="G561" s="101"/>
      <c r="H561" s="101"/>
      <c r="I561" s="101"/>
      <c r="J561" s="101"/>
      <c r="K561" s="101"/>
      <c r="L561" s="53"/>
      <c r="M561" s="53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</row>
    <row r="562" ht="12.75" customHeight="1">
      <c r="A562" s="101"/>
      <c r="B562" s="54"/>
      <c r="C562" s="102"/>
      <c r="D562" s="101"/>
      <c r="E562" s="101"/>
      <c r="F562" s="101"/>
      <c r="G562" s="101"/>
      <c r="H562" s="101"/>
      <c r="I562" s="101"/>
      <c r="J562" s="101"/>
      <c r="K562" s="101"/>
      <c r="L562" s="53"/>
      <c r="M562" s="53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</row>
    <row r="563" ht="12.75" customHeight="1">
      <c r="A563" s="101"/>
      <c r="B563" s="54"/>
      <c r="C563" s="102"/>
      <c r="D563" s="101"/>
      <c r="E563" s="101"/>
      <c r="F563" s="101"/>
      <c r="G563" s="101"/>
      <c r="H563" s="101"/>
      <c r="I563" s="101"/>
      <c r="J563" s="101"/>
      <c r="K563" s="101"/>
      <c r="L563" s="53"/>
      <c r="M563" s="53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</row>
    <row r="564" ht="12.75" customHeight="1">
      <c r="A564" s="101"/>
      <c r="B564" s="54"/>
      <c r="C564" s="102"/>
      <c r="D564" s="101"/>
      <c r="E564" s="101"/>
      <c r="F564" s="101"/>
      <c r="G564" s="101"/>
      <c r="H564" s="101"/>
      <c r="I564" s="101"/>
      <c r="J564" s="101"/>
      <c r="K564" s="101"/>
      <c r="L564" s="53"/>
      <c r="M564" s="53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</row>
    <row r="565" ht="12.75" customHeight="1">
      <c r="A565" s="101"/>
      <c r="B565" s="54"/>
      <c r="C565" s="102"/>
      <c r="D565" s="101"/>
      <c r="E565" s="101"/>
      <c r="F565" s="101"/>
      <c r="G565" s="101"/>
      <c r="H565" s="101"/>
      <c r="I565" s="101"/>
      <c r="J565" s="101"/>
      <c r="K565" s="101"/>
      <c r="L565" s="53"/>
      <c r="M565" s="53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</row>
    <row r="566" ht="12.75" customHeight="1">
      <c r="A566" s="101"/>
      <c r="B566" s="54"/>
      <c r="C566" s="102"/>
      <c r="D566" s="101"/>
      <c r="E566" s="101"/>
      <c r="F566" s="101"/>
      <c r="G566" s="101"/>
      <c r="H566" s="101"/>
      <c r="I566" s="101"/>
      <c r="J566" s="101"/>
      <c r="K566" s="101"/>
      <c r="L566" s="53"/>
      <c r="M566" s="53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</row>
    <row r="567" ht="12.75" customHeight="1">
      <c r="A567" s="101"/>
      <c r="B567" s="54"/>
      <c r="C567" s="102"/>
      <c r="D567" s="101"/>
      <c r="E567" s="101"/>
      <c r="F567" s="101"/>
      <c r="G567" s="101"/>
      <c r="H567" s="101"/>
      <c r="I567" s="101"/>
      <c r="J567" s="101"/>
      <c r="K567" s="101"/>
      <c r="L567" s="53"/>
      <c r="M567" s="53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</row>
    <row r="568" ht="12.75" customHeight="1">
      <c r="A568" s="101"/>
      <c r="B568" s="54"/>
      <c r="C568" s="102"/>
      <c r="D568" s="101"/>
      <c r="E568" s="101"/>
      <c r="F568" s="101"/>
      <c r="G568" s="101"/>
      <c r="H568" s="101"/>
      <c r="I568" s="101"/>
      <c r="J568" s="101"/>
      <c r="K568" s="101"/>
      <c r="L568" s="53"/>
      <c r="M568" s="53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</row>
    <row r="569" ht="12.75" customHeight="1">
      <c r="A569" s="101"/>
      <c r="B569" s="54"/>
      <c r="C569" s="102"/>
      <c r="D569" s="101"/>
      <c r="E569" s="101"/>
      <c r="F569" s="101"/>
      <c r="G569" s="101"/>
      <c r="H569" s="101"/>
      <c r="I569" s="101"/>
      <c r="J569" s="101"/>
      <c r="K569" s="101"/>
      <c r="L569" s="53"/>
      <c r="M569" s="53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</row>
    <row r="570" ht="12.75" customHeight="1">
      <c r="A570" s="101"/>
      <c r="B570" s="54"/>
      <c r="C570" s="102"/>
      <c r="D570" s="101"/>
      <c r="E570" s="101"/>
      <c r="F570" s="101"/>
      <c r="G570" s="101"/>
      <c r="H570" s="101"/>
      <c r="I570" s="101"/>
      <c r="J570" s="101"/>
      <c r="K570" s="101"/>
      <c r="L570" s="53"/>
      <c r="M570" s="53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</row>
    <row r="571" ht="12.75" customHeight="1">
      <c r="A571" s="101"/>
      <c r="B571" s="54"/>
      <c r="C571" s="102"/>
      <c r="D571" s="101"/>
      <c r="E571" s="101"/>
      <c r="F571" s="101"/>
      <c r="G571" s="101"/>
      <c r="H571" s="101"/>
      <c r="I571" s="101"/>
      <c r="J571" s="101"/>
      <c r="K571" s="101"/>
      <c r="L571" s="53"/>
      <c r="M571" s="53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</row>
    <row r="572" ht="12.75" customHeight="1">
      <c r="A572" s="101"/>
      <c r="B572" s="54"/>
      <c r="C572" s="102"/>
      <c r="D572" s="101"/>
      <c r="E572" s="101"/>
      <c r="F572" s="101"/>
      <c r="G572" s="101"/>
      <c r="H572" s="101"/>
      <c r="I572" s="101"/>
      <c r="J572" s="101"/>
      <c r="K572" s="101"/>
      <c r="L572" s="53"/>
      <c r="M572" s="53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</row>
    <row r="573" ht="12.75" customHeight="1">
      <c r="A573" s="101"/>
      <c r="B573" s="54"/>
      <c r="C573" s="102"/>
      <c r="D573" s="101"/>
      <c r="E573" s="101"/>
      <c r="F573" s="101"/>
      <c r="G573" s="101"/>
      <c r="H573" s="101"/>
      <c r="I573" s="101"/>
      <c r="J573" s="101"/>
      <c r="K573" s="101"/>
      <c r="L573" s="53"/>
      <c r="M573" s="53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</row>
    <row r="574" ht="12.75" customHeight="1">
      <c r="A574" s="101"/>
      <c r="B574" s="54"/>
      <c r="C574" s="102"/>
      <c r="D574" s="101"/>
      <c r="E574" s="101"/>
      <c r="F574" s="101"/>
      <c r="G574" s="101"/>
      <c r="H574" s="101"/>
      <c r="I574" s="101"/>
      <c r="J574" s="101"/>
      <c r="K574" s="101"/>
      <c r="L574" s="53"/>
      <c r="M574" s="53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</row>
    <row r="575" ht="12.75" customHeight="1">
      <c r="A575" s="101"/>
      <c r="B575" s="54"/>
      <c r="C575" s="102"/>
      <c r="D575" s="101"/>
      <c r="E575" s="101"/>
      <c r="F575" s="101"/>
      <c r="G575" s="101"/>
      <c r="H575" s="101"/>
      <c r="I575" s="101"/>
      <c r="J575" s="101"/>
      <c r="K575" s="101"/>
      <c r="L575" s="53"/>
      <c r="M575" s="53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</row>
    <row r="576" ht="12.75" customHeight="1">
      <c r="A576" s="101"/>
      <c r="B576" s="54"/>
      <c r="C576" s="102"/>
      <c r="D576" s="101"/>
      <c r="E576" s="101"/>
      <c r="F576" s="101"/>
      <c r="G576" s="101"/>
      <c r="H576" s="101"/>
      <c r="I576" s="101"/>
      <c r="J576" s="101"/>
      <c r="K576" s="101"/>
      <c r="L576" s="53"/>
      <c r="M576" s="53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</row>
    <row r="577" ht="12.75" customHeight="1">
      <c r="A577" s="101"/>
      <c r="B577" s="54"/>
      <c r="C577" s="102"/>
      <c r="D577" s="101"/>
      <c r="E577" s="101"/>
      <c r="F577" s="101"/>
      <c r="G577" s="101"/>
      <c r="H577" s="101"/>
      <c r="I577" s="101"/>
      <c r="J577" s="101"/>
      <c r="K577" s="101"/>
      <c r="L577" s="53"/>
      <c r="M577" s="53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</row>
    <row r="578" ht="12.75" customHeight="1">
      <c r="A578" s="101"/>
      <c r="B578" s="54"/>
      <c r="C578" s="102"/>
      <c r="D578" s="101"/>
      <c r="E578" s="101"/>
      <c r="F578" s="101"/>
      <c r="G578" s="101"/>
      <c r="H578" s="101"/>
      <c r="I578" s="101"/>
      <c r="J578" s="101"/>
      <c r="K578" s="101"/>
      <c r="L578" s="53"/>
      <c r="M578" s="53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</row>
    <row r="579" ht="12.75" customHeight="1">
      <c r="A579" s="101"/>
      <c r="B579" s="54"/>
      <c r="C579" s="102"/>
      <c r="D579" s="101"/>
      <c r="E579" s="101"/>
      <c r="F579" s="101"/>
      <c r="G579" s="101"/>
      <c r="H579" s="101"/>
      <c r="I579" s="101"/>
      <c r="J579" s="101"/>
      <c r="K579" s="101"/>
      <c r="L579" s="53"/>
      <c r="M579" s="53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</row>
    <row r="580" ht="12.75" customHeight="1">
      <c r="A580" s="101"/>
      <c r="B580" s="54"/>
      <c r="C580" s="102"/>
      <c r="D580" s="101"/>
      <c r="E580" s="101"/>
      <c r="F580" s="101"/>
      <c r="G580" s="101"/>
      <c r="H580" s="101"/>
      <c r="I580" s="101"/>
      <c r="J580" s="101"/>
      <c r="K580" s="101"/>
      <c r="L580" s="53"/>
      <c r="M580" s="53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</row>
    <row r="581" ht="12.75" customHeight="1">
      <c r="A581" s="101"/>
      <c r="B581" s="54"/>
      <c r="C581" s="102"/>
      <c r="D581" s="101"/>
      <c r="E581" s="101"/>
      <c r="F581" s="101"/>
      <c r="G581" s="101"/>
      <c r="H581" s="101"/>
      <c r="I581" s="101"/>
      <c r="J581" s="101"/>
      <c r="K581" s="101"/>
      <c r="L581" s="53"/>
      <c r="M581" s="53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</row>
    <row r="582" ht="12.75" customHeight="1">
      <c r="A582" s="101"/>
      <c r="B582" s="54"/>
      <c r="C582" s="102"/>
      <c r="D582" s="101"/>
      <c r="E582" s="101"/>
      <c r="F582" s="101"/>
      <c r="G582" s="101"/>
      <c r="H582" s="101"/>
      <c r="I582" s="101"/>
      <c r="J582" s="101"/>
      <c r="K582" s="101"/>
      <c r="L582" s="53"/>
      <c r="M582" s="53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</row>
    <row r="583" ht="12.75" customHeight="1">
      <c r="A583" s="101"/>
      <c r="B583" s="54"/>
      <c r="C583" s="102"/>
      <c r="D583" s="101"/>
      <c r="E583" s="101"/>
      <c r="F583" s="101"/>
      <c r="G583" s="101"/>
      <c r="H583" s="101"/>
      <c r="I583" s="101"/>
      <c r="J583" s="101"/>
      <c r="K583" s="101"/>
      <c r="L583" s="53"/>
      <c r="M583" s="53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</row>
    <row r="584" ht="12.75" customHeight="1">
      <c r="A584" s="101"/>
      <c r="B584" s="54"/>
      <c r="C584" s="102"/>
      <c r="D584" s="101"/>
      <c r="E584" s="101"/>
      <c r="F584" s="101"/>
      <c r="G584" s="101"/>
      <c r="H584" s="101"/>
      <c r="I584" s="101"/>
      <c r="J584" s="101"/>
      <c r="K584" s="101"/>
      <c r="L584" s="53"/>
      <c r="M584" s="53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</row>
    <row r="585" ht="12.75" customHeight="1">
      <c r="A585" s="101"/>
      <c r="B585" s="54"/>
      <c r="C585" s="102"/>
      <c r="D585" s="101"/>
      <c r="E585" s="101"/>
      <c r="F585" s="101"/>
      <c r="G585" s="101"/>
      <c r="H585" s="101"/>
      <c r="I585" s="101"/>
      <c r="J585" s="101"/>
      <c r="K585" s="101"/>
      <c r="L585" s="53"/>
      <c r="M585" s="53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</row>
    <row r="586" ht="12.75" customHeight="1">
      <c r="A586" s="101"/>
      <c r="B586" s="54"/>
      <c r="C586" s="102"/>
      <c r="D586" s="101"/>
      <c r="E586" s="101"/>
      <c r="F586" s="101"/>
      <c r="G586" s="101"/>
      <c r="H586" s="101"/>
      <c r="I586" s="101"/>
      <c r="J586" s="101"/>
      <c r="K586" s="101"/>
      <c r="L586" s="53"/>
      <c r="M586" s="53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</row>
    <row r="587" ht="12.75" customHeight="1">
      <c r="A587" s="101"/>
      <c r="B587" s="54"/>
      <c r="C587" s="102"/>
      <c r="D587" s="101"/>
      <c r="E587" s="101"/>
      <c r="F587" s="101"/>
      <c r="G587" s="101"/>
      <c r="H587" s="101"/>
      <c r="I587" s="101"/>
      <c r="J587" s="101"/>
      <c r="K587" s="101"/>
      <c r="L587" s="53"/>
      <c r="M587" s="53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</row>
    <row r="588" ht="12.75" customHeight="1">
      <c r="A588" s="101"/>
      <c r="B588" s="54"/>
      <c r="C588" s="102"/>
      <c r="D588" s="101"/>
      <c r="E588" s="101"/>
      <c r="F588" s="101"/>
      <c r="G588" s="101"/>
      <c r="H588" s="101"/>
      <c r="I588" s="101"/>
      <c r="J588" s="101"/>
      <c r="K588" s="101"/>
      <c r="L588" s="53"/>
      <c r="M588" s="53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</row>
    <row r="589" ht="12.75" customHeight="1">
      <c r="A589" s="101"/>
      <c r="B589" s="54"/>
      <c r="C589" s="102"/>
      <c r="D589" s="101"/>
      <c r="E589" s="101"/>
      <c r="F589" s="101"/>
      <c r="G589" s="101"/>
      <c r="H589" s="101"/>
      <c r="I589" s="101"/>
      <c r="J589" s="101"/>
      <c r="K589" s="101"/>
      <c r="L589" s="53"/>
      <c r="M589" s="53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</row>
    <row r="590" ht="12.75" customHeight="1">
      <c r="A590" s="101"/>
      <c r="B590" s="54"/>
      <c r="C590" s="102"/>
      <c r="D590" s="101"/>
      <c r="E590" s="101"/>
      <c r="F590" s="101"/>
      <c r="G590" s="101"/>
      <c r="H590" s="101"/>
      <c r="I590" s="101"/>
      <c r="J590" s="101"/>
      <c r="K590" s="101"/>
      <c r="L590" s="53"/>
      <c r="M590" s="53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</row>
    <row r="591" ht="12.75" customHeight="1">
      <c r="A591" s="101"/>
      <c r="B591" s="54"/>
      <c r="C591" s="102"/>
      <c r="D591" s="101"/>
      <c r="E591" s="101"/>
      <c r="F591" s="101"/>
      <c r="G591" s="101"/>
      <c r="H591" s="101"/>
      <c r="I591" s="101"/>
      <c r="J591" s="101"/>
      <c r="K591" s="101"/>
      <c r="L591" s="53"/>
      <c r="M591" s="53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</row>
    <row r="592" ht="12.75" customHeight="1">
      <c r="A592" s="101"/>
      <c r="B592" s="54"/>
      <c r="C592" s="102"/>
      <c r="D592" s="101"/>
      <c r="E592" s="101"/>
      <c r="F592" s="101"/>
      <c r="G592" s="101"/>
      <c r="H592" s="101"/>
      <c r="I592" s="101"/>
      <c r="J592" s="101"/>
      <c r="K592" s="101"/>
      <c r="L592" s="53"/>
      <c r="M592" s="53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</row>
    <row r="593" ht="12.75" customHeight="1">
      <c r="A593" s="101"/>
      <c r="B593" s="54"/>
      <c r="C593" s="102"/>
      <c r="D593" s="101"/>
      <c r="E593" s="101"/>
      <c r="F593" s="101"/>
      <c r="G593" s="101"/>
      <c r="H593" s="101"/>
      <c r="I593" s="101"/>
      <c r="J593" s="101"/>
      <c r="K593" s="101"/>
      <c r="L593" s="53"/>
      <c r="M593" s="53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</row>
    <row r="594" ht="12.75" customHeight="1">
      <c r="A594" s="101"/>
      <c r="B594" s="54"/>
      <c r="C594" s="102"/>
      <c r="D594" s="101"/>
      <c r="E594" s="101"/>
      <c r="F594" s="101"/>
      <c r="G594" s="101"/>
      <c r="H594" s="101"/>
      <c r="I594" s="101"/>
      <c r="J594" s="101"/>
      <c r="K594" s="101"/>
      <c r="L594" s="53"/>
      <c r="M594" s="53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</row>
    <row r="595" ht="12.75" customHeight="1">
      <c r="A595" s="101"/>
      <c r="B595" s="54"/>
      <c r="C595" s="102"/>
      <c r="D595" s="101"/>
      <c r="E595" s="101"/>
      <c r="F595" s="101"/>
      <c r="G595" s="101"/>
      <c r="H595" s="101"/>
      <c r="I595" s="101"/>
      <c r="J595" s="101"/>
      <c r="K595" s="101"/>
      <c r="L595" s="53"/>
      <c r="M595" s="53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</row>
    <row r="596" ht="12.75" customHeight="1">
      <c r="A596" s="101"/>
      <c r="B596" s="54"/>
      <c r="C596" s="102"/>
      <c r="D596" s="101"/>
      <c r="E596" s="101"/>
      <c r="F596" s="101"/>
      <c r="G596" s="101"/>
      <c r="H596" s="101"/>
      <c r="I596" s="101"/>
      <c r="J596" s="101"/>
      <c r="K596" s="101"/>
      <c r="L596" s="53"/>
      <c r="M596" s="53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</row>
    <row r="597" ht="12.75" customHeight="1">
      <c r="A597" s="101"/>
      <c r="B597" s="54"/>
      <c r="C597" s="102"/>
      <c r="D597" s="101"/>
      <c r="E597" s="101"/>
      <c r="F597" s="101"/>
      <c r="G597" s="101"/>
      <c r="H597" s="101"/>
      <c r="I597" s="101"/>
      <c r="J597" s="101"/>
      <c r="K597" s="101"/>
      <c r="L597" s="53"/>
      <c r="M597" s="53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</row>
    <row r="598" ht="12.75" customHeight="1">
      <c r="A598" s="101"/>
      <c r="B598" s="54"/>
      <c r="C598" s="102"/>
      <c r="D598" s="101"/>
      <c r="E598" s="101"/>
      <c r="F598" s="101"/>
      <c r="G598" s="101"/>
      <c r="H598" s="101"/>
      <c r="I598" s="101"/>
      <c r="J598" s="101"/>
      <c r="K598" s="101"/>
      <c r="L598" s="53"/>
      <c r="M598" s="53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</row>
    <row r="599" ht="12.75" customHeight="1">
      <c r="A599" s="101"/>
      <c r="B599" s="54"/>
      <c r="C599" s="102"/>
      <c r="D599" s="101"/>
      <c r="E599" s="101"/>
      <c r="F599" s="101"/>
      <c r="G599" s="101"/>
      <c r="H599" s="101"/>
      <c r="I599" s="101"/>
      <c r="J599" s="101"/>
      <c r="K599" s="101"/>
      <c r="L599" s="53"/>
      <c r="M599" s="53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</row>
    <row r="600" ht="12.75" customHeight="1">
      <c r="A600" s="101"/>
      <c r="B600" s="54"/>
      <c r="C600" s="102"/>
      <c r="D600" s="101"/>
      <c r="E600" s="101"/>
      <c r="F600" s="101"/>
      <c r="G600" s="101"/>
      <c r="H600" s="101"/>
      <c r="I600" s="101"/>
      <c r="J600" s="101"/>
      <c r="K600" s="101"/>
      <c r="L600" s="53"/>
      <c r="M600" s="53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</row>
    <row r="601" ht="12.75" customHeight="1">
      <c r="A601" s="101"/>
      <c r="B601" s="54"/>
      <c r="C601" s="102"/>
      <c r="D601" s="101"/>
      <c r="E601" s="101"/>
      <c r="F601" s="101"/>
      <c r="G601" s="101"/>
      <c r="H601" s="101"/>
      <c r="I601" s="101"/>
      <c r="J601" s="101"/>
      <c r="K601" s="101"/>
      <c r="L601" s="53"/>
      <c r="M601" s="53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</row>
    <row r="602" ht="12.75" customHeight="1">
      <c r="A602" s="101"/>
      <c r="B602" s="54"/>
      <c r="C602" s="102"/>
      <c r="D602" s="101"/>
      <c r="E602" s="101"/>
      <c r="F602" s="101"/>
      <c r="G602" s="101"/>
      <c r="H602" s="101"/>
      <c r="I602" s="101"/>
      <c r="J602" s="101"/>
      <c r="K602" s="101"/>
      <c r="L602" s="53"/>
      <c r="M602" s="53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</row>
    <row r="603" ht="12.75" customHeight="1">
      <c r="A603" s="101"/>
      <c r="B603" s="54"/>
      <c r="C603" s="102"/>
      <c r="D603" s="101"/>
      <c r="E603" s="101"/>
      <c r="F603" s="101"/>
      <c r="G603" s="101"/>
      <c r="H603" s="101"/>
      <c r="I603" s="101"/>
      <c r="J603" s="101"/>
      <c r="K603" s="101"/>
      <c r="L603" s="53"/>
      <c r="M603" s="53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</row>
    <row r="604" ht="12.75" customHeight="1">
      <c r="A604" s="101"/>
      <c r="B604" s="54"/>
      <c r="C604" s="102"/>
      <c r="D604" s="101"/>
      <c r="E604" s="101"/>
      <c r="F604" s="101"/>
      <c r="G604" s="101"/>
      <c r="H604" s="101"/>
      <c r="I604" s="101"/>
      <c r="J604" s="101"/>
      <c r="K604" s="101"/>
      <c r="L604" s="53"/>
      <c r="M604" s="53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</row>
    <row r="605" ht="12.75" customHeight="1">
      <c r="A605" s="101"/>
      <c r="B605" s="54"/>
      <c r="C605" s="102"/>
      <c r="D605" s="101"/>
      <c r="E605" s="101"/>
      <c r="F605" s="101"/>
      <c r="G605" s="101"/>
      <c r="H605" s="101"/>
      <c r="I605" s="101"/>
      <c r="J605" s="101"/>
      <c r="K605" s="101"/>
      <c r="L605" s="53"/>
      <c r="M605" s="53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</row>
    <row r="606" ht="12.75" customHeight="1">
      <c r="A606" s="101"/>
      <c r="B606" s="54"/>
      <c r="C606" s="102"/>
      <c r="D606" s="101"/>
      <c r="E606" s="101"/>
      <c r="F606" s="101"/>
      <c r="G606" s="101"/>
      <c r="H606" s="101"/>
      <c r="I606" s="101"/>
      <c r="J606" s="101"/>
      <c r="K606" s="101"/>
      <c r="L606" s="53"/>
      <c r="M606" s="53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</row>
    <row r="607" ht="12.75" customHeight="1">
      <c r="A607" s="101"/>
      <c r="B607" s="54"/>
      <c r="C607" s="102"/>
      <c r="D607" s="101"/>
      <c r="E607" s="101"/>
      <c r="F607" s="101"/>
      <c r="G607" s="101"/>
      <c r="H607" s="101"/>
      <c r="I607" s="101"/>
      <c r="J607" s="101"/>
      <c r="K607" s="101"/>
      <c r="L607" s="53"/>
      <c r="M607" s="53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</row>
    <row r="608" ht="12.75" customHeight="1">
      <c r="A608" s="101"/>
      <c r="B608" s="54"/>
      <c r="C608" s="102"/>
      <c r="D608" s="101"/>
      <c r="E608" s="101"/>
      <c r="F608" s="101"/>
      <c r="G608" s="101"/>
      <c r="H608" s="101"/>
      <c r="I608" s="101"/>
      <c r="J608" s="101"/>
      <c r="K608" s="101"/>
      <c r="L608" s="53"/>
      <c r="M608" s="53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</row>
    <row r="609" ht="12.75" customHeight="1">
      <c r="A609" s="101"/>
      <c r="B609" s="54"/>
      <c r="C609" s="102"/>
      <c r="D609" s="101"/>
      <c r="E609" s="101"/>
      <c r="F609" s="101"/>
      <c r="G609" s="101"/>
      <c r="H609" s="101"/>
      <c r="I609" s="101"/>
      <c r="J609" s="101"/>
      <c r="K609" s="101"/>
      <c r="L609" s="53"/>
      <c r="M609" s="53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</row>
    <row r="610" ht="12.75" customHeight="1">
      <c r="A610" s="101"/>
      <c r="B610" s="54"/>
      <c r="C610" s="102"/>
      <c r="D610" s="101"/>
      <c r="E610" s="101"/>
      <c r="F610" s="101"/>
      <c r="G610" s="101"/>
      <c r="H610" s="101"/>
      <c r="I610" s="101"/>
      <c r="J610" s="101"/>
      <c r="K610" s="101"/>
      <c r="L610" s="53"/>
      <c r="M610" s="53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</row>
    <row r="611" ht="12.75" customHeight="1">
      <c r="A611" s="101"/>
      <c r="B611" s="54"/>
      <c r="C611" s="102"/>
      <c r="D611" s="101"/>
      <c r="E611" s="101"/>
      <c r="F611" s="101"/>
      <c r="G611" s="101"/>
      <c r="H611" s="101"/>
      <c r="I611" s="101"/>
      <c r="J611" s="101"/>
      <c r="K611" s="101"/>
      <c r="L611" s="53"/>
      <c r="M611" s="53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</row>
    <row r="612" ht="12.75" customHeight="1">
      <c r="A612" s="101"/>
      <c r="B612" s="54"/>
      <c r="C612" s="102"/>
      <c r="D612" s="101"/>
      <c r="E612" s="101"/>
      <c r="F612" s="101"/>
      <c r="G612" s="101"/>
      <c r="H612" s="101"/>
      <c r="I612" s="101"/>
      <c r="J612" s="101"/>
      <c r="K612" s="101"/>
      <c r="L612" s="53"/>
      <c r="M612" s="53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</row>
    <row r="613" ht="12.75" customHeight="1">
      <c r="A613" s="101"/>
      <c r="B613" s="54"/>
      <c r="C613" s="102"/>
      <c r="D613" s="101"/>
      <c r="E613" s="101"/>
      <c r="F613" s="101"/>
      <c r="G613" s="101"/>
      <c r="H613" s="101"/>
      <c r="I613" s="101"/>
      <c r="J613" s="101"/>
      <c r="K613" s="101"/>
      <c r="L613" s="53"/>
      <c r="M613" s="53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</row>
    <row r="614" ht="12.75" customHeight="1">
      <c r="A614" s="101"/>
      <c r="B614" s="54"/>
      <c r="C614" s="102"/>
      <c r="D614" s="101"/>
      <c r="E614" s="101"/>
      <c r="F614" s="101"/>
      <c r="G614" s="101"/>
      <c r="H614" s="101"/>
      <c r="I614" s="101"/>
      <c r="J614" s="101"/>
      <c r="K614" s="101"/>
      <c r="L614" s="53"/>
      <c r="M614" s="53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</row>
    <row r="615" ht="12.75" customHeight="1">
      <c r="A615" s="101"/>
      <c r="B615" s="54"/>
      <c r="C615" s="102"/>
      <c r="D615" s="101"/>
      <c r="E615" s="101"/>
      <c r="F615" s="101"/>
      <c r="G615" s="101"/>
      <c r="H615" s="101"/>
      <c r="I615" s="101"/>
      <c r="J615" s="101"/>
      <c r="K615" s="101"/>
      <c r="L615" s="53"/>
      <c r="M615" s="53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</row>
    <row r="616" ht="12.75" customHeight="1">
      <c r="A616" s="101"/>
      <c r="B616" s="54"/>
      <c r="C616" s="102"/>
      <c r="D616" s="101"/>
      <c r="E616" s="101"/>
      <c r="F616" s="101"/>
      <c r="G616" s="101"/>
      <c r="H616" s="101"/>
      <c r="I616" s="101"/>
      <c r="J616" s="101"/>
      <c r="K616" s="101"/>
      <c r="L616" s="53"/>
      <c r="M616" s="53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</row>
    <row r="617" ht="12.75" customHeight="1">
      <c r="A617" s="101"/>
      <c r="B617" s="54"/>
      <c r="C617" s="102"/>
      <c r="D617" s="101"/>
      <c r="E617" s="101"/>
      <c r="F617" s="101"/>
      <c r="G617" s="101"/>
      <c r="H617" s="101"/>
      <c r="I617" s="101"/>
      <c r="J617" s="101"/>
      <c r="K617" s="101"/>
      <c r="L617" s="53"/>
      <c r="M617" s="53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</row>
    <row r="618" ht="12.75" customHeight="1">
      <c r="A618" s="101"/>
      <c r="B618" s="54"/>
      <c r="C618" s="102"/>
      <c r="D618" s="101"/>
      <c r="E618" s="101"/>
      <c r="F618" s="101"/>
      <c r="G618" s="101"/>
      <c r="H618" s="101"/>
      <c r="I618" s="101"/>
      <c r="J618" s="101"/>
      <c r="K618" s="101"/>
      <c r="L618" s="53"/>
      <c r="M618" s="53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</row>
    <row r="619" ht="12.75" customHeight="1">
      <c r="A619" s="101"/>
      <c r="B619" s="54"/>
      <c r="C619" s="102"/>
      <c r="D619" s="101"/>
      <c r="E619" s="101"/>
      <c r="F619" s="101"/>
      <c r="G619" s="101"/>
      <c r="H619" s="101"/>
      <c r="I619" s="101"/>
      <c r="J619" s="101"/>
      <c r="K619" s="101"/>
      <c r="L619" s="53"/>
      <c r="M619" s="53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</row>
    <row r="620" ht="12.75" customHeight="1">
      <c r="A620" s="101"/>
      <c r="B620" s="54"/>
      <c r="C620" s="102"/>
      <c r="D620" s="101"/>
      <c r="E620" s="101"/>
      <c r="F620" s="101"/>
      <c r="G620" s="101"/>
      <c r="H620" s="101"/>
      <c r="I620" s="101"/>
      <c r="J620" s="101"/>
      <c r="K620" s="101"/>
      <c r="L620" s="53"/>
      <c r="M620" s="53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</row>
    <row r="621" ht="12.75" customHeight="1">
      <c r="A621" s="101"/>
      <c r="B621" s="54"/>
      <c r="C621" s="102"/>
      <c r="D621" s="101"/>
      <c r="E621" s="101"/>
      <c r="F621" s="101"/>
      <c r="G621" s="101"/>
      <c r="H621" s="101"/>
      <c r="I621" s="101"/>
      <c r="J621" s="101"/>
      <c r="K621" s="101"/>
      <c r="L621" s="53"/>
      <c r="M621" s="53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</row>
    <row r="622" ht="12.75" customHeight="1">
      <c r="A622" s="101"/>
      <c r="B622" s="54"/>
      <c r="C622" s="102"/>
      <c r="D622" s="101"/>
      <c r="E622" s="101"/>
      <c r="F622" s="101"/>
      <c r="G622" s="101"/>
      <c r="H622" s="101"/>
      <c r="I622" s="101"/>
      <c r="J622" s="101"/>
      <c r="K622" s="101"/>
      <c r="L622" s="53"/>
      <c r="M622" s="53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</row>
    <row r="623" ht="12.75" customHeight="1">
      <c r="A623" s="101"/>
      <c r="B623" s="54"/>
      <c r="C623" s="102"/>
      <c r="D623" s="101"/>
      <c r="E623" s="101"/>
      <c r="F623" s="101"/>
      <c r="G623" s="101"/>
      <c r="H623" s="101"/>
      <c r="I623" s="101"/>
      <c r="J623" s="101"/>
      <c r="K623" s="101"/>
      <c r="L623" s="53"/>
      <c r="M623" s="53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</row>
    <row r="624" ht="12.75" customHeight="1">
      <c r="A624" s="101"/>
      <c r="B624" s="54"/>
      <c r="C624" s="102"/>
      <c r="D624" s="101"/>
      <c r="E624" s="101"/>
      <c r="F624" s="101"/>
      <c r="G624" s="101"/>
      <c r="H624" s="101"/>
      <c r="I624" s="101"/>
      <c r="J624" s="101"/>
      <c r="K624" s="101"/>
      <c r="L624" s="53"/>
      <c r="M624" s="53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</row>
    <row r="625" ht="12.75" customHeight="1">
      <c r="A625" s="101"/>
      <c r="B625" s="54"/>
      <c r="C625" s="102"/>
      <c r="D625" s="101"/>
      <c r="E625" s="101"/>
      <c r="F625" s="101"/>
      <c r="G625" s="101"/>
      <c r="H625" s="101"/>
      <c r="I625" s="101"/>
      <c r="J625" s="101"/>
      <c r="K625" s="101"/>
      <c r="L625" s="53"/>
      <c r="M625" s="53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</row>
    <row r="626" ht="12.75" customHeight="1">
      <c r="A626" s="101"/>
      <c r="B626" s="54"/>
      <c r="C626" s="102"/>
      <c r="D626" s="101"/>
      <c r="E626" s="101"/>
      <c r="F626" s="101"/>
      <c r="G626" s="101"/>
      <c r="H626" s="101"/>
      <c r="I626" s="101"/>
      <c r="J626" s="101"/>
      <c r="K626" s="101"/>
      <c r="L626" s="53"/>
      <c r="M626" s="53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</row>
    <row r="627" ht="12.75" customHeight="1">
      <c r="A627" s="101"/>
      <c r="B627" s="54"/>
      <c r="C627" s="102"/>
      <c r="D627" s="101"/>
      <c r="E627" s="101"/>
      <c r="F627" s="101"/>
      <c r="G627" s="101"/>
      <c r="H627" s="101"/>
      <c r="I627" s="101"/>
      <c r="J627" s="101"/>
      <c r="K627" s="101"/>
      <c r="L627" s="53"/>
      <c r="M627" s="53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</row>
    <row r="628" ht="12.75" customHeight="1">
      <c r="A628" s="101"/>
      <c r="B628" s="54"/>
      <c r="C628" s="102"/>
      <c r="D628" s="101"/>
      <c r="E628" s="101"/>
      <c r="F628" s="101"/>
      <c r="G628" s="101"/>
      <c r="H628" s="101"/>
      <c r="I628" s="101"/>
      <c r="J628" s="101"/>
      <c r="K628" s="101"/>
      <c r="L628" s="53"/>
      <c r="M628" s="53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</row>
    <row r="629" ht="12.75" customHeight="1">
      <c r="A629" s="101"/>
      <c r="B629" s="54"/>
      <c r="C629" s="102"/>
      <c r="D629" s="101"/>
      <c r="E629" s="101"/>
      <c r="F629" s="101"/>
      <c r="G629" s="101"/>
      <c r="H629" s="101"/>
      <c r="I629" s="101"/>
      <c r="J629" s="101"/>
      <c r="K629" s="101"/>
      <c r="L629" s="53"/>
      <c r="M629" s="53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</row>
    <row r="630" ht="12.75" customHeight="1">
      <c r="A630" s="101"/>
      <c r="B630" s="54"/>
      <c r="C630" s="102"/>
      <c r="D630" s="101"/>
      <c r="E630" s="101"/>
      <c r="F630" s="101"/>
      <c r="G630" s="101"/>
      <c r="H630" s="101"/>
      <c r="I630" s="101"/>
      <c r="J630" s="101"/>
      <c r="K630" s="101"/>
      <c r="L630" s="53"/>
      <c r="M630" s="53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</row>
    <row r="631" ht="12.75" customHeight="1">
      <c r="A631" s="101"/>
      <c r="B631" s="54"/>
      <c r="C631" s="102"/>
      <c r="D631" s="101"/>
      <c r="E631" s="101"/>
      <c r="F631" s="101"/>
      <c r="G631" s="101"/>
      <c r="H631" s="101"/>
      <c r="I631" s="101"/>
      <c r="J631" s="101"/>
      <c r="K631" s="101"/>
      <c r="L631" s="53"/>
      <c r="M631" s="53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</row>
    <row r="632" ht="12.75" customHeight="1">
      <c r="A632" s="101"/>
      <c r="B632" s="54"/>
      <c r="C632" s="102"/>
      <c r="D632" s="101"/>
      <c r="E632" s="101"/>
      <c r="F632" s="101"/>
      <c r="G632" s="101"/>
      <c r="H632" s="101"/>
      <c r="I632" s="101"/>
      <c r="J632" s="101"/>
      <c r="K632" s="101"/>
      <c r="L632" s="53"/>
      <c r="M632" s="53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</row>
    <row r="633" ht="12.75" customHeight="1">
      <c r="A633" s="101"/>
      <c r="B633" s="54"/>
      <c r="C633" s="102"/>
      <c r="D633" s="101"/>
      <c r="E633" s="101"/>
      <c r="F633" s="101"/>
      <c r="G633" s="101"/>
      <c r="H633" s="101"/>
      <c r="I633" s="101"/>
      <c r="J633" s="101"/>
      <c r="K633" s="101"/>
      <c r="L633" s="53"/>
      <c r="M633" s="53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</row>
    <row r="634" ht="12.75" customHeight="1">
      <c r="A634" s="101"/>
      <c r="B634" s="54"/>
      <c r="C634" s="102"/>
      <c r="D634" s="101"/>
      <c r="E634" s="101"/>
      <c r="F634" s="101"/>
      <c r="G634" s="101"/>
      <c r="H634" s="101"/>
      <c r="I634" s="101"/>
      <c r="J634" s="101"/>
      <c r="K634" s="101"/>
      <c r="L634" s="53"/>
      <c r="M634" s="53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</row>
    <row r="635" ht="12.75" customHeight="1">
      <c r="A635" s="101"/>
      <c r="B635" s="54"/>
      <c r="C635" s="102"/>
      <c r="D635" s="101"/>
      <c r="E635" s="101"/>
      <c r="F635" s="101"/>
      <c r="G635" s="101"/>
      <c r="H635" s="101"/>
      <c r="I635" s="101"/>
      <c r="J635" s="101"/>
      <c r="K635" s="101"/>
      <c r="L635" s="53"/>
      <c r="M635" s="53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</row>
    <row r="636" ht="12.75" customHeight="1">
      <c r="A636" s="101"/>
      <c r="B636" s="54"/>
      <c r="C636" s="102"/>
      <c r="D636" s="101"/>
      <c r="E636" s="101"/>
      <c r="F636" s="101"/>
      <c r="G636" s="101"/>
      <c r="H636" s="101"/>
      <c r="I636" s="101"/>
      <c r="J636" s="101"/>
      <c r="K636" s="101"/>
      <c r="L636" s="53"/>
      <c r="M636" s="53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</row>
    <row r="637" ht="12.75" customHeight="1">
      <c r="A637" s="101"/>
      <c r="B637" s="54"/>
      <c r="C637" s="102"/>
      <c r="D637" s="101"/>
      <c r="E637" s="101"/>
      <c r="F637" s="101"/>
      <c r="G637" s="101"/>
      <c r="H637" s="101"/>
      <c r="I637" s="101"/>
      <c r="J637" s="101"/>
      <c r="K637" s="101"/>
      <c r="L637" s="53"/>
      <c r="M637" s="53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</row>
    <row r="638" ht="12.75" customHeight="1">
      <c r="A638" s="101"/>
      <c r="B638" s="54"/>
      <c r="C638" s="102"/>
      <c r="D638" s="101"/>
      <c r="E638" s="101"/>
      <c r="F638" s="101"/>
      <c r="G638" s="101"/>
      <c r="H638" s="101"/>
      <c r="I638" s="101"/>
      <c r="J638" s="101"/>
      <c r="K638" s="101"/>
      <c r="L638" s="53"/>
      <c r="M638" s="53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</row>
    <row r="639" ht="12.75" customHeight="1">
      <c r="A639" s="101"/>
      <c r="B639" s="54"/>
      <c r="C639" s="102"/>
      <c r="D639" s="101"/>
      <c r="E639" s="101"/>
      <c r="F639" s="101"/>
      <c r="G639" s="101"/>
      <c r="H639" s="101"/>
      <c r="I639" s="101"/>
      <c r="J639" s="101"/>
      <c r="K639" s="101"/>
      <c r="L639" s="53"/>
      <c r="M639" s="53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</row>
    <row r="640" ht="12.75" customHeight="1">
      <c r="A640" s="101"/>
      <c r="B640" s="54"/>
      <c r="C640" s="102"/>
      <c r="D640" s="101"/>
      <c r="E640" s="101"/>
      <c r="F640" s="101"/>
      <c r="G640" s="101"/>
      <c r="H640" s="101"/>
      <c r="I640" s="101"/>
      <c r="J640" s="101"/>
      <c r="K640" s="101"/>
      <c r="L640" s="53"/>
      <c r="M640" s="53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</row>
    <row r="641" ht="12.75" customHeight="1">
      <c r="A641" s="101"/>
      <c r="B641" s="54"/>
      <c r="C641" s="102"/>
      <c r="D641" s="101"/>
      <c r="E641" s="101"/>
      <c r="F641" s="101"/>
      <c r="G641" s="101"/>
      <c r="H641" s="101"/>
      <c r="I641" s="101"/>
      <c r="J641" s="101"/>
      <c r="K641" s="101"/>
      <c r="L641" s="53"/>
      <c r="M641" s="53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</row>
    <row r="642" ht="12.75" customHeight="1">
      <c r="A642" s="101"/>
      <c r="B642" s="54"/>
      <c r="C642" s="102"/>
      <c r="D642" s="101"/>
      <c r="E642" s="101"/>
      <c r="F642" s="101"/>
      <c r="G642" s="101"/>
      <c r="H642" s="101"/>
      <c r="I642" s="101"/>
      <c r="J642" s="101"/>
      <c r="K642" s="101"/>
      <c r="L642" s="53"/>
      <c r="M642" s="53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</row>
    <row r="643" ht="12.75" customHeight="1">
      <c r="A643" s="101"/>
      <c r="B643" s="54"/>
      <c r="C643" s="102"/>
      <c r="D643" s="101"/>
      <c r="E643" s="101"/>
      <c r="F643" s="101"/>
      <c r="G643" s="101"/>
      <c r="H643" s="101"/>
      <c r="I643" s="101"/>
      <c r="J643" s="101"/>
      <c r="K643" s="101"/>
      <c r="L643" s="53"/>
      <c r="M643" s="53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</row>
    <row r="644" ht="12.75" customHeight="1">
      <c r="A644" s="101"/>
      <c r="B644" s="54"/>
      <c r="C644" s="102"/>
      <c r="D644" s="101"/>
      <c r="E644" s="101"/>
      <c r="F644" s="101"/>
      <c r="G644" s="101"/>
      <c r="H644" s="101"/>
      <c r="I644" s="101"/>
      <c r="J644" s="101"/>
      <c r="K644" s="101"/>
      <c r="L644" s="53"/>
      <c r="M644" s="53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</row>
    <row r="645" ht="12.75" customHeight="1">
      <c r="A645" s="101"/>
      <c r="B645" s="54"/>
      <c r="C645" s="102"/>
      <c r="D645" s="101"/>
      <c r="E645" s="101"/>
      <c r="F645" s="101"/>
      <c r="G645" s="101"/>
      <c r="H645" s="101"/>
      <c r="I645" s="101"/>
      <c r="J645" s="101"/>
      <c r="K645" s="101"/>
      <c r="L645" s="53"/>
      <c r="M645" s="53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</row>
    <row r="646" ht="12.75" customHeight="1">
      <c r="A646" s="101"/>
      <c r="B646" s="54"/>
      <c r="C646" s="102"/>
      <c r="D646" s="101"/>
      <c r="E646" s="101"/>
      <c r="F646" s="101"/>
      <c r="G646" s="101"/>
      <c r="H646" s="101"/>
      <c r="I646" s="101"/>
      <c r="J646" s="101"/>
      <c r="K646" s="101"/>
      <c r="L646" s="53"/>
      <c r="M646" s="53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</row>
    <row r="647" ht="12.75" customHeight="1">
      <c r="A647" s="101"/>
      <c r="B647" s="54"/>
      <c r="C647" s="102"/>
      <c r="D647" s="101"/>
      <c r="E647" s="101"/>
      <c r="F647" s="101"/>
      <c r="G647" s="101"/>
      <c r="H647" s="101"/>
      <c r="I647" s="101"/>
      <c r="J647" s="101"/>
      <c r="K647" s="101"/>
      <c r="L647" s="53"/>
      <c r="M647" s="53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</row>
    <row r="648" ht="12.75" customHeight="1">
      <c r="A648" s="101"/>
      <c r="B648" s="54"/>
      <c r="C648" s="102"/>
      <c r="D648" s="101"/>
      <c r="E648" s="101"/>
      <c r="F648" s="101"/>
      <c r="G648" s="101"/>
      <c r="H648" s="101"/>
      <c r="I648" s="101"/>
      <c r="J648" s="101"/>
      <c r="K648" s="101"/>
      <c r="L648" s="53"/>
      <c r="M648" s="53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</row>
    <row r="649" ht="12.75" customHeight="1">
      <c r="A649" s="101"/>
      <c r="B649" s="54"/>
      <c r="C649" s="102"/>
      <c r="D649" s="101"/>
      <c r="E649" s="101"/>
      <c r="F649" s="101"/>
      <c r="G649" s="101"/>
      <c r="H649" s="101"/>
      <c r="I649" s="101"/>
      <c r="J649" s="101"/>
      <c r="K649" s="101"/>
      <c r="L649" s="53"/>
      <c r="M649" s="53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</row>
    <row r="650" ht="12.75" customHeight="1">
      <c r="A650" s="101"/>
      <c r="B650" s="54"/>
      <c r="C650" s="102"/>
      <c r="D650" s="101"/>
      <c r="E650" s="101"/>
      <c r="F650" s="101"/>
      <c r="G650" s="101"/>
      <c r="H650" s="101"/>
      <c r="I650" s="101"/>
      <c r="J650" s="101"/>
      <c r="K650" s="101"/>
      <c r="L650" s="53"/>
      <c r="M650" s="53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</row>
    <row r="651" ht="12.75" customHeight="1">
      <c r="A651" s="101"/>
      <c r="B651" s="54"/>
      <c r="C651" s="102"/>
      <c r="D651" s="101"/>
      <c r="E651" s="101"/>
      <c r="F651" s="101"/>
      <c r="G651" s="101"/>
      <c r="H651" s="101"/>
      <c r="I651" s="101"/>
      <c r="J651" s="101"/>
      <c r="K651" s="101"/>
      <c r="L651" s="53"/>
      <c r="M651" s="53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</row>
    <row r="652" ht="12.75" customHeight="1">
      <c r="A652" s="101"/>
      <c r="B652" s="54"/>
      <c r="C652" s="102"/>
      <c r="D652" s="101"/>
      <c r="E652" s="101"/>
      <c r="F652" s="101"/>
      <c r="G652" s="101"/>
      <c r="H652" s="101"/>
      <c r="I652" s="101"/>
      <c r="J652" s="101"/>
      <c r="K652" s="101"/>
      <c r="L652" s="53"/>
      <c r="M652" s="53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</row>
    <row r="653" ht="12.75" customHeight="1">
      <c r="A653" s="101"/>
      <c r="B653" s="54"/>
      <c r="C653" s="102"/>
      <c r="D653" s="101"/>
      <c r="E653" s="101"/>
      <c r="F653" s="101"/>
      <c r="G653" s="101"/>
      <c r="H653" s="101"/>
      <c r="I653" s="101"/>
      <c r="J653" s="101"/>
      <c r="K653" s="101"/>
      <c r="L653" s="53"/>
      <c r="M653" s="53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</row>
    <row r="654" ht="12.75" customHeight="1">
      <c r="A654" s="101"/>
      <c r="B654" s="54"/>
      <c r="C654" s="102"/>
      <c r="D654" s="101"/>
      <c r="E654" s="101"/>
      <c r="F654" s="101"/>
      <c r="G654" s="101"/>
      <c r="H654" s="101"/>
      <c r="I654" s="101"/>
      <c r="J654" s="101"/>
      <c r="K654" s="101"/>
      <c r="L654" s="53"/>
      <c r="M654" s="53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</row>
    <row r="655" ht="12.75" customHeight="1">
      <c r="A655" s="101"/>
      <c r="B655" s="54"/>
      <c r="C655" s="102"/>
      <c r="D655" s="101"/>
      <c r="E655" s="101"/>
      <c r="F655" s="101"/>
      <c r="G655" s="101"/>
      <c r="H655" s="101"/>
      <c r="I655" s="101"/>
      <c r="J655" s="101"/>
      <c r="K655" s="101"/>
      <c r="L655" s="53"/>
      <c r="M655" s="53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</row>
    <row r="656" ht="12.75" customHeight="1">
      <c r="A656" s="101"/>
      <c r="B656" s="54"/>
      <c r="C656" s="102"/>
      <c r="D656" s="101"/>
      <c r="E656" s="101"/>
      <c r="F656" s="101"/>
      <c r="G656" s="101"/>
      <c r="H656" s="101"/>
      <c r="I656" s="101"/>
      <c r="J656" s="101"/>
      <c r="K656" s="101"/>
      <c r="L656" s="53"/>
      <c r="M656" s="53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</row>
    <row r="657" ht="12.75" customHeight="1">
      <c r="A657" s="101"/>
      <c r="B657" s="54"/>
      <c r="C657" s="102"/>
      <c r="D657" s="101"/>
      <c r="E657" s="101"/>
      <c r="F657" s="101"/>
      <c r="G657" s="101"/>
      <c r="H657" s="101"/>
      <c r="I657" s="101"/>
      <c r="J657" s="101"/>
      <c r="K657" s="101"/>
      <c r="L657" s="53"/>
      <c r="M657" s="53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</row>
    <row r="658" ht="12.75" customHeight="1">
      <c r="A658" s="101"/>
      <c r="B658" s="54"/>
      <c r="C658" s="102"/>
      <c r="D658" s="101"/>
      <c r="E658" s="101"/>
      <c r="F658" s="101"/>
      <c r="G658" s="101"/>
      <c r="H658" s="101"/>
      <c r="I658" s="101"/>
      <c r="J658" s="101"/>
      <c r="K658" s="101"/>
      <c r="L658" s="53"/>
      <c r="M658" s="53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</row>
    <row r="659" ht="12.75" customHeight="1">
      <c r="A659" s="101"/>
      <c r="B659" s="54"/>
      <c r="C659" s="102"/>
      <c r="D659" s="101"/>
      <c r="E659" s="101"/>
      <c r="F659" s="101"/>
      <c r="G659" s="101"/>
      <c r="H659" s="101"/>
      <c r="I659" s="101"/>
      <c r="J659" s="101"/>
      <c r="K659" s="101"/>
      <c r="L659" s="53"/>
      <c r="M659" s="53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</row>
    <row r="660" ht="12.75" customHeight="1">
      <c r="A660" s="101"/>
      <c r="B660" s="54"/>
      <c r="C660" s="102"/>
      <c r="D660" s="101"/>
      <c r="E660" s="101"/>
      <c r="F660" s="101"/>
      <c r="G660" s="101"/>
      <c r="H660" s="101"/>
      <c r="I660" s="101"/>
      <c r="J660" s="101"/>
      <c r="K660" s="101"/>
      <c r="L660" s="53"/>
      <c r="M660" s="53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</row>
    <row r="661" ht="12.75" customHeight="1">
      <c r="A661" s="101"/>
      <c r="B661" s="54"/>
      <c r="C661" s="102"/>
      <c r="D661" s="101"/>
      <c r="E661" s="101"/>
      <c r="F661" s="101"/>
      <c r="G661" s="101"/>
      <c r="H661" s="101"/>
      <c r="I661" s="101"/>
      <c r="J661" s="101"/>
      <c r="K661" s="101"/>
      <c r="L661" s="53"/>
      <c r="M661" s="53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</row>
    <row r="662" ht="12.75" customHeight="1">
      <c r="A662" s="101"/>
      <c r="B662" s="54"/>
      <c r="C662" s="102"/>
      <c r="D662" s="101"/>
      <c r="E662" s="101"/>
      <c r="F662" s="101"/>
      <c r="G662" s="101"/>
      <c r="H662" s="101"/>
      <c r="I662" s="101"/>
      <c r="J662" s="101"/>
      <c r="K662" s="101"/>
      <c r="L662" s="53"/>
      <c r="M662" s="53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</row>
    <row r="663" ht="12.75" customHeight="1">
      <c r="A663" s="101"/>
      <c r="B663" s="54"/>
      <c r="C663" s="102"/>
      <c r="D663" s="101"/>
      <c r="E663" s="101"/>
      <c r="F663" s="101"/>
      <c r="G663" s="101"/>
      <c r="H663" s="101"/>
      <c r="I663" s="101"/>
      <c r="J663" s="101"/>
      <c r="K663" s="101"/>
      <c r="L663" s="53"/>
      <c r="M663" s="53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</row>
    <row r="664" ht="12.75" customHeight="1">
      <c r="A664" s="101"/>
      <c r="B664" s="54"/>
      <c r="C664" s="102"/>
      <c r="D664" s="101"/>
      <c r="E664" s="101"/>
      <c r="F664" s="101"/>
      <c r="G664" s="101"/>
      <c r="H664" s="101"/>
      <c r="I664" s="101"/>
      <c r="J664" s="101"/>
      <c r="K664" s="101"/>
      <c r="L664" s="53"/>
      <c r="M664" s="53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</row>
    <row r="665" ht="12.75" customHeight="1">
      <c r="A665" s="101"/>
      <c r="B665" s="54"/>
      <c r="C665" s="102"/>
      <c r="D665" s="101"/>
      <c r="E665" s="101"/>
      <c r="F665" s="101"/>
      <c r="G665" s="101"/>
      <c r="H665" s="101"/>
      <c r="I665" s="101"/>
      <c r="J665" s="101"/>
      <c r="K665" s="101"/>
      <c r="L665" s="53"/>
      <c r="M665" s="53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</row>
    <row r="666" ht="12.75" customHeight="1">
      <c r="A666" s="101"/>
      <c r="B666" s="54"/>
      <c r="C666" s="102"/>
      <c r="D666" s="101"/>
      <c r="E666" s="101"/>
      <c r="F666" s="101"/>
      <c r="G666" s="101"/>
      <c r="H666" s="101"/>
      <c r="I666" s="101"/>
      <c r="J666" s="101"/>
      <c r="K666" s="101"/>
      <c r="L666" s="53"/>
      <c r="M666" s="53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</row>
    <row r="667" ht="12.75" customHeight="1">
      <c r="A667" s="101"/>
      <c r="B667" s="54"/>
      <c r="C667" s="102"/>
      <c r="D667" s="101"/>
      <c r="E667" s="101"/>
      <c r="F667" s="101"/>
      <c r="G667" s="101"/>
      <c r="H667" s="101"/>
      <c r="I667" s="101"/>
      <c r="J667" s="101"/>
      <c r="K667" s="101"/>
      <c r="L667" s="53"/>
      <c r="M667" s="53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</row>
    <row r="668" ht="12.75" customHeight="1">
      <c r="A668" s="101"/>
      <c r="B668" s="54"/>
      <c r="C668" s="102"/>
      <c r="D668" s="101"/>
      <c r="E668" s="101"/>
      <c r="F668" s="101"/>
      <c r="G668" s="101"/>
      <c r="H668" s="101"/>
      <c r="I668" s="101"/>
      <c r="J668" s="101"/>
      <c r="K668" s="101"/>
      <c r="L668" s="53"/>
      <c r="M668" s="53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</row>
    <row r="669" ht="12.75" customHeight="1">
      <c r="A669" s="101"/>
      <c r="B669" s="54"/>
      <c r="C669" s="102"/>
      <c r="D669" s="101"/>
      <c r="E669" s="101"/>
      <c r="F669" s="101"/>
      <c r="G669" s="101"/>
      <c r="H669" s="101"/>
      <c r="I669" s="101"/>
      <c r="J669" s="101"/>
      <c r="K669" s="101"/>
      <c r="L669" s="53"/>
      <c r="M669" s="53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</row>
    <row r="670" ht="12.75" customHeight="1">
      <c r="A670" s="101"/>
      <c r="B670" s="54"/>
      <c r="C670" s="102"/>
      <c r="D670" s="101"/>
      <c r="E670" s="101"/>
      <c r="F670" s="101"/>
      <c r="G670" s="101"/>
      <c r="H670" s="101"/>
      <c r="I670" s="101"/>
      <c r="J670" s="101"/>
      <c r="K670" s="101"/>
      <c r="L670" s="53"/>
      <c r="M670" s="53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</row>
    <row r="671" ht="12.75" customHeight="1">
      <c r="A671" s="101"/>
      <c r="B671" s="54"/>
      <c r="C671" s="102"/>
      <c r="D671" s="101"/>
      <c r="E671" s="101"/>
      <c r="F671" s="101"/>
      <c r="G671" s="101"/>
      <c r="H671" s="101"/>
      <c r="I671" s="101"/>
      <c r="J671" s="101"/>
      <c r="K671" s="101"/>
      <c r="L671" s="53"/>
      <c r="M671" s="53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</row>
    <row r="672" ht="12.75" customHeight="1">
      <c r="A672" s="101"/>
      <c r="B672" s="54"/>
      <c r="C672" s="102"/>
      <c r="D672" s="101"/>
      <c r="E672" s="101"/>
      <c r="F672" s="101"/>
      <c r="G672" s="101"/>
      <c r="H672" s="101"/>
      <c r="I672" s="101"/>
      <c r="J672" s="101"/>
      <c r="K672" s="101"/>
      <c r="L672" s="53"/>
      <c r="M672" s="53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</row>
    <row r="673" ht="12.75" customHeight="1">
      <c r="A673" s="101"/>
      <c r="B673" s="54"/>
      <c r="C673" s="102"/>
      <c r="D673" s="101"/>
      <c r="E673" s="101"/>
      <c r="F673" s="101"/>
      <c r="G673" s="101"/>
      <c r="H673" s="101"/>
      <c r="I673" s="101"/>
      <c r="J673" s="101"/>
      <c r="K673" s="101"/>
      <c r="L673" s="53"/>
      <c r="M673" s="53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</row>
    <row r="674" ht="12.75" customHeight="1">
      <c r="A674" s="101"/>
      <c r="B674" s="54"/>
      <c r="C674" s="102"/>
      <c r="D674" s="101"/>
      <c r="E674" s="101"/>
      <c r="F674" s="101"/>
      <c r="G674" s="101"/>
      <c r="H674" s="101"/>
      <c r="I674" s="101"/>
      <c r="J674" s="101"/>
      <c r="K674" s="101"/>
      <c r="L674" s="53"/>
      <c r="M674" s="53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</row>
    <row r="675" ht="12.75" customHeight="1">
      <c r="A675" s="101"/>
      <c r="B675" s="54"/>
      <c r="C675" s="102"/>
      <c r="D675" s="101"/>
      <c r="E675" s="101"/>
      <c r="F675" s="101"/>
      <c r="G675" s="101"/>
      <c r="H675" s="101"/>
      <c r="I675" s="101"/>
      <c r="J675" s="101"/>
      <c r="K675" s="101"/>
      <c r="L675" s="53"/>
      <c r="M675" s="53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</row>
    <row r="676" ht="12.75" customHeight="1">
      <c r="A676" s="101"/>
      <c r="B676" s="54"/>
      <c r="C676" s="102"/>
      <c r="D676" s="101"/>
      <c r="E676" s="101"/>
      <c r="F676" s="101"/>
      <c r="G676" s="101"/>
      <c r="H676" s="101"/>
      <c r="I676" s="101"/>
      <c r="J676" s="101"/>
      <c r="K676" s="101"/>
      <c r="L676" s="53"/>
      <c r="M676" s="53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</row>
    <row r="677" ht="12.75" customHeight="1">
      <c r="A677" s="101"/>
      <c r="B677" s="54"/>
      <c r="C677" s="102"/>
      <c r="D677" s="101"/>
      <c r="E677" s="101"/>
      <c r="F677" s="101"/>
      <c r="G677" s="101"/>
      <c r="H677" s="101"/>
      <c r="I677" s="101"/>
      <c r="J677" s="101"/>
      <c r="K677" s="101"/>
      <c r="L677" s="53"/>
      <c r="M677" s="53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</row>
    <row r="678" ht="12.75" customHeight="1">
      <c r="A678" s="101"/>
      <c r="B678" s="54"/>
      <c r="C678" s="102"/>
      <c r="D678" s="101"/>
      <c r="E678" s="101"/>
      <c r="F678" s="101"/>
      <c r="G678" s="101"/>
      <c r="H678" s="101"/>
      <c r="I678" s="101"/>
      <c r="J678" s="101"/>
      <c r="K678" s="101"/>
      <c r="L678" s="53"/>
      <c r="M678" s="53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</row>
    <row r="679" ht="12.75" customHeight="1">
      <c r="A679" s="101"/>
      <c r="B679" s="54"/>
      <c r="C679" s="102"/>
      <c r="D679" s="101"/>
      <c r="E679" s="101"/>
      <c r="F679" s="101"/>
      <c r="G679" s="101"/>
      <c r="H679" s="101"/>
      <c r="I679" s="101"/>
      <c r="J679" s="101"/>
      <c r="K679" s="101"/>
      <c r="L679" s="53"/>
      <c r="M679" s="53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</row>
    <row r="680" ht="12.75" customHeight="1">
      <c r="A680" s="101"/>
      <c r="B680" s="54"/>
      <c r="C680" s="102"/>
      <c r="D680" s="101"/>
      <c r="E680" s="101"/>
      <c r="F680" s="101"/>
      <c r="G680" s="101"/>
      <c r="H680" s="101"/>
      <c r="I680" s="101"/>
      <c r="J680" s="101"/>
      <c r="K680" s="101"/>
      <c r="L680" s="53"/>
      <c r="M680" s="53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</row>
    <row r="681" ht="12.75" customHeight="1">
      <c r="A681" s="101"/>
      <c r="B681" s="54"/>
      <c r="C681" s="102"/>
      <c r="D681" s="101"/>
      <c r="E681" s="101"/>
      <c r="F681" s="101"/>
      <c r="G681" s="101"/>
      <c r="H681" s="101"/>
      <c r="I681" s="101"/>
      <c r="J681" s="101"/>
      <c r="K681" s="101"/>
      <c r="L681" s="53"/>
      <c r="M681" s="53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</row>
    <row r="682" ht="12.75" customHeight="1">
      <c r="A682" s="101"/>
      <c r="B682" s="54"/>
      <c r="C682" s="102"/>
      <c r="D682" s="101"/>
      <c r="E682" s="101"/>
      <c r="F682" s="101"/>
      <c r="G682" s="101"/>
      <c r="H682" s="101"/>
      <c r="I682" s="101"/>
      <c r="J682" s="101"/>
      <c r="K682" s="101"/>
      <c r="L682" s="53"/>
      <c r="M682" s="53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</row>
    <row r="683" ht="12.75" customHeight="1">
      <c r="A683" s="101"/>
      <c r="B683" s="54"/>
      <c r="C683" s="102"/>
      <c r="D683" s="101"/>
      <c r="E683" s="101"/>
      <c r="F683" s="101"/>
      <c r="G683" s="101"/>
      <c r="H683" s="101"/>
      <c r="I683" s="101"/>
      <c r="J683" s="101"/>
      <c r="K683" s="101"/>
      <c r="L683" s="53"/>
      <c r="M683" s="53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</row>
    <row r="684" ht="12.75" customHeight="1">
      <c r="A684" s="101"/>
      <c r="B684" s="54"/>
      <c r="C684" s="102"/>
      <c r="D684" s="101"/>
      <c r="E684" s="101"/>
      <c r="F684" s="101"/>
      <c r="G684" s="101"/>
      <c r="H684" s="101"/>
      <c r="I684" s="101"/>
      <c r="J684" s="101"/>
      <c r="K684" s="101"/>
      <c r="L684" s="53"/>
      <c r="M684" s="53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</row>
    <row r="685" ht="12.75" customHeight="1">
      <c r="A685" s="101"/>
      <c r="B685" s="54"/>
      <c r="C685" s="102"/>
      <c r="D685" s="101"/>
      <c r="E685" s="101"/>
      <c r="F685" s="101"/>
      <c r="G685" s="101"/>
      <c r="H685" s="101"/>
      <c r="I685" s="101"/>
      <c r="J685" s="101"/>
      <c r="K685" s="101"/>
      <c r="L685" s="53"/>
      <c r="M685" s="53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</row>
    <row r="686" ht="12.75" customHeight="1">
      <c r="A686" s="101"/>
      <c r="B686" s="54"/>
      <c r="C686" s="102"/>
      <c r="D686" s="101"/>
      <c r="E686" s="101"/>
      <c r="F686" s="101"/>
      <c r="G686" s="101"/>
      <c r="H686" s="101"/>
      <c r="I686" s="101"/>
      <c r="J686" s="101"/>
      <c r="K686" s="101"/>
      <c r="L686" s="53"/>
      <c r="M686" s="53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</row>
    <row r="687" ht="12.75" customHeight="1">
      <c r="A687" s="101"/>
      <c r="B687" s="54"/>
      <c r="C687" s="102"/>
      <c r="D687" s="101"/>
      <c r="E687" s="101"/>
      <c r="F687" s="101"/>
      <c r="G687" s="101"/>
      <c r="H687" s="101"/>
      <c r="I687" s="101"/>
      <c r="J687" s="101"/>
      <c r="K687" s="101"/>
      <c r="L687" s="53"/>
      <c r="M687" s="53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</row>
    <row r="688" ht="12.75" customHeight="1">
      <c r="A688" s="101"/>
      <c r="B688" s="54"/>
      <c r="C688" s="102"/>
      <c r="D688" s="101"/>
      <c r="E688" s="101"/>
      <c r="F688" s="101"/>
      <c r="G688" s="101"/>
      <c r="H688" s="101"/>
      <c r="I688" s="101"/>
      <c r="J688" s="101"/>
      <c r="K688" s="101"/>
      <c r="L688" s="53"/>
      <c r="M688" s="53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</row>
    <row r="689" ht="12.75" customHeight="1">
      <c r="A689" s="101"/>
      <c r="B689" s="54"/>
      <c r="C689" s="102"/>
      <c r="D689" s="101"/>
      <c r="E689" s="101"/>
      <c r="F689" s="101"/>
      <c r="G689" s="101"/>
      <c r="H689" s="101"/>
      <c r="I689" s="101"/>
      <c r="J689" s="101"/>
      <c r="K689" s="101"/>
      <c r="L689" s="53"/>
      <c r="M689" s="53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</row>
    <row r="690" ht="12.75" customHeight="1">
      <c r="A690" s="101"/>
      <c r="B690" s="54"/>
      <c r="C690" s="102"/>
      <c r="D690" s="101"/>
      <c r="E690" s="101"/>
      <c r="F690" s="101"/>
      <c r="G690" s="101"/>
      <c r="H690" s="101"/>
      <c r="I690" s="101"/>
      <c r="J690" s="101"/>
      <c r="K690" s="101"/>
      <c r="L690" s="53"/>
      <c r="M690" s="53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</row>
    <row r="691" ht="12.75" customHeight="1">
      <c r="A691" s="101"/>
      <c r="B691" s="54"/>
      <c r="C691" s="102"/>
      <c r="D691" s="101"/>
      <c r="E691" s="101"/>
      <c r="F691" s="101"/>
      <c r="G691" s="101"/>
      <c r="H691" s="101"/>
      <c r="I691" s="101"/>
      <c r="J691" s="101"/>
      <c r="K691" s="101"/>
      <c r="L691" s="53"/>
      <c r="M691" s="53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</row>
    <row r="692" ht="12.75" customHeight="1">
      <c r="A692" s="101"/>
      <c r="B692" s="54"/>
      <c r="C692" s="102"/>
      <c r="D692" s="101"/>
      <c r="E692" s="101"/>
      <c r="F692" s="101"/>
      <c r="G692" s="101"/>
      <c r="H692" s="101"/>
      <c r="I692" s="101"/>
      <c r="J692" s="101"/>
      <c r="K692" s="101"/>
      <c r="L692" s="53"/>
      <c r="M692" s="53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</row>
    <row r="693" ht="12.75" customHeight="1">
      <c r="A693" s="101"/>
      <c r="B693" s="54"/>
      <c r="C693" s="102"/>
      <c r="D693" s="101"/>
      <c r="E693" s="101"/>
      <c r="F693" s="101"/>
      <c r="G693" s="101"/>
      <c r="H693" s="101"/>
      <c r="I693" s="101"/>
      <c r="J693" s="101"/>
      <c r="K693" s="101"/>
      <c r="L693" s="53"/>
      <c r="M693" s="53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</row>
    <row r="694" ht="12.75" customHeight="1">
      <c r="A694" s="101"/>
      <c r="B694" s="54"/>
      <c r="C694" s="102"/>
      <c r="D694" s="101"/>
      <c r="E694" s="101"/>
      <c r="F694" s="101"/>
      <c r="G694" s="101"/>
      <c r="H694" s="101"/>
      <c r="I694" s="101"/>
      <c r="J694" s="101"/>
      <c r="K694" s="101"/>
      <c r="L694" s="53"/>
      <c r="M694" s="53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</row>
    <row r="695" ht="12.75" customHeight="1">
      <c r="A695" s="101"/>
      <c r="B695" s="54"/>
      <c r="C695" s="102"/>
      <c r="D695" s="101"/>
      <c r="E695" s="101"/>
      <c r="F695" s="101"/>
      <c r="G695" s="101"/>
      <c r="H695" s="101"/>
      <c r="I695" s="101"/>
      <c r="J695" s="101"/>
      <c r="K695" s="101"/>
      <c r="L695" s="53"/>
      <c r="M695" s="53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</row>
    <row r="696" ht="12.75" customHeight="1">
      <c r="A696" s="101"/>
      <c r="B696" s="54"/>
      <c r="C696" s="102"/>
      <c r="D696" s="101"/>
      <c r="E696" s="101"/>
      <c r="F696" s="101"/>
      <c r="G696" s="101"/>
      <c r="H696" s="101"/>
      <c r="I696" s="101"/>
      <c r="J696" s="101"/>
      <c r="K696" s="101"/>
      <c r="L696" s="53"/>
      <c r="M696" s="53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</row>
    <row r="697" ht="12.75" customHeight="1">
      <c r="A697" s="101"/>
      <c r="B697" s="54"/>
      <c r="C697" s="102"/>
      <c r="D697" s="101"/>
      <c r="E697" s="101"/>
      <c r="F697" s="101"/>
      <c r="G697" s="101"/>
      <c r="H697" s="101"/>
      <c r="I697" s="101"/>
      <c r="J697" s="101"/>
      <c r="K697" s="101"/>
      <c r="L697" s="53"/>
      <c r="M697" s="53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</row>
    <row r="698" ht="12.75" customHeight="1">
      <c r="A698" s="101"/>
      <c r="B698" s="54"/>
      <c r="C698" s="102"/>
      <c r="D698" s="101"/>
      <c r="E698" s="101"/>
      <c r="F698" s="101"/>
      <c r="G698" s="101"/>
      <c r="H698" s="101"/>
      <c r="I698" s="101"/>
      <c r="J698" s="101"/>
      <c r="K698" s="101"/>
      <c r="L698" s="53"/>
      <c r="M698" s="53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</row>
    <row r="699" ht="12.75" customHeight="1">
      <c r="A699" s="101"/>
      <c r="B699" s="54"/>
      <c r="C699" s="102"/>
      <c r="D699" s="101"/>
      <c r="E699" s="101"/>
      <c r="F699" s="101"/>
      <c r="G699" s="101"/>
      <c r="H699" s="101"/>
      <c r="I699" s="101"/>
      <c r="J699" s="101"/>
      <c r="K699" s="101"/>
      <c r="L699" s="53"/>
      <c r="M699" s="53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</row>
    <row r="700" ht="12.75" customHeight="1">
      <c r="A700" s="101"/>
      <c r="B700" s="54"/>
      <c r="C700" s="102"/>
      <c r="D700" s="101"/>
      <c r="E700" s="101"/>
      <c r="F700" s="101"/>
      <c r="G700" s="101"/>
      <c r="H700" s="101"/>
      <c r="I700" s="101"/>
      <c r="J700" s="101"/>
      <c r="K700" s="101"/>
      <c r="L700" s="53"/>
      <c r="M700" s="53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</row>
    <row r="701" ht="12.75" customHeight="1">
      <c r="A701" s="101"/>
      <c r="B701" s="54"/>
      <c r="C701" s="102"/>
      <c r="D701" s="101"/>
      <c r="E701" s="101"/>
      <c r="F701" s="101"/>
      <c r="G701" s="101"/>
      <c r="H701" s="101"/>
      <c r="I701" s="101"/>
      <c r="J701" s="101"/>
      <c r="K701" s="101"/>
      <c r="L701" s="53"/>
      <c r="M701" s="53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</row>
    <row r="702" ht="12.75" customHeight="1">
      <c r="A702" s="101"/>
      <c r="B702" s="54"/>
      <c r="C702" s="102"/>
      <c r="D702" s="101"/>
      <c r="E702" s="101"/>
      <c r="F702" s="101"/>
      <c r="G702" s="101"/>
      <c r="H702" s="101"/>
      <c r="I702" s="101"/>
      <c r="J702" s="101"/>
      <c r="K702" s="101"/>
      <c r="L702" s="53"/>
      <c r="M702" s="53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</row>
    <row r="703" ht="12.75" customHeight="1">
      <c r="A703" s="101"/>
      <c r="B703" s="54"/>
      <c r="C703" s="102"/>
      <c r="D703" s="101"/>
      <c r="E703" s="101"/>
      <c r="F703" s="101"/>
      <c r="G703" s="101"/>
      <c r="H703" s="101"/>
      <c r="I703" s="101"/>
      <c r="J703" s="101"/>
      <c r="K703" s="101"/>
      <c r="L703" s="53"/>
      <c r="M703" s="53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</row>
    <row r="704" ht="12.75" customHeight="1">
      <c r="A704" s="101"/>
      <c r="B704" s="54"/>
      <c r="C704" s="102"/>
      <c r="D704" s="101"/>
      <c r="E704" s="101"/>
      <c r="F704" s="101"/>
      <c r="G704" s="101"/>
      <c r="H704" s="101"/>
      <c r="I704" s="101"/>
      <c r="J704" s="101"/>
      <c r="K704" s="101"/>
      <c r="L704" s="53"/>
      <c r="M704" s="53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</row>
    <row r="705" ht="12.75" customHeight="1">
      <c r="A705" s="101"/>
      <c r="B705" s="54"/>
      <c r="C705" s="102"/>
      <c r="D705" s="101"/>
      <c r="E705" s="101"/>
      <c r="F705" s="101"/>
      <c r="G705" s="101"/>
      <c r="H705" s="101"/>
      <c r="I705" s="101"/>
      <c r="J705" s="101"/>
      <c r="K705" s="101"/>
      <c r="L705" s="53"/>
      <c r="M705" s="53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</row>
    <row r="706" ht="12.75" customHeight="1">
      <c r="A706" s="101"/>
      <c r="B706" s="54"/>
      <c r="C706" s="102"/>
      <c r="D706" s="101"/>
      <c r="E706" s="101"/>
      <c r="F706" s="101"/>
      <c r="G706" s="101"/>
      <c r="H706" s="101"/>
      <c r="I706" s="101"/>
      <c r="J706" s="101"/>
      <c r="K706" s="101"/>
      <c r="L706" s="53"/>
      <c r="M706" s="53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</row>
    <row r="707" ht="12.75" customHeight="1">
      <c r="A707" s="101"/>
      <c r="B707" s="54"/>
      <c r="C707" s="102"/>
      <c r="D707" s="101"/>
      <c r="E707" s="101"/>
      <c r="F707" s="101"/>
      <c r="G707" s="101"/>
      <c r="H707" s="101"/>
      <c r="I707" s="101"/>
      <c r="J707" s="101"/>
      <c r="K707" s="101"/>
      <c r="L707" s="53"/>
      <c r="M707" s="53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</row>
    <row r="708" ht="12.75" customHeight="1">
      <c r="A708" s="101"/>
      <c r="B708" s="54"/>
      <c r="C708" s="102"/>
      <c r="D708" s="101"/>
      <c r="E708" s="101"/>
      <c r="F708" s="101"/>
      <c r="G708" s="101"/>
      <c r="H708" s="101"/>
      <c r="I708" s="101"/>
      <c r="J708" s="101"/>
      <c r="K708" s="101"/>
      <c r="L708" s="53"/>
      <c r="M708" s="53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</row>
    <row r="709" ht="12.75" customHeight="1">
      <c r="A709" s="101"/>
      <c r="B709" s="54"/>
      <c r="C709" s="102"/>
      <c r="D709" s="101"/>
      <c r="E709" s="101"/>
      <c r="F709" s="101"/>
      <c r="G709" s="101"/>
      <c r="H709" s="101"/>
      <c r="I709" s="101"/>
      <c r="J709" s="101"/>
      <c r="K709" s="101"/>
      <c r="L709" s="53"/>
      <c r="M709" s="53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</row>
    <row r="710" ht="12.75" customHeight="1">
      <c r="A710" s="101"/>
      <c r="B710" s="54"/>
      <c r="C710" s="102"/>
      <c r="D710" s="101"/>
      <c r="E710" s="101"/>
      <c r="F710" s="101"/>
      <c r="G710" s="101"/>
      <c r="H710" s="101"/>
      <c r="I710" s="101"/>
      <c r="J710" s="101"/>
      <c r="K710" s="101"/>
      <c r="L710" s="53"/>
      <c r="M710" s="53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</row>
    <row r="711" ht="12.75" customHeight="1">
      <c r="A711" s="101"/>
      <c r="B711" s="54"/>
      <c r="C711" s="102"/>
      <c r="D711" s="101"/>
      <c r="E711" s="101"/>
      <c r="F711" s="101"/>
      <c r="G711" s="101"/>
      <c r="H711" s="101"/>
      <c r="I711" s="101"/>
      <c r="J711" s="101"/>
      <c r="K711" s="101"/>
      <c r="L711" s="53"/>
      <c r="M711" s="53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</row>
    <row r="712" ht="12.75" customHeight="1">
      <c r="A712" s="101"/>
      <c r="B712" s="54"/>
      <c r="C712" s="102"/>
      <c r="D712" s="101"/>
      <c r="E712" s="101"/>
      <c r="F712" s="101"/>
      <c r="G712" s="101"/>
      <c r="H712" s="101"/>
      <c r="I712" s="101"/>
      <c r="J712" s="101"/>
      <c r="K712" s="101"/>
      <c r="L712" s="53"/>
      <c r="M712" s="53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</row>
    <row r="713" ht="12.75" customHeight="1">
      <c r="A713" s="101"/>
      <c r="B713" s="54"/>
      <c r="C713" s="102"/>
      <c r="D713" s="101"/>
      <c r="E713" s="101"/>
      <c r="F713" s="101"/>
      <c r="G713" s="101"/>
      <c r="H713" s="101"/>
      <c r="I713" s="101"/>
      <c r="J713" s="101"/>
      <c r="K713" s="101"/>
      <c r="L713" s="53"/>
      <c r="M713" s="53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</row>
    <row r="714" ht="12.75" customHeight="1">
      <c r="A714" s="101"/>
      <c r="B714" s="54"/>
      <c r="C714" s="102"/>
      <c r="D714" s="101"/>
      <c r="E714" s="101"/>
      <c r="F714" s="101"/>
      <c r="G714" s="101"/>
      <c r="H714" s="101"/>
      <c r="I714" s="101"/>
      <c r="J714" s="101"/>
      <c r="K714" s="101"/>
      <c r="L714" s="53"/>
      <c r="M714" s="53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</row>
    <row r="715" ht="12.75" customHeight="1">
      <c r="A715" s="101"/>
      <c r="B715" s="54"/>
      <c r="C715" s="102"/>
      <c r="D715" s="101"/>
      <c r="E715" s="101"/>
      <c r="F715" s="101"/>
      <c r="G715" s="101"/>
      <c r="H715" s="101"/>
      <c r="I715" s="101"/>
      <c r="J715" s="101"/>
      <c r="K715" s="101"/>
      <c r="L715" s="53"/>
      <c r="M715" s="53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</row>
    <row r="716" ht="12.75" customHeight="1">
      <c r="A716" s="101"/>
      <c r="B716" s="54"/>
      <c r="C716" s="102"/>
      <c r="D716" s="101"/>
      <c r="E716" s="101"/>
      <c r="F716" s="101"/>
      <c r="G716" s="101"/>
      <c r="H716" s="101"/>
      <c r="I716" s="101"/>
      <c r="J716" s="101"/>
      <c r="K716" s="101"/>
      <c r="L716" s="53"/>
      <c r="M716" s="53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</row>
    <row r="717" ht="12.75" customHeight="1">
      <c r="A717" s="101"/>
      <c r="B717" s="54"/>
      <c r="C717" s="102"/>
      <c r="D717" s="101"/>
      <c r="E717" s="101"/>
      <c r="F717" s="101"/>
      <c r="G717" s="101"/>
      <c r="H717" s="101"/>
      <c r="I717" s="101"/>
      <c r="J717" s="101"/>
      <c r="K717" s="101"/>
      <c r="L717" s="53"/>
      <c r="M717" s="53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</row>
    <row r="718" ht="12.75" customHeight="1">
      <c r="A718" s="101"/>
      <c r="B718" s="54"/>
      <c r="C718" s="102"/>
      <c r="D718" s="101"/>
      <c r="E718" s="101"/>
      <c r="F718" s="101"/>
      <c r="G718" s="101"/>
      <c r="H718" s="101"/>
      <c r="I718" s="101"/>
      <c r="J718" s="101"/>
      <c r="K718" s="101"/>
      <c r="L718" s="53"/>
      <c r="M718" s="53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</row>
    <row r="719" ht="12.75" customHeight="1">
      <c r="A719" s="101"/>
      <c r="B719" s="54"/>
      <c r="C719" s="102"/>
      <c r="D719" s="101"/>
      <c r="E719" s="101"/>
      <c r="F719" s="101"/>
      <c r="G719" s="101"/>
      <c r="H719" s="101"/>
      <c r="I719" s="101"/>
      <c r="J719" s="101"/>
      <c r="K719" s="101"/>
      <c r="L719" s="53"/>
      <c r="M719" s="53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</row>
    <row r="720" ht="12.75" customHeight="1">
      <c r="A720" s="101"/>
      <c r="B720" s="54"/>
      <c r="C720" s="102"/>
      <c r="D720" s="101"/>
      <c r="E720" s="101"/>
      <c r="F720" s="101"/>
      <c r="G720" s="101"/>
      <c r="H720" s="101"/>
      <c r="I720" s="101"/>
      <c r="J720" s="101"/>
      <c r="K720" s="101"/>
      <c r="L720" s="53"/>
      <c r="M720" s="53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</row>
    <row r="721" ht="12.75" customHeight="1">
      <c r="A721" s="101"/>
      <c r="B721" s="54"/>
      <c r="C721" s="102"/>
      <c r="D721" s="101"/>
      <c r="E721" s="101"/>
      <c r="F721" s="101"/>
      <c r="G721" s="101"/>
      <c r="H721" s="101"/>
      <c r="I721" s="101"/>
      <c r="J721" s="101"/>
      <c r="K721" s="101"/>
      <c r="L721" s="53"/>
      <c r="M721" s="53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</row>
    <row r="722" ht="12.75" customHeight="1">
      <c r="A722" s="101"/>
      <c r="B722" s="54"/>
      <c r="C722" s="102"/>
      <c r="D722" s="101"/>
      <c r="E722" s="101"/>
      <c r="F722" s="101"/>
      <c r="G722" s="101"/>
      <c r="H722" s="101"/>
      <c r="I722" s="101"/>
      <c r="J722" s="101"/>
      <c r="K722" s="101"/>
      <c r="L722" s="53"/>
      <c r="M722" s="53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</row>
    <row r="723" ht="12.75" customHeight="1">
      <c r="A723" s="101"/>
      <c r="B723" s="54"/>
      <c r="C723" s="102"/>
      <c r="D723" s="101"/>
      <c r="E723" s="101"/>
      <c r="F723" s="101"/>
      <c r="G723" s="101"/>
      <c r="H723" s="101"/>
      <c r="I723" s="101"/>
      <c r="J723" s="101"/>
      <c r="K723" s="101"/>
      <c r="L723" s="53"/>
      <c r="M723" s="53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</row>
    <row r="724" ht="12.75" customHeight="1">
      <c r="A724" s="101"/>
      <c r="B724" s="54"/>
      <c r="C724" s="102"/>
      <c r="D724" s="101"/>
      <c r="E724" s="101"/>
      <c r="F724" s="101"/>
      <c r="G724" s="101"/>
      <c r="H724" s="101"/>
      <c r="I724" s="101"/>
      <c r="J724" s="101"/>
      <c r="K724" s="101"/>
      <c r="L724" s="53"/>
      <c r="M724" s="53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</row>
    <row r="725" ht="12.75" customHeight="1">
      <c r="A725" s="101"/>
      <c r="B725" s="54"/>
      <c r="C725" s="102"/>
      <c r="D725" s="101"/>
      <c r="E725" s="101"/>
      <c r="F725" s="101"/>
      <c r="G725" s="101"/>
      <c r="H725" s="101"/>
      <c r="I725" s="101"/>
      <c r="J725" s="101"/>
      <c r="K725" s="101"/>
      <c r="L725" s="53"/>
      <c r="M725" s="53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</row>
    <row r="726" ht="12.75" customHeight="1">
      <c r="A726" s="101"/>
      <c r="B726" s="54"/>
      <c r="C726" s="102"/>
      <c r="D726" s="101"/>
      <c r="E726" s="101"/>
      <c r="F726" s="101"/>
      <c r="G726" s="101"/>
      <c r="H726" s="101"/>
      <c r="I726" s="101"/>
      <c r="J726" s="101"/>
      <c r="K726" s="101"/>
      <c r="L726" s="53"/>
      <c r="M726" s="53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</row>
    <row r="727" ht="12.75" customHeight="1">
      <c r="A727" s="101"/>
      <c r="B727" s="54"/>
      <c r="C727" s="102"/>
      <c r="D727" s="101"/>
      <c r="E727" s="101"/>
      <c r="F727" s="101"/>
      <c r="G727" s="101"/>
      <c r="H727" s="101"/>
      <c r="I727" s="101"/>
      <c r="J727" s="101"/>
      <c r="K727" s="101"/>
      <c r="L727" s="53"/>
      <c r="M727" s="53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</row>
    <row r="728" ht="12.75" customHeight="1">
      <c r="A728" s="101"/>
      <c r="B728" s="54"/>
      <c r="C728" s="102"/>
      <c r="D728" s="101"/>
      <c r="E728" s="101"/>
      <c r="F728" s="101"/>
      <c r="G728" s="101"/>
      <c r="H728" s="101"/>
      <c r="I728" s="101"/>
      <c r="J728" s="101"/>
      <c r="K728" s="101"/>
      <c r="L728" s="53"/>
      <c r="M728" s="53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</row>
    <row r="729" ht="12.75" customHeight="1">
      <c r="A729" s="101"/>
      <c r="B729" s="54"/>
      <c r="C729" s="102"/>
      <c r="D729" s="101"/>
      <c r="E729" s="101"/>
      <c r="F729" s="101"/>
      <c r="G729" s="101"/>
      <c r="H729" s="101"/>
      <c r="I729" s="101"/>
      <c r="J729" s="101"/>
      <c r="K729" s="101"/>
      <c r="L729" s="53"/>
      <c r="M729" s="53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</row>
    <row r="730" ht="12.75" customHeight="1">
      <c r="A730" s="101"/>
      <c r="B730" s="54"/>
      <c r="C730" s="102"/>
      <c r="D730" s="101"/>
      <c r="E730" s="101"/>
      <c r="F730" s="101"/>
      <c r="G730" s="101"/>
      <c r="H730" s="101"/>
      <c r="I730" s="101"/>
      <c r="J730" s="101"/>
      <c r="K730" s="101"/>
      <c r="L730" s="53"/>
      <c r="M730" s="53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</row>
    <row r="731" ht="12.75" customHeight="1">
      <c r="A731" s="101"/>
      <c r="B731" s="54"/>
      <c r="C731" s="102"/>
      <c r="D731" s="101"/>
      <c r="E731" s="101"/>
      <c r="F731" s="101"/>
      <c r="G731" s="101"/>
      <c r="H731" s="101"/>
      <c r="I731" s="101"/>
      <c r="J731" s="101"/>
      <c r="K731" s="101"/>
      <c r="L731" s="53"/>
      <c r="M731" s="53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</row>
    <row r="732" ht="12.75" customHeight="1">
      <c r="A732" s="101"/>
      <c r="B732" s="54"/>
      <c r="C732" s="102"/>
      <c r="D732" s="101"/>
      <c r="E732" s="101"/>
      <c r="F732" s="101"/>
      <c r="G732" s="101"/>
      <c r="H732" s="101"/>
      <c r="I732" s="101"/>
      <c r="J732" s="101"/>
      <c r="K732" s="101"/>
      <c r="L732" s="53"/>
      <c r="M732" s="53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</row>
    <row r="733" ht="12.75" customHeight="1">
      <c r="A733" s="101"/>
      <c r="B733" s="54"/>
      <c r="C733" s="102"/>
      <c r="D733" s="101"/>
      <c r="E733" s="101"/>
      <c r="F733" s="101"/>
      <c r="G733" s="101"/>
      <c r="H733" s="101"/>
      <c r="I733" s="101"/>
      <c r="J733" s="101"/>
      <c r="K733" s="101"/>
      <c r="L733" s="53"/>
      <c r="M733" s="53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</row>
    <row r="734" ht="12.75" customHeight="1">
      <c r="A734" s="101"/>
      <c r="B734" s="54"/>
      <c r="C734" s="102"/>
      <c r="D734" s="101"/>
      <c r="E734" s="101"/>
      <c r="F734" s="101"/>
      <c r="G734" s="101"/>
      <c r="H734" s="101"/>
      <c r="I734" s="101"/>
      <c r="J734" s="101"/>
      <c r="K734" s="101"/>
      <c r="L734" s="53"/>
      <c r="M734" s="53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</row>
    <row r="735" ht="12.75" customHeight="1">
      <c r="A735" s="101"/>
      <c r="B735" s="54"/>
      <c r="C735" s="102"/>
      <c r="D735" s="101"/>
      <c r="E735" s="101"/>
      <c r="F735" s="101"/>
      <c r="G735" s="101"/>
      <c r="H735" s="101"/>
      <c r="I735" s="101"/>
      <c r="J735" s="101"/>
      <c r="K735" s="101"/>
      <c r="L735" s="53"/>
      <c r="M735" s="53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</row>
    <row r="736" ht="12.75" customHeight="1">
      <c r="A736" s="101"/>
      <c r="B736" s="54"/>
      <c r="C736" s="102"/>
      <c r="D736" s="101"/>
      <c r="E736" s="101"/>
      <c r="F736" s="101"/>
      <c r="G736" s="101"/>
      <c r="H736" s="101"/>
      <c r="I736" s="101"/>
      <c r="J736" s="101"/>
      <c r="K736" s="101"/>
      <c r="L736" s="53"/>
      <c r="M736" s="53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</row>
    <row r="737" ht="12.75" customHeight="1">
      <c r="A737" s="101"/>
      <c r="B737" s="54"/>
      <c r="C737" s="102"/>
      <c r="D737" s="101"/>
      <c r="E737" s="101"/>
      <c r="F737" s="101"/>
      <c r="G737" s="101"/>
      <c r="H737" s="101"/>
      <c r="I737" s="101"/>
      <c r="J737" s="101"/>
      <c r="K737" s="101"/>
      <c r="L737" s="53"/>
      <c r="M737" s="53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</row>
    <row r="738" ht="12.75" customHeight="1">
      <c r="A738" s="101"/>
      <c r="B738" s="54"/>
      <c r="C738" s="102"/>
      <c r="D738" s="101"/>
      <c r="E738" s="101"/>
      <c r="F738" s="101"/>
      <c r="G738" s="101"/>
      <c r="H738" s="101"/>
      <c r="I738" s="101"/>
      <c r="J738" s="101"/>
      <c r="K738" s="101"/>
      <c r="L738" s="53"/>
      <c r="M738" s="53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</row>
    <row r="739" ht="12.75" customHeight="1">
      <c r="A739" s="101"/>
      <c r="B739" s="54"/>
      <c r="C739" s="102"/>
      <c r="D739" s="101"/>
      <c r="E739" s="101"/>
      <c r="F739" s="101"/>
      <c r="G739" s="101"/>
      <c r="H739" s="101"/>
      <c r="I739" s="101"/>
      <c r="J739" s="101"/>
      <c r="K739" s="101"/>
      <c r="L739" s="53"/>
      <c r="M739" s="53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</row>
    <row r="740" ht="12.75" customHeight="1">
      <c r="A740" s="101"/>
      <c r="B740" s="54"/>
      <c r="C740" s="102"/>
      <c r="D740" s="101"/>
      <c r="E740" s="101"/>
      <c r="F740" s="101"/>
      <c r="G740" s="101"/>
      <c r="H740" s="101"/>
      <c r="I740" s="101"/>
      <c r="J740" s="101"/>
      <c r="K740" s="101"/>
      <c r="L740" s="53"/>
      <c r="M740" s="53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</row>
    <row r="741" ht="12.75" customHeight="1">
      <c r="A741" s="101"/>
      <c r="B741" s="54"/>
      <c r="C741" s="102"/>
      <c r="D741" s="101"/>
      <c r="E741" s="101"/>
      <c r="F741" s="101"/>
      <c r="G741" s="101"/>
      <c r="H741" s="101"/>
      <c r="I741" s="101"/>
      <c r="J741" s="101"/>
      <c r="K741" s="101"/>
      <c r="L741" s="53"/>
      <c r="M741" s="53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</row>
    <row r="742" ht="12.75" customHeight="1">
      <c r="A742" s="101"/>
      <c r="B742" s="54"/>
      <c r="C742" s="102"/>
      <c r="D742" s="101"/>
      <c r="E742" s="101"/>
      <c r="F742" s="101"/>
      <c r="G742" s="101"/>
      <c r="H742" s="101"/>
      <c r="I742" s="101"/>
      <c r="J742" s="101"/>
      <c r="K742" s="101"/>
      <c r="L742" s="53"/>
      <c r="M742" s="53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</row>
    <row r="743" ht="12.75" customHeight="1">
      <c r="A743" s="101"/>
      <c r="B743" s="54"/>
      <c r="C743" s="102"/>
      <c r="D743" s="101"/>
      <c r="E743" s="101"/>
      <c r="F743" s="101"/>
      <c r="G743" s="101"/>
      <c r="H743" s="101"/>
      <c r="I743" s="101"/>
      <c r="J743" s="101"/>
      <c r="K743" s="101"/>
      <c r="L743" s="53"/>
      <c r="M743" s="53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</row>
    <row r="744" ht="12.75" customHeight="1">
      <c r="A744" s="101"/>
      <c r="B744" s="54"/>
      <c r="C744" s="102"/>
      <c r="D744" s="101"/>
      <c r="E744" s="101"/>
      <c r="F744" s="101"/>
      <c r="G744" s="101"/>
      <c r="H744" s="101"/>
      <c r="I744" s="101"/>
      <c r="J744" s="101"/>
      <c r="K744" s="101"/>
      <c r="L744" s="53"/>
      <c r="M744" s="53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</row>
    <row r="745" ht="12.75" customHeight="1">
      <c r="A745" s="101"/>
      <c r="B745" s="54"/>
      <c r="C745" s="102"/>
      <c r="D745" s="101"/>
      <c r="E745" s="101"/>
      <c r="F745" s="101"/>
      <c r="G745" s="101"/>
      <c r="H745" s="101"/>
      <c r="I745" s="101"/>
      <c r="J745" s="101"/>
      <c r="K745" s="101"/>
      <c r="L745" s="53"/>
      <c r="M745" s="53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</row>
    <row r="746" ht="12.75" customHeight="1">
      <c r="A746" s="101"/>
      <c r="B746" s="54"/>
      <c r="C746" s="102"/>
      <c r="D746" s="101"/>
      <c r="E746" s="101"/>
      <c r="F746" s="101"/>
      <c r="G746" s="101"/>
      <c r="H746" s="101"/>
      <c r="I746" s="101"/>
      <c r="J746" s="101"/>
      <c r="K746" s="101"/>
      <c r="L746" s="53"/>
      <c r="M746" s="53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</row>
    <row r="747" ht="12.75" customHeight="1">
      <c r="A747" s="101"/>
      <c r="B747" s="54"/>
      <c r="C747" s="102"/>
      <c r="D747" s="101"/>
      <c r="E747" s="101"/>
      <c r="F747" s="101"/>
      <c r="G747" s="101"/>
      <c r="H747" s="101"/>
      <c r="I747" s="101"/>
      <c r="J747" s="101"/>
      <c r="K747" s="101"/>
      <c r="L747" s="53"/>
      <c r="M747" s="53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</row>
    <row r="748" ht="12.75" customHeight="1">
      <c r="A748" s="101"/>
      <c r="B748" s="54"/>
      <c r="C748" s="102"/>
      <c r="D748" s="101"/>
      <c r="E748" s="101"/>
      <c r="F748" s="101"/>
      <c r="G748" s="101"/>
      <c r="H748" s="101"/>
      <c r="I748" s="101"/>
      <c r="J748" s="101"/>
      <c r="K748" s="101"/>
      <c r="L748" s="53"/>
      <c r="M748" s="53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</row>
    <row r="749" ht="12.75" customHeight="1">
      <c r="A749" s="101"/>
      <c r="B749" s="54"/>
      <c r="C749" s="102"/>
      <c r="D749" s="101"/>
      <c r="E749" s="101"/>
      <c r="F749" s="101"/>
      <c r="G749" s="101"/>
      <c r="H749" s="101"/>
      <c r="I749" s="101"/>
      <c r="J749" s="101"/>
      <c r="K749" s="101"/>
      <c r="L749" s="53"/>
      <c r="M749" s="53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</row>
    <row r="750" ht="12.75" customHeight="1">
      <c r="A750" s="101"/>
      <c r="B750" s="54"/>
      <c r="C750" s="102"/>
      <c r="D750" s="101"/>
      <c r="E750" s="101"/>
      <c r="F750" s="101"/>
      <c r="G750" s="101"/>
      <c r="H750" s="101"/>
      <c r="I750" s="101"/>
      <c r="J750" s="101"/>
      <c r="K750" s="101"/>
      <c r="L750" s="53"/>
      <c r="M750" s="53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</row>
    <row r="751" ht="12.75" customHeight="1">
      <c r="A751" s="101"/>
      <c r="B751" s="54"/>
      <c r="C751" s="102"/>
      <c r="D751" s="101"/>
      <c r="E751" s="101"/>
      <c r="F751" s="101"/>
      <c r="G751" s="101"/>
      <c r="H751" s="101"/>
      <c r="I751" s="101"/>
      <c r="J751" s="101"/>
      <c r="K751" s="101"/>
      <c r="L751" s="53"/>
      <c r="M751" s="53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</row>
    <row r="752" ht="12.75" customHeight="1">
      <c r="A752" s="101"/>
      <c r="B752" s="54"/>
      <c r="C752" s="102"/>
      <c r="D752" s="101"/>
      <c r="E752" s="101"/>
      <c r="F752" s="101"/>
      <c r="G752" s="101"/>
      <c r="H752" s="101"/>
      <c r="I752" s="101"/>
      <c r="J752" s="101"/>
      <c r="K752" s="101"/>
      <c r="L752" s="53"/>
      <c r="M752" s="53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</row>
    <row r="753" ht="12.75" customHeight="1">
      <c r="A753" s="101"/>
      <c r="B753" s="54"/>
      <c r="C753" s="102"/>
      <c r="D753" s="101"/>
      <c r="E753" s="101"/>
      <c r="F753" s="101"/>
      <c r="G753" s="101"/>
      <c r="H753" s="101"/>
      <c r="I753" s="101"/>
      <c r="J753" s="101"/>
      <c r="K753" s="101"/>
      <c r="L753" s="53"/>
      <c r="M753" s="53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</row>
    <row r="754" ht="12.75" customHeight="1">
      <c r="A754" s="101"/>
      <c r="B754" s="54"/>
      <c r="C754" s="102"/>
      <c r="D754" s="101"/>
      <c r="E754" s="101"/>
      <c r="F754" s="101"/>
      <c r="G754" s="101"/>
      <c r="H754" s="101"/>
      <c r="I754" s="101"/>
      <c r="J754" s="101"/>
      <c r="K754" s="101"/>
      <c r="L754" s="53"/>
      <c r="M754" s="53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</row>
    <row r="755" ht="12.75" customHeight="1">
      <c r="A755" s="101"/>
      <c r="B755" s="54"/>
      <c r="C755" s="102"/>
      <c r="D755" s="101"/>
      <c r="E755" s="101"/>
      <c r="F755" s="101"/>
      <c r="G755" s="101"/>
      <c r="H755" s="101"/>
      <c r="I755" s="101"/>
      <c r="J755" s="101"/>
      <c r="K755" s="101"/>
      <c r="L755" s="53"/>
      <c r="M755" s="53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</row>
    <row r="756" ht="12.75" customHeight="1">
      <c r="A756" s="101"/>
      <c r="B756" s="54"/>
      <c r="C756" s="102"/>
      <c r="D756" s="101"/>
      <c r="E756" s="101"/>
      <c r="F756" s="101"/>
      <c r="G756" s="101"/>
      <c r="H756" s="101"/>
      <c r="I756" s="101"/>
      <c r="J756" s="101"/>
      <c r="K756" s="101"/>
      <c r="L756" s="53"/>
      <c r="M756" s="53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</row>
    <row r="757" ht="12.75" customHeight="1">
      <c r="A757" s="101"/>
      <c r="B757" s="54"/>
      <c r="C757" s="102"/>
      <c r="D757" s="101"/>
      <c r="E757" s="101"/>
      <c r="F757" s="101"/>
      <c r="G757" s="101"/>
      <c r="H757" s="101"/>
      <c r="I757" s="101"/>
      <c r="J757" s="101"/>
      <c r="K757" s="101"/>
      <c r="L757" s="53"/>
      <c r="M757" s="53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</row>
    <row r="758" ht="12.75" customHeight="1">
      <c r="A758" s="101"/>
      <c r="B758" s="54"/>
      <c r="C758" s="102"/>
      <c r="D758" s="101"/>
      <c r="E758" s="101"/>
      <c r="F758" s="101"/>
      <c r="G758" s="101"/>
      <c r="H758" s="101"/>
      <c r="I758" s="101"/>
      <c r="J758" s="101"/>
      <c r="K758" s="101"/>
      <c r="L758" s="53"/>
      <c r="M758" s="53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</row>
    <row r="759" ht="12.75" customHeight="1">
      <c r="A759" s="101"/>
      <c r="B759" s="54"/>
      <c r="C759" s="102"/>
      <c r="D759" s="101"/>
      <c r="E759" s="101"/>
      <c r="F759" s="101"/>
      <c r="G759" s="101"/>
      <c r="H759" s="101"/>
      <c r="I759" s="101"/>
      <c r="J759" s="101"/>
      <c r="K759" s="101"/>
      <c r="L759" s="53"/>
      <c r="M759" s="53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</row>
    <row r="760" ht="12.75" customHeight="1">
      <c r="A760" s="101"/>
      <c r="B760" s="54"/>
      <c r="C760" s="102"/>
      <c r="D760" s="101"/>
      <c r="E760" s="101"/>
      <c r="F760" s="101"/>
      <c r="G760" s="101"/>
      <c r="H760" s="101"/>
      <c r="I760" s="101"/>
      <c r="J760" s="101"/>
      <c r="K760" s="101"/>
      <c r="L760" s="53"/>
      <c r="M760" s="53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</row>
    <row r="761" ht="12.75" customHeight="1">
      <c r="A761" s="101"/>
      <c r="B761" s="54"/>
      <c r="C761" s="102"/>
      <c r="D761" s="101"/>
      <c r="E761" s="101"/>
      <c r="F761" s="101"/>
      <c r="G761" s="101"/>
      <c r="H761" s="101"/>
      <c r="I761" s="101"/>
      <c r="J761" s="101"/>
      <c r="K761" s="101"/>
      <c r="L761" s="53"/>
      <c r="M761" s="53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</row>
    <row r="762" ht="12.75" customHeight="1">
      <c r="A762" s="101"/>
      <c r="B762" s="54"/>
      <c r="C762" s="102"/>
      <c r="D762" s="101"/>
      <c r="E762" s="101"/>
      <c r="F762" s="101"/>
      <c r="G762" s="101"/>
      <c r="H762" s="101"/>
      <c r="I762" s="101"/>
      <c r="J762" s="101"/>
      <c r="K762" s="101"/>
      <c r="L762" s="53"/>
      <c r="M762" s="53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</row>
    <row r="763" ht="12.75" customHeight="1">
      <c r="A763" s="101"/>
      <c r="B763" s="54"/>
      <c r="C763" s="102"/>
      <c r="D763" s="101"/>
      <c r="E763" s="101"/>
      <c r="F763" s="101"/>
      <c r="G763" s="101"/>
      <c r="H763" s="101"/>
      <c r="I763" s="101"/>
      <c r="J763" s="101"/>
      <c r="K763" s="101"/>
      <c r="L763" s="53"/>
      <c r="M763" s="53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</row>
    <row r="764" ht="12.75" customHeight="1">
      <c r="A764" s="101"/>
      <c r="B764" s="54"/>
      <c r="C764" s="102"/>
      <c r="D764" s="101"/>
      <c r="E764" s="101"/>
      <c r="F764" s="101"/>
      <c r="G764" s="101"/>
      <c r="H764" s="101"/>
      <c r="I764" s="101"/>
      <c r="J764" s="101"/>
      <c r="K764" s="101"/>
      <c r="L764" s="53"/>
      <c r="M764" s="53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</row>
    <row r="765" ht="12.75" customHeight="1">
      <c r="A765" s="101"/>
      <c r="B765" s="54"/>
      <c r="C765" s="102"/>
      <c r="D765" s="101"/>
      <c r="E765" s="101"/>
      <c r="F765" s="101"/>
      <c r="G765" s="101"/>
      <c r="H765" s="101"/>
      <c r="I765" s="101"/>
      <c r="J765" s="101"/>
      <c r="K765" s="101"/>
      <c r="L765" s="53"/>
      <c r="M765" s="53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</row>
    <row r="766" ht="12.75" customHeight="1">
      <c r="A766" s="101"/>
      <c r="B766" s="54"/>
      <c r="C766" s="102"/>
      <c r="D766" s="101"/>
      <c r="E766" s="101"/>
      <c r="F766" s="101"/>
      <c r="G766" s="101"/>
      <c r="H766" s="101"/>
      <c r="I766" s="101"/>
      <c r="J766" s="101"/>
      <c r="K766" s="101"/>
      <c r="L766" s="53"/>
      <c r="M766" s="53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</row>
    <row r="767" ht="12.75" customHeight="1">
      <c r="A767" s="101"/>
      <c r="B767" s="54"/>
      <c r="C767" s="102"/>
      <c r="D767" s="101"/>
      <c r="E767" s="101"/>
      <c r="F767" s="101"/>
      <c r="G767" s="101"/>
      <c r="H767" s="101"/>
      <c r="I767" s="101"/>
      <c r="J767" s="101"/>
      <c r="K767" s="101"/>
      <c r="L767" s="53"/>
      <c r="M767" s="53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</row>
    <row r="768" ht="12.75" customHeight="1">
      <c r="A768" s="101"/>
      <c r="B768" s="54"/>
      <c r="C768" s="102"/>
      <c r="D768" s="101"/>
      <c r="E768" s="101"/>
      <c r="F768" s="101"/>
      <c r="G768" s="101"/>
      <c r="H768" s="101"/>
      <c r="I768" s="101"/>
      <c r="J768" s="101"/>
      <c r="K768" s="101"/>
      <c r="L768" s="53"/>
      <c r="M768" s="53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</row>
    <row r="769" ht="12.75" customHeight="1">
      <c r="A769" s="101"/>
      <c r="B769" s="54"/>
      <c r="C769" s="102"/>
      <c r="D769" s="101"/>
      <c r="E769" s="101"/>
      <c r="F769" s="101"/>
      <c r="G769" s="101"/>
      <c r="H769" s="101"/>
      <c r="I769" s="101"/>
      <c r="J769" s="101"/>
      <c r="K769" s="101"/>
      <c r="L769" s="53"/>
      <c r="M769" s="53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</row>
    <row r="770" ht="12.75" customHeight="1">
      <c r="A770" s="101"/>
      <c r="B770" s="54"/>
      <c r="C770" s="102"/>
      <c r="D770" s="101"/>
      <c r="E770" s="101"/>
      <c r="F770" s="101"/>
      <c r="G770" s="101"/>
      <c r="H770" s="101"/>
      <c r="I770" s="101"/>
      <c r="J770" s="101"/>
      <c r="K770" s="101"/>
      <c r="L770" s="53"/>
      <c r="M770" s="53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</row>
    <row r="771" ht="12.75" customHeight="1">
      <c r="A771" s="101"/>
      <c r="B771" s="54"/>
      <c r="C771" s="102"/>
      <c r="D771" s="101"/>
      <c r="E771" s="101"/>
      <c r="F771" s="101"/>
      <c r="G771" s="101"/>
      <c r="H771" s="101"/>
      <c r="I771" s="101"/>
      <c r="J771" s="101"/>
      <c r="K771" s="101"/>
      <c r="L771" s="53"/>
      <c r="M771" s="53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</row>
    <row r="772" ht="12.75" customHeight="1">
      <c r="A772" s="101"/>
      <c r="B772" s="54"/>
      <c r="C772" s="102"/>
      <c r="D772" s="101"/>
      <c r="E772" s="101"/>
      <c r="F772" s="101"/>
      <c r="G772" s="101"/>
      <c r="H772" s="101"/>
      <c r="I772" s="101"/>
      <c r="J772" s="101"/>
      <c r="K772" s="101"/>
      <c r="L772" s="53"/>
      <c r="M772" s="53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</row>
    <row r="773" ht="12.75" customHeight="1">
      <c r="A773" s="101"/>
      <c r="B773" s="54"/>
      <c r="C773" s="102"/>
      <c r="D773" s="101"/>
      <c r="E773" s="101"/>
      <c r="F773" s="101"/>
      <c r="G773" s="101"/>
      <c r="H773" s="101"/>
      <c r="I773" s="101"/>
      <c r="J773" s="101"/>
      <c r="K773" s="101"/>
      <c r="L773" s="53"/>
      <c r="M773" s="53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</row>
    <row r="774" ht="12.75" customHeight="1">
      <c r="A774" s="101"/>
      <c r="B774" s="54"/>
      <c r="C774" s="102"/>
      <c r="D774" s="101"/>
      <c r="E774" s="101"/>
      <c r="F774" s="101"/>
      <c r="G774" s="101"/>
      <c r="H774" s="101"/>
      <c r="I774" s="101"/>
      <c r="J774" s="101"/>
      <c r="K774" s="101"/>
      <c r="L774" s="53"/>
      <c r="M774" s="53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</row>
    <row r="775" ht="12.75" customHeight="1">
      <c r="A775" s="101"/>
      <c r="B775" s="54"/>
      <c r="C775" s="102"/>
      <c r="D775" s="101"/>
      <c r="E775" s="101"/>
      <c r="F775" s="101"/>
      <c r="G775" s="101"/>
      <c r="H775" s="101"/>
      <c r="I775" s="101"/>
      <c r="J775" s="101"/>
      <c r="K775" s="101"/>
      <c r="L775" s="53"/>
      <c r="M775" s="53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</row>
    <row r="776" ht="12.75" customHeight="1">
      <c r="A776" s="101"/>
      <c r="B776" s="54"/>
      <c r="C776" s="102"/>
      <c r="D776" s="101"/>
      <c r="E776" s="101"/>
      <c r="F776" s="101"/>
      <c r="G776" s="101"/>
      <c r="H776" s="101"/>
      <c r="I776" s="101"/>
      <c r="J776" s="101"/>
      <c r="K776" s="101"/>
      <c r="L776" s="53"/>
      <c r="M776" s="53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</row>
    <row r="777" ht="12.75" customHeight="1">
      <c r="A777" s="101"/>
      <c r="B777" s="54"/>
      <c r="C777" s="102"/>
      <c r="D777" s="101"/>
      <c r="E777" s="101"/>
      <c r="F777" s="101"/>
      <c r="G777" s="101"/>
      <c r="H777" s="101"/>
      <c r="I777" s="101"/>
      <c r="J777" s="101"/>
      <c r="K777" s="101"/>
      <c r="L777" s="53"/>
      <c r="M777" s="53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</row>
    <row r="778" ht="12.75" customHeight="1">
      <c r="A778" s="101"/>
      <c r="B778" s="54"/>
      <c r="C778" s="102"/>
      <c r="D778" s="101"/>
      <c r="E778" s="101"/>
      <c r="F778" s="101"/>
      <c r="G778" s="101"/>
      <c r="H778" s="101"/>
      <c r="I778" s="101"/>
      <c r="J778" s="101"/>
      <c r="K778" s="101"/>
      <c r="L778" s="53"/>
      <c r="M778" s="53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</row>
    <row r="779" ht="12.75" customHeight="1">
      <c r="A779" s="101"/>
      <c r="B779" s="54"/>
      <c r="C779" s="102"/>
      <c r="D779" s="101"/>
      <c r="E779" s="101"/>
      <c r="F779" s="101"/>
      <c r="G779" s="101"/>
      <c r="H779" s="101"/>
      <c r="I779" s="101"/>
      <c r="J779" s="101"/>
      <c r="K779" s="101"/>
      <c r="L779" s="53"/>
      <c r="M779" s="53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</row>
    <row r="780" ht="12.75" customHeight="1">
      <c r="A780" s="101"/>
      <c r="B780" s="54"/>
      <c r="C780" s="102"/>
      <c r="D780" s="101"/>
      <c r="E780" s="101"/>
      <c r="F780" s="101"/>
      <c r="G780" s="101"/>
      <c r="H780" s="101"/>
      <c r="I780" s="101"/>
      <c r="J780" s="101"/>
      <c r="K780" s="101"/>
      <c r="L780" s="53"/>
      <c r="M780" s="53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</row>
    <row r="781" ht="12.75" customHeight="1">
      <c r="A781" s="101"/>
      <c r="B781" s="54"/>
      <c r="C781" s="102"/>
      <c r="D781" s="101"/>
      <c r="E781" s="101"/>
      <c r="F781" s="101"/>
      <c r="G781" s="101"/>
      <c r="H781" s="101"/>
      <c r="I781" s="101"/>
      <c r="J781" s="101"/>
      <c r="K781" s="101"/>
      <c r="L781" s="53"/>
      <c r="M781" s="53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</row>
    <row r="782" ht="12.75" customHeight="1">
      <c r="A782" s="101"/>
      <c r="B782" s="54"/>
      <c r="C782" s="102"/>
      <c r="D782" s="101"/>
      <c r="E782" s="101"/>
      <c r="F782" s="101"/>
      <c r="G782" s="101"/>
      <c r="H782" s="101"/>
      <c r="I782" s="101"/>
      <c r="J782" s="101"/>
      <c r="K782" s="101"/>
      <c r="L782" s="53"/>
      <c r="M782" s="53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</row>
    <row r="783" ht="12.75" customHeight="1">
      <c r="A783" s="101"/>
      <c r="B783" s="54"/>
      <c r="C783" s="102"/>
      <c r="D783" s="101"/>
      <c r="E783" s="101"/>
      <c r="F783" s="101"/>
      <c r="G783" s="101"/>
      <c r="H783" s="101"/>
      <c r="I783" s="101"/>
      <c r="J783" s="101"/>
      <c r="K783" s="101"/>
      <c r="L783" s="53"/>
      <c r="M783" s="53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</row>
    <row r="784" ht="12.75" customHeight="1">
      <c r="A784" s="101"/>
      <c r="B784" s="54"/>
      <c r="C784" s="102"/>
      <c r="D784" s="101"/>
      <c r="E784" s="101"/>
      <c r="F784" s="101"/>
      <c r="G784" s="101"/>
      <c r="H784" s="101"/>
      <c r="I784" s="101"/>
      <c r="J784" s="101"/>
      <c r="K784" s="101"/>
      <c r="L784" s="53"/>
      <c r="M784" s="53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</row>
    <row r="785" ht="12.75" customHeight="1">
      <c r="A785" s="101"/>
      <c r="B785" s="54"/>
      <c r="C785" s="102"/>
      <c r="D785" s="101"/>
      <c r="E785" s="101"/>
      <c r="F785" s="101"/>
      <c r="G785" s="101"/>
      <c r="H785" s="101"/>
      <c r="I785" s="101"/>
      <c r="J785" s="101"/>
      <c r="K785" s="101"/>
      <c r="L785" s="53"/>
      <c r="M785" s="53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</row>
    <row r="786" ht="12.75" customHeight="1">
      <c r="A786" s="101"/>
      <c r="B786" s="54"/>
      <c r="C786" s="102"/>
      <c r="D786" s="101"/>
      <c r="E786" s="101"/>
      <c r="F786" s="101"/>
      <c r="G786" s="101"/>
      <c r="H786" s="101"/>
      <c r="I786" s="101"/>
      <c r="J786" s="101"/>
      <c r="K786" s="101"/>
      <c r="L786" s="53"/>
      <c r="M786" s="53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</row>
    <row r="787" ht="12.75" customHeight="1">
      <c r="A787" s="101"/>
      <c r="B787" s="54"/>
      <c r="C787" s="102"/>
      <c r="D787" s="101"/>
      <c r="E787" s="101"/>
      <c r="F787" s="101"/>
      <c r="G787" s="101"/>
      <c r="H787" s="101"/>
      <c r="I787" s="101"/>
      <c r="J787" s="101"/>
      <c r="K787" s="101"/>
      <c r="L787" s="53"/>
      <c r="M787" s="53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</row>
    <row r="788" ht="12.75" customHeight="1">
      <c r="A788" s="101"/>
      <c r="B788" s="54"/>
      <c r="C788" s="102"/>
      <c r="D788" s="101"/>
      <c r="E788" s="101"/>
      <c r="F788" s="101"/>
      <c r="G788" s="101"/>
      <c r="H788" s="101"/>
      <c r="I788" s="101"/>
      <c r="J788" s="101"/>
      <c r="K788" s="101"/>
      <c r="L788" s="53"/>
      <c r="M788" s="53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</row>
    <row r="789" ht="12.75" customHeight="1">
      <c r="A789" s="101"/>
      <c r="B789" s="54"/>
      <c r="C789" s="102"/>
      <c r="D789" s="101"/>
      <c r="E789" s="101"/>
      <c r="F789" s="101"/>
      <c r="G789" s="101"/>
      <c r="H789" s="101"/>
      <c r="I789" s="101"/>
      <c r="J789" s="101"/>
      <c r="K789" s="101"/>
      <c r="L789" s="53"/>
      <c r="M789" s="53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</row>
    <row r="790" ht="12.75" customHeight="1">
      <c r="A790" s="101"/>
      <c r="B790" s="54"/>
      <c r="C790" s="102"/>
      <c r="D790" s="101"/>
      <c r="E790" s="101"/>
      <c r="F790" s="101"/>
      <c r="G790" s="101"/>
      <c r="H790" s="101"/>
      <c r="I790" s="101"/>
      <c r="J790" s="101"/>
      <c r="K790" s="101"/>
      <c r="L790" s="53"/>
      <c r="M790" s="53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</row>
    <row r="791" ht="12.75" customHeight="1">
      <c r="A791" s="101"/>
      <c r="B791" s="54"/>
      <c r="C791" s="102"/>
      <c r="D791" s="101"/>
      <c r="E791" s="101"/>
      <c r="F791" s="101"/>
      <c r="G791" s="101"/>
      <c r="H791" s="101"/>
      <c r="I791" s="101"/>
      <c r="J791" s="101"/>
      <c r="K791" s="101"/>
      <c r="L791" s="53"/>
      <c r="M791" s="53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</row>
    <row r="792" ht="12.75" customHeight="1">
      <c r="A792" s="101"/>
      <c r="B792" s="54"/>
      <c r="C792" s="102"/>
      <c r="D792" s="101"/>
      <c r="E792" s="101"/>
      <c r="F792" s="101"/>
      <c r="G792" s="101"/>
      <c r="H792" s="101"/>
      <c r="I792" s="101"/>
      <c r="J792" s="101"/>
      <c r="K792" s="101"/>
      <c r="L792" s="53"/>
      <c r="M792" s="53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</row>
    <row r="793" ht="12.75" customHeight="1">
      <c r="A793" s="101"/>
      <c r="B793" s="54"/>
      <c r="C793" s="102"/>
      <c r="D793" s="101"/>
      <c r="E793" s="101"/>
      <c r="F793" s="101"/>
      <c r="G793" s="101"/>
      <c r="H793" s="101"/>
      <c r="I793" s="101"/>
      <c r="J793" s="101"/>
      <c r="K793" s="101"/>
      <c r="L793" s="53"/>
      <c r="M793" s="53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</row>
    <row r="794" ht="12.75" customHeight="1">
      <c r="A794" s="101"/>
      <c r="B794" s="54"/>
      <c r="C794" s="102"/>
      <c r="D794" s="101"/>
      <c r="E794" s="101"/>
      <c r="F794" s="101"/>
      <c r="G794" s="101"/>
      <c r="H794" s="101"/>
      <c r="I794" s="101"/>
      <c r="J794" s="101"/>
      <c r="K794" s="101"/>
      <c r="L794" s="53"/>
      <c r="M794" s="53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</row>
    <row r="795" ht="12.75" customHeight="1">
      <c r="A795" s="101"/>
      <c r="B795" s="54"/>
      <c r="C795" s="102"/>
      <c r="D795" s="101"/>
      <c r="E795" s="101"/>
      <c r="F795" s="101"/>
      <c r="G795" s="101"/>
      <c r="H795" s="101"/>
      <c r="I795" s="101"/>
      <c r="J795" s="101"/>
      <c r="K795" s="101"/>
      <c r="L795" s="53"/>
      <c r="M795" s="53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</row>
    <row r="796" ht="12.75" customHeight="1">
      <c r="A796" s="101"/>
      <c r="B796" s="54"/>
      <c r="C796" s="102"/>
      <c r="D796" s="101"/>
      <c r="E796" s="101"/>
      <c r="F796" s="101"/>
      <c r="G796" s="101"/>
      <c r="H796" s="101"/>
      <c r="I796" s="101"/>
      <c r="J796" s="101"/>
      <c r="K796" s="101"/>
      <c r="L796" s="53"/>
      <c r="M796" s="53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</row>
    <row r="797" ht="12.75" customHeight="1">
      <c r="A797" s="101"/>
      <c r="B797" s="54"/>
      <c r="C797" s="102"/>
      <c r="D797" s="101"/>
      <c r="E797" s="101"/>
      <c r="F797" s="101"/>
      <c r="G797" s="101"/>
      <c r="H797" s="101"/>
      <c r="I797" s="101"/>
      <c r="J797" s="101"/>
      <c r="K797" s="101"/>
      <c r="L797" s="53"/>
      <c r="M797" s="53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</row>
    <row r="798" ht="12.75" customHeight="1">
      <c r="A798" s="101"/>
      <c r="B798" s="54"/>
      <c r="C798" s="102"/>
      <c r="D798" s="101"/>
      <c r="E798" s="101"/>
      <c r="F798" s="101"/>
      <c r="G798" s="101"/>
      <c r="H798" s="101"/>
      <c r="I798" s="101"/>
      <c r="J798" s="101"/>
      <c r="K798" s="101"/>
      <c r="L798" s="53"/>
      <c r="M798" s="53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</row>
    <row r="799" ht="12.75" customHeight="1">
      <c r="A799" s="101"/>
      <c r="B799" s="54"/>
      <c r="C799" s="102"/>
      <c r="D799" s="101"/>
      <c r="E799" s="101"/>
      <c r="F799" s="101"/>
      <c r="G799" s="101"/>
      <c r="H799" s="101"/>
      <c r="I799" s="101"/>
      <c r="J799" s="101"/>
      <c r="K799" s="101"/>
      <c r="L799" s="53"/>
      <c r="M799" s="53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</row>
    <row r="800" ht="12.75" customHeight="1">
      <c r="A800" s="101"/>
      <c r="B800" s="54"/>
      <c r="C800" s="102"/>
      <c r="D800" s="101"/>
      <c r="E800" s="101"/>
      <c r="F800" s="101"/>
      <c r="G800" s="101"/>
      <c r="H800" s="101"/>
      <c r="I800" s="101"/>
      <c r="J800" s="101"/>
      <c r="K800" s="101"/>
      <c r="L800" s="53"/>
      <c r="M800" s="53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</row>
    <row r="801" ht="12.75" customHeight="1">
      <c r="A801" s="101"/>
      <c r="B801" s="54"/>
      <c r="C801" s="102"/>
      <c r="D801" s="101"/>
      <c r="E801" s="101"/>
      <c r="F801" s="101"/>
      <c r="G801" s="101"/>
      <c r="H801" s="101"/>
      <c r="I801" s="101"/>
      <c r="J801" s="101"/>
      <c r="K801" s="101"/>
      <c r="L801" s="53"/>
      <c r="M801" s="53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</row>
    <row r="802" ht="12.75" customHeight="1">
      <c r="A802" s="101"/>
      <c r="B802" s="54"/>
      <c r="C802" s="102"/>
      <c r="D802" s="101"/>
      <c r="E802" s="101"/>
      <c r="F802" s="101"/>
      <c r="G802" s="101"/>
      <c r="H802" s="101"/>
      <c r="I802" s="101"/>
      <c r="J802" s="101"/>
      <c r="K802" s="101"/>
      <c r="L802" s="53"/>
      <c r="M802" s="53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</row>
    <row r="803" ht="12.75" customHeight="1">
      <c r="A803" s="101"/>
      <c r="B803" s="54"/>
      <c r="C803" s="102"/>
      <c r="D803" s="101"/>
      <c r="E803" s="101"/>
      <c r="F803" s="101"/>
      <c r="G803" s="101"/>
      <c r="H803" s="101"/>
      <c r="I803" s="101"/>
      <c r="J803" s="101"/>
      <c r="K803" s="101"/>
      <c r="L803" s="53"/>
      <c r="M803" s="53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</row>
    <row r="804" ht="12.75" customHeight="1">
      <c r="A804" s="101"/>
      <c r="B804" s="54"/>
      <c r="C804" s="102"/>
      <c r="D804" s="101"/>
      <c r="E804" s="101"/>
      <c r="F804" s="101"/>
      <c r="G804" s="101"/>
      <c r="H804" s="101"/>
      <c r="I804" s="101"/>
      <c r="J804" s="101"/>
      <c r="K804" s="101"/>
      <c r="L804" s="53"/>
      <c r="M804" s="53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</row>
    <row r="805" ht="12.75" customHeight="1">
      <c r="A805" s="101"/>
      <c r="B805" s="54"/>
      <c r="C805" s="102"/>
      <c r="D805" s="101"/>
      <c r="E805" s="101"/>
      <c r="F805" s="101"/>
      <c r="G805" s="101"/>
      <c r="H805" s="101"/>
      <c r="I805" s="101"/>
      <c r="J805" s="101"/>
      <c r="K805" s="101"/>
      <c r="L805" s="53"/>
      <c r="M805" s="53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</row>
    <row r="806" ht="12.75" customHeight="1">
      <c r="A806" s="101"/>
      <c r="B806" s="54"/>
      <c r="C806" s="102"/>
      <c r="D806" s="101"/>
      <c r="E806" s="101"/>
      <c r="F806" s="101"/>
      <c r="G806" s="101"/>
      <c r="H806" s="101"/>
      <c r="I806" s="101"/>
      <c r="J806" s="101"/>
      <c r="K806" s="101"/>
      <c r="L806" s="53"/>
      <c r="M806" s="53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</row>
    <row r="807" ht="12.75" customHeight="1">
      <c r="A807" s="101"/>
      <c r="B807" s="54"/>
      <c r="C807" s="102"/>
      <c r="D807" s="101"/>
      <c r="E807" s="101"/>
      <c r="F807" s="101"/>
      <c r="G807" s="101"/>
      <c r="H807" s="101"/>
      <c r="I807" s="101"/>
      <c r="J807" s="101"/>
      <c r="K807" s="101"/>
      <c r="L807" s="53"/>
      <c r="M807" s="53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</row>
    <row r="808" ht="12.75" customHeight="1">
      <c r="A808" s="101"/>
      <c r="B808" s="54"/>
      <c r="C808" s="102"/>
      <c r="D808" s="101"/>
      <c r="E808" s="101"/>
      <c r="F808" s="101"/>
      <c r="G808" s="101"/>
      <c r="H808" s="101"/>
      <c r="I808" s="101"/>
      <c r="J808" s="101"/>
      <c r="K808" s="101"/>
      <c r="L808" s="53"/>
      <c r="M808" s="53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</row>
    <row r="809" ht="12.75" customHeight="1">
      <c r="A809" s="101"/>
      <c r="B809" s="54"/>
      <c r="C809" s="102"/>
      <c r="D809" s="101"/>
      <c r="E809" s="101"/>
      <c r="F809" s="101"/>
      <c r="G809" s="101"/>
      <c r="H809" s="101"/>
      <c r="I809" s="101"/>
      <c r="J809" s="101"/>
      <c r="K809" s="101"/>
      <c r="L809" s="53"/>
      <c r="M809" s="53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</row>
    <row r="810" ht="12.75" customHeight="1">
      <c r="A810" s="101"/>
      <c r="B810" s="54"/>
      <c r="C810" s="102"/>
      <c r="D810" s="101"/>
      <c r="E810" s="101"/>
      <c r="F810" s="101"/>
      <c r="G810" s="101"/>
      <c r="H810" s="101"/>
      <c r="I810" s="101"/>
      <c r="J810" s="101"/>
      <c r="K810" s="101"/>
      <c r="L810" s="53"/>
      <c r="M810" s="53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</row>
    <row r="811" ht="12.75" customHeight="1">
      <c r="A811" s="101"/>
      <c r="B811" s="54"/>
      <c r="C811" s="102"/>
      <c r="D811" s="101"/>
      <c r="E811" s="101"/>
      <c r="F811" s="101"/>
      <c r="G811" s="101"/>
      <c r="H811" s="101"/>
      <c r="I811" s="101"/>
      <c r="J811" s="101"/>
      <c r="K811" s="101"/>
      <c r="L811" s="53"/>
      <c r="M811" s="53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</row>
    <row r="812" ht="12.75" customHeight="1">
      <c r="A812" s="101"/>
      <c r="B812" s="54"/>
      <c r="C812" s="102"/>
      <c r="D812" s="101"/>
      <c r="E812" s="101"/>
      <c r="F812" s="101"/>
      <c r="G812" s="101"/>
      <c r="H812" s="101"/>
      <c r="I812" s="101"/>
      <c r="J812" s="101"/>
      <c r="K812" s="101"/>
      <c r="L812" s="53"/>
      <c r="M812" s="53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</row>
    <row r="813" ht="12.75" customHeight="1">
      <c r="A813" s="101"/>
      <c r="B813" s="54"/>
      <c r="C813" s="102"/>
      <c r="D813" s="101"/>
      <c r="E813" s="101"/>
      <c r="F813" s="101"/>
      <c r="G813" s="101"/>
      <c r="H813" s="101"/>
      <c r="I813" s="101"/>
      <c r="J813" s="101"/>
      <c r="K813" s="101"/>
      <c r="L813" s="53"/>
      <c r="M813" s="53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</row>
    <row r="814" ht="12.75" customHeight="1">
      <c r="A814" s="101"/>
      <c r="B814" s="54"/>
      <c r="C814" s="102"/>
      <c r="D814" s="101"/>
      <c r="E814" s="101"/>
      <c r="F814" s="101"/>
      <c r="G814" s="101"/>
      <c r="H814" s="101"/>
      <c r="I814" s="101"/>
      <c r="J814" s="101"/>
      <c r="K814" s="101"/>
      <c r="L814" s="53"/>
      <c r="M814" s="53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</row>
    <row r="815" ht="12.75" customHeight="1">
      <c r="A815" s="101"/>
      <c r="B815" s="54"/>
      <c r="C815" s="102"/>
      <c r="D815" s="101"/>
      <c r="E815" s="101"/>
      <c r="F815" s="101"/>
      <c r="G815" s="101"/>
      <c r="H815" s="101"/>
      <c r="I815" s="101"/>
      <c r="J815" s="101"/>
      <c r="K815" s="101"/>
      <c r="L815" s="53"/>
      <c r="M815" s="53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</row>
    <row r="816" ht="12.75" customHeight="1">
      <c r="A816" s="101"/>
      <c r="B816" s="54"/>
      <c r="C816" s="102"/>
      <c r="D816" s="101"/>
      <c r="E816" s="101"/>
      <c r="F816" s="101"/>
      <c r="G816" s="101"/>
      <c r="H816" s="101"/>
      <c r="I816" s="101"/>
      <c r="J816" s="101"/>
      <c r="K816" s="101"/>
      <c r="L816" s="53"/>
      <c r="M816" s="53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</row>
    <row r="817" ht="12.75" customHeight="1">
      <c r="A817" s="101"/>
      <c r="B817" s="54"/>
      <c r="C817" s="102"/>
      <c r="D817" s="101"/>
      <c r="E817" s="101"/>
      <c r="F817" s="101"/>
      <c r="G817" s="101"/>
      <c r="H817" s="101"/>
      <c r="I817" s="101"/>
      <c r="J817" s="101"/>
      <c r="K817" s="101"/>
      <c r="L817" s="53"/>
      <c r="M817" s="53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</row>
    <row r="818" ht="12.75" customHeight="1">
      <c r="A818" s="101"/>
      <c r="B818" s="54"/>
      <c r="C818" s="102"/>
      <c r="D818" s="101"/>
      <c r="E818" s="101"/>
      <c r="F818" s="101"/>
      <c r="G818" s="101"/>
      <c r="H818" s="101"/>
      <c r="I818" s="101"/>
      <c r="J818" s="101"/>
      <c r="K818" s="101"/>
      <c r="L818" s="53"/>
      <c r="M818" s="53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</row>
    <row r="819" ht="12.75" customHeight="1">
      <c r="A819" s="101"/>
      <c r="B819" s="54"/>
      <c r="C819" s="102"/>
      <c r="D819" s="101"/>
      <c r="E819" s="101"/>
      <c r="F819" s="101"/>
      <c r="G819" s="101"/>
      <c r="H819" s="101"/>
      <c r="I819" s="101"/>
      <c r="J819" s="101"/>
      <c r="K819" s="101"/>
      <c r="L819" s="53"/>
      <c r="M819" s="53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</row>
    <row r="820" ht="12.75" customHeight="1">
      <c r="A820" s="101"/>
      <c r="B820" s="54"/>
      <c r="C820" s="102"/>
      <c r="D820" s="101"/>
      <c r="E820" s="101"/>
      <c r="F820" s="101"/>
      <c r="G820" s="101"/>
      <c r="H820" s="101"/>
      <c r="I820" s="101"/>
      <c r="J820" s="101"/>
      <c r="K820" s="101"/>
      <c r="L820" s="53"/>
      <c r="M820" s="53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</row>
    <row r="821" ht="12.75" customHeight="1">
      <c r="A821" s="101"/>
      <c r="B821" s="54"/>
      <c r="C821" s="102"/>
      <c r="D821" s="101"/>
      <c r="E821" s="101"/>
      <c r="F821" s="101"/>
      <c r="G821" s="101"/>
      <c r="H821" s="101"/>
      <c r="I821" s="101"/>
      <c r="J821" s="101"/>
      <c r="K821" s="101"/>
      <c r="L821" s="53"/>
      <c r="M821" s="53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</row>
    <row r="822" ht="12.75" customHeight="1">
      <c r="A822" s="101"/>
      <c r="B822" s="54"/>
      <c r="C822" s="102"/>
      <c r="D822" s="101"/>
      <c r="E822" s="101"/>
      <c r="F822" s="101"/>
      <c r="G822" s="101"/>
      <c r="H822" s="101"/>
      <c r="I822" s="101"/>
      <c r="J822" s="101"/>
      <c r="K822" s="101"/>
      <c r="L822" s="53"/>
      <c r="M822" s="53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</row>
    <row r="823" ht="12.75" customHeight="1">
      <c r="A823" s="101"/>
      <c r="B823" s="54"/>
      <c r="C823" s="102"/>
      <c r="D823" s="101"/>
      <c r="E823" s="101"/>
      <c r="F823" s="101"/>
      <c r="G823" s="101"/>
      <c r="H823" s="101"/>
      <c r="I823" s="101"/>
      <c r="J823" s="101"/>
      <c r="K823" s="101"/>
      <c r="L823" s="53"/>
      <c r="M823" s="53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</row>
    <row r="824" ht="12.75" customHeight="1">
      <c r="A824" s="101"/>
      <c r="B824" s="54"/>
      <c r="C824" s="102"/>
      <c r="D824" s="101"/>
      <c r="E824" s="101"/>
      <c r="F824" s="101"/>
      <c r="G824" s="101"/>
      <c r="H824" s="101"/>
      <c r="I824" s="101"/>
      <c r="J824" s="101"/>
      <c r="K824" s="101"/>
      <c r="L824" s="53"/>
      <c r="M824" s="53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</row>
    <row r="825" ht="12.75" customHeight="1">
      <c r="A825" s="101"/>
      <c r="B825" s="54"/>
      <c r="C825" s="102"/>
      <c r="D825" s="101"/>
      <c r="E825" s="101"/>
      <c r="F825" s="101"/>
      <c r="G825" s="101"/>
      <c r="H825" s="101"/>
      <c r="I825" s="101"/>
      <c r="J825" s="101"/>
      <c r="K825" s="101"/>
      <c r="L825" s="53"/>
      <c r="M825" s="53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</row>
    <row r="826" ht="12.75" customHeight="1">
      <c r="A826" s="101"/>
      <c r="B826" s="54"/>
      <c r="C826" s="102"/>
      <c r="D826" s="101"/>
      <c r="E826" s="101"/>
      <c r="F826" s="101"/>
      <c r="G826" s="101"/>
      <c r="H826" s="101"/>
      <c r="I826" s="101"/>
      <c r="J826" s="101"/>
      <c r="K826" s="101"/>
      <c r="L826" s="53"/>
      <c r="M826" s="53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</row>
    <row r="827" ht="12.75" customHeight="1">
      <c r="A827" s="101"/>
      <c r="B827" s="54"/>
      <c r="C827" s="102"/>
      <c r="D827" s="101"/>
      <c r="E827" s="101"/>
      <c r="F827" s="101"/>
      <c r="G827" s="101"/>
      <c r="H827" s="101"/>
      <c r="I827" s="101"/>
      <c r="J827" s="101"/>
      <c r="K827" s="101"/>
      <c r="L827" s="53"/>
      <c r="M827" s="53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</row>
    <row r="828" ht="12.75" customHeight="1">
      <c r="A828" s="101"/>
      <c r="B828" s="54"/>
      <c r="C828" s="102"/>
      <c r="D828" s="101"/>
      <c r="E828" s="101"/>
      <c r="F828" s="101"/>
      <c r="G828" s="101"/>
      <c r="H828" s="101"/>
      <c r="I828" s="101"/>
      <c r="J828" s="101"/>
      <c r="K828" s="101"/>
      <c r="L828" s="53"/>
      <c r="M828" s="53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</row>
    <row r="829" ht="12.75" customHeight="1">
      <c r="A829" s="101"/>
      <c r="B829" s="54"/>
      <c r="C829" s="102"/>
      <c r="D829" s="101"/>
      <c r="E829" s="101"/>
      <c r="F829" s="101"/>
      <c r="G829" s="101"/>
      <c r="H829" s="101"/>
      <c r="I829" s="101"/>
      <c r="J829" s="101"/>
      <c r="K829" s="101"/>
      <c r="L829" s="53"/>
      <c r="M829" s="53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</row>
    <row r="830" ht="12.75" customHeight="1">
      <c r="A830" s="101"/>
      <c r="B830" s="54"/>
      <c r="C830" s="102"/>
      <c r="D830" s="101"/>
      <c r="E830" s="101"/>
      <c r="F830" s="101"/>
      <c r="G830" s="101"/>
      <c r="H830" s="101"/>
      <c r="I830" s="101"/>
      <c r="J830" s="101"/>
      <c r="K830" s="101"/>
      <c r="L830" s="53"/>
      <c r="M830" s="53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</row>
    <row r="831" ht="12.75" customHeight="1">
      <c r="A831" s="101"/>
      <c r="B831" s="54"/>
      <c r="C831" s="102"/>
      <c r="D831" s="101"/>
      <c r="E831" s="101"/>
      <c r="F831" s="101"/>
      <c r="G831" s="101"/>
      <c r="H831" s="101"/>
      <c r="I831" s="101"/>
      <c r="J831" s="101"/>
      <c r="K831" s="101"/>
      <c r="L831" s="53"/>
      <c r="M831" s="53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</row>
    <row r="832" ht="12.75" customHeight="1">
      <c r="A832" s="101"/>
      <c r="B832" s="54"/>
      <c r="C832" s="102"/>
      <c r="D832" s="101"/>
      <c r="E832" s="101"/>
      <c r="F832" s="101"/>
      <c r="G832" s="101"/>
      <c r="H832" s="101"/>
      <c r="I832" s="101"/>
      <c r="J832" s="101"/>
      <c r="K832" s="101"/>
      <c r="L832" s="53"/>
      <c r="M832" s="53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</row>
    <row r="833" ht="12.75" customHeight="1">
      <c r="A833" s="101"/>
      <c r="B833" s="54"/>
      <c r="C833" s="102"/>
      <c r="D833" s="101"/>
      <c r="E833" s="101"/>
      <c r="F833" s="101"/>
      <c r="G833" s="101"/>
      <c r="H833" s="101"/>
      <c r="I833" s="101"/>
      <c r="J833" s="101"/>
      <c r="K833" s="101"/>
      <c r="L833" s="53"/>
      <c r="M833" s="53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</row>
    <row r="834" ht="12.75" customHeight="1">
      <c r="A834" s="101"/>
      <c r="B834" s="54"/>
      <c r="C834" s="102"/>
      <c r="D834" s="101"/>
      <c r="E834" s="101"/>
      <c r="F834" s="101"/>
      <c r="G834" s="101"/>
      <c r="H834" s="101"/>
      <c r="I834" s="101"/>
      <c r="J834" s="101"/>
      <c r="K834" s="101"/>
      <c r="L834" s="53"/>
      <c r="M834" s="53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</row>
    <row r="835" ht="12.75" customHeight="1">
      <c r="A835" s="101"/>
      <c r="B835" s="54"/>
      <c r="C835" s="102"/>
      <c r="D835" s="101"/>
      <c r="E835" s="101"/>
      <c r="F835" s="101"/>
      <c r="G835" s="101"/>
      <c r="H835" s="101"/>
      <c r="I835" s="101"/>
      <c r="J835" s="101"/>
      <c r="K835" s="101"/>
      <c r="L835" s="53"/>
      <c r="M835" s="53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</row>
    <row r="836" ht="12.75" customHeight="1">
      <c r="A836" s="101"/>
      <c r="B836" s="54"/>
      <c r="C836" s="102"/>
      <c r="D836" s="101"/>
      <c r="E836" s="101"/>
      <c r="F836" s="101"/>
      <c r="G836" s="101"/>
      <c r="H836" s="101"/>
      <c r="I836" s="101"/>
      <c r="J836" s="101"/>
      <c r="K836" s="101"/>
      <c r="L836" s="53"/>
      <c r="M836" s="53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</row>
    <row r="837" ht="12.75" customHeight="1">
      <c r="A837" s="101"/>
      <c r="B837" s="54"/>
      <c r="C837" s="102"/>
      <c r="D837" s="101"/>
      <c r="E837" s="101"/>
      <c r="F837" s="101"/>
      <c r="G837" s="101"/>
      <c r="H837" s="101"/>
      <c r="I837" s="101"/>
      <c r="J837" s="101"/>
      <c r="K837" s="101"/>
      <c r="L837" s="53"/>
      <c r="M837" s="53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</row>
    <row r="838" ht="12.75" customHeight="1">
      <c r="A838" s="101"/>
      <c r="B838" s="54"/>
      <c r="C838" s="102"/>
      <c r="D838" s="101"/>
      <c r="E838" s="101"/>
      <c r="F838" s="101"/>
      <c r="G838" s="101"/>
      <c r="H838" s="101"/>
      <c r="I838" s="101"/>
      <c r="J838" s="101"/>
      <c r="K838" s="101"/>
      <c r="L838" s="53"/>
      <c r="M838" s="53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</row>
    <row r="839" ht="12.75" customHeight="1">
      <c r="A839" s="101"/>
      <c r="B839" s="54"/>
      <c r="C839" s="102"/>
      <c r="D839" s="101"/>
      <c r="E839" s="101"/>
      <c r="F839" s="101"/>
      <c r="G839" s="101"/>
      <c r="H839" s="101"/>
      <c r="I839" s="101"/>
      <c r="J839" s="101"/>
      <c r="K839" s="101"/>
      <c r="L839" s="53"/>
      <c r="M839" s="53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</row>
    <row r="840" ht="12.75" customHeight="1">
      <c r="A840" s="101"/>
      <c r="B840" s="54"/>
      <c r="C840" s="102"/>
      <c r="D840" s="101"/>
      <c r="E840" s="101"/>
      <c r="F840" s="101"/>
      <c r="G840" s="101"/>
      <c r="H840" s="101"/>
      <c r="I840" s="101"/>
      <c r="J840" s="101"/>
      <c r="K840" s="101"/>
      <c r="L840" s="53"/>
      <c r="M840" s="53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</row>
    <row r="841" ht="12.75" customHeight="1">
      <c r="A841" s="101"/>
      <c r="B841" s="54"/>
      <c r="C841" s="102"/>
      <c r="D841" s="101"/>
      <c r="E841" s="101"/>
      <c r="F841" s="101"/>
      <c r="G841" s="101"/>
      <c r="H841" s="101"/>
      <c r="I841" s="101"/>
      <c r="J841" s="101"/>
      <c r="K841" s="101"/>
      <c r="L841" s="53"/>
      <c r="M841" s="53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</row>
    <row r="842" ht="12.75" customHeight="1">
      <c r="A842" s="101"/>
      <c r="B842" s="54"/>
      <c r="C842" s="102"/>
      <c r="D842" s="101"/>
      <c r="E842" s="101"/>
      <c r="F842" s="101"/>
      <c r="G842" s="101"/>
      <c r="H842" s="101"/>
      <c r="I842" s="101"/>
      <c r="J842" s="101"/>
      <c r="K842" s="101"/>
      <c r="L842" s="53"/>
      <c r="M842" s="53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</row>
    <row r="843" ht="12.75" customHeight="1">
      <c r="A843" s="101"/>
      <c r="B843" s="54"/>
      <c r="C843" s="102"/>
      <c r="D843" s="101"/>
      <c r="E843" s="101"/>
      <c r="F843" s="101"/>
      <c r="G843" s="101"/>
      <c r="H843" s="101"/>
      <c r="I843" s="101"/>
      <c r="J843" s="101"/>
      <c r="K843" s="101"/>
      <c r="L843" s="53"/>
      <c r="M843" s="53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</row>
    <row r="844" ht="12.75" customHeight="1">
      <c r="A844" s="101"/>
      <c r="B844" s="54"/>
      <c r="C844" s="102"/>
      <c r="D844" s="101"/>
      <c r="E844" s="101"/>
      <c r="F844" s="101"/>
      <c r="G844" s="101"/>
      <c r="H844" s="101"/>
      <c r="I844" s="101"/>
      <c r="J844" s="101"/>
      <c r="K844" s="101"/>
      <c r="L844" s="53"/>
      <c r="M844" s="53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</row>
    <row r="845" ht="12.75" customHeight="1">
      <c r="A845" s="101"/>
      <c r="B845" s="54"/>
      <c r="C845" s="102"/>
      <c r="D845" s="101"/>
      <c r="E845" s="101"/>
      <c r="F845" s="101"/>
      <c r="G845" s="101"/>
      <c r="H845" s="101"/>
      <c r="I845" s="101"/>
      <c r="J845" s="101"/>
      <c r="K845" s="101"/>
      <c r="L845" s="53"/>
      <c r="M845" s="53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</row>
    <row r="846" ht="12.75" customHeight="1">
      <c r="A846" s="101"/>
      <c r="B846" s="54"/>
      <c r="C846" s="102"/>
      <c r="D846" s="101"/>
      <c r="E846" s="101"/>
      <c r="F846" s="101"/>
      <c r="G846" s="101"/>
      <c r="H846" s="101"/>
      <c r="I846" s="101"/>
      <c r="J846" s="101"/>
      <c r="K846" s="101"/>
      <c r="L846" s="53"/>
      <c r="M846" s="53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</row>
    <row r="847" ht="12.75" customHeight="1">
      <c r="A847" s="101"/>
      <c r="B847" s="54"/>
      <c r="C847" s="102"/>
      <c r="D847" s="101"/>
      <c r="E847" s="101"/>
      <c r="F847" s="101"/>
      <c r="G847" s="101"/>
      <c r="H847" s="101"/>
      <c r="I847" s="101"/>
      <c r="J847" s="101"/>
      <c r="K847" s="101"/>
      <c r="L847" s="53"/>
      <c r="M847" s="53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</row>
    <row r="848" ht="12.75" customHeight="1">
      <c r="A848" s="101"/>
      <c r="B848" s="54"/>
      <c r="C848" s="102"/>
      <c r="D848" s="101"/>
      <c r="E848" s="101"/>
      <c r="F848" s="101"/>
      <c r="G848" s="101"/>
      <c r="H848" s="101"/>
      <c r="I848" s="101"/>
      <c r="J848" s="101"/>
      <c r="K848" s="101"/>
      <c r="L848" s="53"/>
      <c r="M848" s="53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</row>
    <row r="849" ht="12.75" customHeight="1">
      <c r="A849" s="101"/>
      <c r="B849" s="54"/>
      <c r="C849" s="102"/>
      <c r="D849" s="101"/>
      <c r="E849" s="101"/>
      <c r="F849" s="101"/>
      <c r="G849" s="101"/>
      <c r="H849" s="101"/>
      <c r="I849" s="101"/>
      <c r="J849" s="101"/>
      <c r="K849" s="101"/>
      <c r="L849" s="53"/>
      <c r="M849" s="53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</row>
    <row r="850" ht="12.75" customHeight="1">
      <c r="A850" s="101"/>
      <c r="B850" s="54"/>
      <c r="C850" s="102"/>
      <c r="D850" s="101"/>
      <c r="E850" s="101"/>
      <c r="F850" s="101"/>
      <c r="G850" s="101"/>
      <c r="H850" s="101"/>
      <c r="I850" s="101"/>
      <c r="J850" s="101"/>
      <c r="K850" s="101"/>
      <c r="L850" s="53"/>
      <c r="M850" s="53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</row>
    <row r="851" ht="12.75" customHeight="1">
      <c r="A851" s="101"/>
      <c r="B851" s="54"/>
      <c r="C851" s="102"/>
      <c r="D851" s="101"/>
      <c r="E851" s="101"/>
      <c r="F851" s="101"/>
      <c r="G851" s="101"/>
      <c r="H851" s="101"/>
      <c r="I851" s="101"/>
      <c r="J851" s="101"/>
      <c r="K851" s="101"/>
      <c r="L851" s="53"/>
      <c r="M851" s="53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</row>
    <row r="852" ht="12.75" customHeight="1">
      <c r="A852" s="101"/>
      <c r="B852" s="54"/>
      <c r="C852" s="102"/>
      <c r="D852" s="101"/>
      <c r="E852" s="101"/>
      <c r="F852" s="101"/>
      <c r="G852" s="101"/>
      <c r="H852" s="101"/>
      <c r="I852" s="101"/>
      <c r="J852" s="101"/>
      <c r="K852" s="101"/>
      <c r="L852" s="53"/>
      <c r="M852" s="53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</row>
    <row r="853" ht="12.75" customHeight="1">
      <c r="A853" s="101"/>
      <c r="B853" s="54"/>
      <c r="C853" s="102"/>
      <c r="D853" s="101"/>
      <c r="E853" s="101"/>
      <c r="F853" s="101"/>
      <c r="G853" s="101"/>
      <c r="H853" s="101"/>
      <c r="I853" s="101"/>
      <c r="J853" s="101"/>
      <c r="K853" s="101"/>
      <c r="L853" s="53"/>
      <c r="M853" s="53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</row>
    <row r="854" ht="12.75" customHeight="1">
      <c r="A854" s="101"/>
      <c r="B854" s="54"/>
      <c r="C854" s="102"/>
      <c r="D854" s="101"/>
      <c r="E854" s="101"/>
      <c r="F854" s="101"/>
      <c r="G854" s="101"/>
      <c r="H854" s="101"/>
      <c r="I854" s="101"/>
      <c r="J854" s="101"/>
      <c r="K854" s="101"/>
      <c r="L854" s="53"/>
      <c r="M854" s="53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</row>
    <row r="855" ht="12.75" customHeight="1">
      <c r="A855" s="101"/>
      <c r="B855" s="54"/>
      <c r="C855" s="102"/>
      <c r="D855" s="101"/>
      <c r="E855" s="101"/>
      <c r="F855" s="101"/>
      <c r="G855" s="101"/>
      <c r="H855" s="101"/>
      <c r="I855" s="101"/>
      <c r="J855" s="101"/>
      <c r="K855" s="101"/>
      <c r="L855" s="53"/>
      <c r="M855" s="53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</row>
    <row r="856" ht="12.75" customHeight="1">
      <c r="A856" s="101"/>
      <c r="B856" s="54"/>
      <c r="C856" s="102"/>
      <c r="D856" s="101"/>
      <c r="E856" s="101"/>
      <c r="F856" s="101"/>
      <c r="G856" s="101"/>
      <c r="H856" s="101"/>
      <c r="I856" s="101"/>
      <c r="J856" s="101"/>
      <c r="K856" s="101"/>
      <c r="L856" s="53"/>
      <c r="M856" s="53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</row>
    <row r="857" ht="12.75" customHeight="1">
      <c r="A857" s="101"/>
      <c r="B857" s="54"/>
      <c r="C857" s="102"/>
      <c r="D857" s="101"/>
      <c r="E857" s="101"/>
      <c r="F857" s="101"/>
      <c r="G857" s="101"/>
      <c r="H857" s="101"/>
      <c r="I857" s="101"/>
      <c r="J857" s="101"/>
      <c r="K857" s="101"/>
      <c r="L857" s="53"/>
      <c r="M857" s="53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</row>
    <row r="858" ht="12.75" customHeight="1">
      <c r="A858" s="101"/>
      <c r="B858" s="54"/>
      <c r="C858" s="102"/>
      <c r="D858" s="101"/>
      <c r="E858" s="101"/>
      <c r="F858" s="101"/>
      <c r="G858" s="101"/>
      <c r="H858" s="101"/>
      <c r="I858" s="101"/>
      <c r="J858" s="101"/>
      <c r="K858" s="101"/>
      <c r="L858" s="53"/>
      <c r="M858" s="53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</row>
    <row r="859" ht="12.75" customHeight="1">
      <c r="A859" s="101"/>
      <c r="B859" s="54"/>
      <c r="C859" s="102"/>
      <c r="D859" s="101"/>
      <c r="E859" s="101"/>
      <c r="F859" s="101"/>
      <c r="G859" s="101"/>
      <c r="H859" s="101"/>
      <c r="I859" s="101"/>
      <c r="J859" s="101"/>
      <c r="K859" s="101"/>
      <c r="L859" s="53"/>
      <c r="M859" s="53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</row>
    <row r="860" ht="12.75" customHeight="1">
      <c r="A860" s="101"/>
      <c r="B860" s="54"/>
      <c r="C860" s="102"/>
      <c r="D860" s="101"/>
      <c r="E860" s="101"/>
      <c r="F860" s="101"/>
      <c r="G860" s="101"/>
      <c r="H860" s="101"/>
      <c r="I860" s="101"/>
      <c r="J860" s="101"/>
      <c r="K860" s="101"/>
      <c r="L860" s="53"/>
      <c r="M860" s="53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</row>
    <row r="861" ht="12.75" customHeight="1">
      <c r="A861" s="101"/>
      <c r="B861" s="54"/>
      <c r="C861" s="102"/>
      <c r="D861" s="101"/>
      <c r="E861" s="101"/>
      <c r="F861" s="101"/>
      <c r="G861" s="101"/>
      <c r="H861" s="101"/>
      <c r="I861" s="101"/>
      <c r="J861" s="101"/>
      <c r="K861" s="101"/>
      <c r="L861" s="53"/>
      <c r="M861" s="53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</row>
    <row r="862" ht="12.75" customHeight="1">
      <c r="A862" s="101"/>
      <c r="B862" s="54"/>
      <c r="C862" s="102"/>
      <c r="D862" s="101"/>
      <c r="E862" s="101"/>
      <c r="F862" s="101"/>
      <c r="G862" s="101"/>
      <c r="H862" s="101"/>
      <c r="I862" s="101"/>
      <c r="J862" s="101"/>
      <c r="K862" s="101"/>
      <c r="L862" s="53"/>
      <c r="M862" s="53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</row>
    <row r="863" ht="12.75" customHeight="1">
      <c r="A863" s="101"/>
      <c r="B863" s="54"/>
      <c r="C863" s="102"/>
      <c r="D863" s="101"/>
      <c r="E863" s="101"/>
      <c r="F863" s="101"/>
      <c r="G863" s="101"/>
      <c r="H863" s="101"/>
      <c r="I863" s="101"/>
      <c r="J863" s="101"/>
      <c r="K863" s="101"/>
      <c r="L863" s="53"/>
      <c r="M863" s="53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</row>
    <row r="864" ht="12.75" customHeight="1">
      <c r="A864" s="101"/>
      <c r="B864" s="54"/>
      <c r="C864" s="102"/>
      <c r="D864" s="101"/>
      <c r="E864" s="101"/>
      <c r="F864" s="101"/>
      <c r="G864" s="101"/>
      <c r="H864" s="101"/>
      <c r="I864" s="101"/>
      <c r="J864" s="101"/>
      <c r="K864" s="101"/>
      <c r="L864" s="53"/>
      <c r="M864" s="53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</row>
    <row r="865" ht="12.75" customHeight="1">
      <c r="A865" s="101"/>
      <c r="B865" s="54"/>
      <c r="C865" s="102"/>
      <c r="D865" s="101"/>
      <c r="E865" s="101"/>
      <c r="F865" s="101"/>
      <c r="G865" s="101"/>
      <c r="H865" s="101"/>
      <c r="I865" s="101"/>
      <c r="J865" s="101"/>
      <c r="K865" s="101"/>
      <c r="L865" s="53"/>
      <c r="M865" s="53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</row>
    <row r="866" ht="12.75" customHeight="1">
      <c r="A866" s="101"/>
      <c r="B866" s="54"/>
      <c r="C866" s="102"/>
      <c r="D866" s="101"/>
      <c r="E866" s="101"/>
      <c r="F866" s="101"/>
      <c r="G866" s="101"/>
      <c r="H866" s="101"/>
      <c r="I866" s="101"/>
      <c r="J866" s="101"/>
      <c r="K866" s="101"/>
      <c r="L866" s="53"/>
      <c r="M866" s="53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</row>
    <row r="867" ht="12.75" customHeight="1">
      <c r="A867" s="101"/>
      <c r="B867" s="54"/>
      <c r="C867" s="102"/>
      <c r="D867" s="101"/>
      <c r="E867" s="101"/>
      <c r="F867" s="101"/>
      <c r="G867" s="101"/>
      <c r="H867" s="101"/>
      <c r="I867" s="101"/>
      <c r="J867" s="101"/>
      <c r="K867" s="101"/>
      <c r="L867" s="53"/>
      <c r="M867" s="53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</row>
    <row r="868" ht="12.75" customHeight="1">
      <c r="A868" s="101"/>
      <c r="B868" s="54"/>
      <c r="C868" s="102"/>
      <c r="D868" s="101"/>
      <c r="E868" s="101"/>
      <c r="F868" s="101"/>
      <c r="G868" s="101"/>
      <c r="H868" s="101"/>
      <c r="I868" s="101"/>
      <c r="J868" s="101"/>
      <c r="K868" s="101"/>
      <c r="L868" s="53"/>
      <c r="M868" s="53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</row>
    <row r="869" ht="12.75" customHeight="1">
      <c r="A869" s="101"/>
      <c r="B869" s="54"/>
      <c r="C869" s="102"/>
      <c r="D869" s="101"/>
      <c r="E869" s="101"/>
      <c r="F869" s="101"/>
      <c r="G869" s="101"/>
      <c r="H869" s="101"/>
      <c r="I869" s="101"/>
      <c r="J869" s="101"/>
      <c r="K869" s="101"/>
      <c r="L869" s="53"/>
      <c r="M869" s="53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</row>
    <row r="870" ht="12.75" customHeight="1">
      <c r="A870" s="101"/>
      <c r="B870" s="54"/>
      <c r="C870" s="102"/>
      <c r="D870" s="101"/>
      <c r="E870" s="101"/>
      <c r="F870" s="101"/>
      <c r="G870" s="101"/>
      <c r="H870" s="101"/>
      <c r="I870" s="101"/>
      <c r="J870" s="101"/>
      <c r="K870" s="101"/>
      <c r="L870" s="53"/>
      <c r="M870" s="53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</row>
    <row r="871" ht="12.75" customHeight="1">
      <c r="A871" s="101"/>
      <c r="B871" s="54"/>
      <c r="C871" s="102"/>
      <c r="D871" s="101"/>
      <c r="E871" s="101"/>
      <c r="F871" s="101"/>
      <c r="G871" s="101"/>
      <c r="H871" s="101"/>
      <c r="I871" s="101"/>
      <c r="J871" s="101"/>
      <c r="K871" s="101"/>
      <c r="L871" s="53"/>
      <c r="M871" s="53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</row>
    <row r="872" ht="12.75" customHeight="1">
      <c r="A872" s="101"/>
      <c r="B872" s="54"/>
      <c r="C872" s="102"/>
      <c r="D872" s="101"/>
      <c r="E872" s="101"/>
      <c r="F872" s="101"/>
      <c r="G872" s="101"/>
      <c r="H872" s="101"/>
      <c r="I872" s="101"/>
      <c r="J872" s="101"/>
      <c r="K872" s="101"/>
      <c r="L872" s="53"/>
      <c r="M872" s="53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</row>
    <row r="873" ht="12.75" customHeight="1">
      <c r="A873" s="101"/>
      <c r="B873" s="54"/>
      <c r="C873" s="102"/>
      <c r="D873" s="101"/>
      <c r="E873" s="101"/>
      <c r="F873" s="101"/>
      <c r="G873" s="101"/>
      <c r="H873" s="101"/>
      <c r="I873" s="101"/>
      <c r="J873" s="101"/>
      <c r="K873" s="101"/>
      <c r="L873" s="53"/>
      <c r="M873" s="53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</row>
    <row r="874" ht="12.75" customHeight="1">
      <c r="A874" s="101"/>
      <c r="B874" s="54"/>
      <c r="C874" s="102"/>
      <c r="D874" s="101"/>
      <c r="E874" s="101"/>
      <c r="F874" s="101"/>
      <c r="G874" s="101"/>
      <c r="H874" s="101"/>
      <c r="I874" s="101"/>
      <c r="J874" s="101"/>
      <c r="K874" s="101"/>
      <c r="L874" s="53"/>
      <c r="M874" s="53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</row>
    <row r="875" ht="12.75" customHeight="1">
      <c r="A875" s="101"/>
      <c r="B875" s="54"/>
      <c r="C875" s="102"/>
      <c r="D875" s="101"/>
      <c r="E875" s="101"/>
      <c r="F875" s="101"/>
      <c r="G875" s="101"/>
      <c r="H875" s="101"/>
      <c r="I875" s="101"/>
      <c r="J875" s="101"/>
      <c r="K875" s="101"/>
      <c r="L875" s="53"/>
      <c r="M875" s="53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</row>
    <row r="876" ht="12.75" customHeight="1">
      <c r="A876" s="101"/>
      <c r="B876" s="54"/>
      <c r="C876" s="102"/>
      <c r="D876" s="101"/>
      <c r="E876" s="101"/>
      <c r="F876" s="101"/>
      <c r="G876" s="101"/>
      <c r="H876" s="101"/>
      <c r="I876" s="101"/>
      <c r="J876" s="101"/>
      <c r="K876" s="101"/>
      <c r="L876" s="53"/>
      <c r="M876" s="53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</row>
    <row r="877" ht="12.75" customHeight="1">
      <c r="A877" s="101"/>
      <c r="B877" s="54"/>
      <c r="C877" s="102"/>
      <c r="D877" s="101"/>
      <c r="E877" s="101"/>
      <c r="F877" s="101"/>
      <c r="G877" s="101"/>
      <c r="H877" s="101"/>
      <c r="I877" s="101"/>
      <c r="J877" s="101"/>
      <c r="K877" s="101"/>
      <c r="L877" s="53"/>
      <c r="M877" s="53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</row>
    <row r="878" ht="12.75" customHeight="1">
      <c r="A878" s="101"/>
      <c r="B878" s="54"/>
      <c r="C878" s="102"/>
      <c r="D878" s="101"/>
      <c r="E878" s="101"/>
      <c r="F878" s="101"/>
      <c r="G878" s="101"/>
      <c r="H878" s="101"/>
      <c r="I878" s="101"/>
      <c r="J878" s="101"/>
      <c r="K878" s="101"/>
      <c r="L878" s="53"/>
      <c r="M878" s="53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</row>
    <row r="879" ht="12.75" customHeight="1">
      <c r="A879" s="101"/>
      <c r="B879" s="54"/>
      <c r="C879" s="102"/>
      <c r="D879" s="101"/>
      <c r="E879" s="101"/>
      <c r="F879" s="101"/>
      <c r="G879" s="101"/>
      <c r="H879" s="101"/>
      <c r="I879" s="101"/>
      <c r="J879" s="101"/>
      <c r="K879" s="101"/>
      <c r="L879" s="53"/>
      <c r="M879" s="53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</row>
    <row r="880" ht="12.75" customHeight="1">
      <c r="A880" s="101"/>
      <c r="B880" s="54"/>
      <c r="C880" s="102"/>
      <c r="D880" s="101"/>
      <c r="E880" s="101"/>
      <c r="F880" s="101"/>
      <c r="G880" s="101"/>
      <c r="H880" s="101"/>
      <c r="I880" s="101"/>
      <c r="J880" s="101"/>
      <c r="K880" s="101"/>
      <c r="L880" s="53"/>
      <c r="M880" s="53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</row>
    <row r="881" ht="12.75" customHeight="1">
      <c r="A881" s="101"/>
      <c r="B881" s="54"/>
      <c r="C881" s="102"/>
      <c r="D881" s="101"/>
      <c r="E881" s="101"/>
      <c r="F881" s="101"/>
      <c r="G881" s="101"/>
      <c r="H881" s="101"/>
      <c r="I881" s="101"/>
      <c r="J881" s="101"/>
      <c r="K881" s="101"/>
      <c r="L881" s="53"/>
      <c r="M881" s="53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</row>
    <row r="882" ht="12.75" customHeight="1">
      <c r="A882" s="101"/>
      <c r="B882" s="54"/>
      <c r="C882" s="102"/>
      <c r="D882" s="101"/>
      <c r="E882" s="101"/>
      <c r="F882" s="101"/>
      <c r="G882" s="101"/>
      <c r="H882" s="101"/>
      <c r="I882" s="101"/>
      <c r="J882" s="101"/>
      <c r="K882" s="101"/>
      <c r="L882" s="53"/>
      <c r="M882" s="53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</row>
    <row r="883" ht="12.75" customHeight="1">
      <c r="A883" s="101"/>
      <c r="B883" s="54"/>
      <c r="C883" s="102"/>
      <c r="D883" s="101"/>
      <c r="E883" s="101"/>
      <c r="F883" s="101"/>
      <c r="G883" s="101"/>
      <c r="H883" s="101"/>
      <c r="I883" s="101"/>
      <c r="J883" s="101"/>
      <c r="K883" s="101"/>
      <c r="L883" s="53"/>
      <c r="M883" s="53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</row>
    <row r="884" ht="12.75" customHeight="1">
      <c r="A884" s="101"/>
      <c r="B884" s="54"/>
      <c r="C884" s="102"/>
      <c r="D884" s="101"/>
      <c r="E884" s="101"/>
      <c r="F884" s="101"/>
      <c r="G884" s="101"/>
      <c r="H884" s="101"/>
      <c r="I884" s="101"/>
      <c r="J884" s="101"/>
      <c r="K884" s="101"/>
      <c r="L884" s="53"/>
      <c r="M884" s="53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</row>
    <row r="885" ht="12.75" customHeight="1">
      <c r="A885" s="101"/>
      <c r="B885" s="54"/>
      <c r="C885" s="102"/>
      <c r="D885" s="101"/>
      <c r="E885" s="101"/>
      <c r="F885" s="101"/>
      <c r="G885" s="101"/>
      <c r="H885" s="101"/>
      <c r="I885" s="101"/>
      <c r="J885" s="101"/>
      <c r="K885" s="101"/>
      <c r="L885" s="53"/>
      <c r="M885" s="53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</row>
    <row r="886" ht="12.75" customHeight="1">
      <c r="A886" s="101"/>
      <c r="B886" s="54"/>
      <c r="C886" s="102"/>
      <c r="D886" s="101"/>
      <c r="E886" s="101"/>
      <c r="F886" s="101"/>
      <c r="G886" s="101"/>
      <c r="H886" s="101"/>
      <c r="I886" s="101"/>
      <c r="J886" s="101"/>
      <c r="K886" s="101"/>
      <c r="L886" s="53"/>
      <c r="M886" s="53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</row>
    <row r="887" ht="12.75" customHeight="1">
      <c r="A887" s="101"/>
      <c r="B887" s="54"/>
      <c r="C887" s="102"/>
      <c r="D887" s="101"/>
      <c r="E887" s="101"/>
      <c r="F887" s="101"/>
      <c r="G887" s="101"/>
      <c r="H887" s="101"/>
      <c r="I887" s="101"/>
      <c r="J887" s="101"/>
      <c r="K887" s="101"/>
      <c r="L887" s="53"/>
      <c r="M887" s="53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</row>
    <row r="888" ht="12.75" customHeight="1">
      <c r="A888" s="101"/>
      <c r="B888" s="54"/>
      <c r="C888" s="102"/>
      <c r="D888" s="101"/>
      <c r="E888" s="101"/>
      <c r="F888" s="101"/>
      <c r="G888" s="101"/>
      <c r="H888" s="101"/>
      <c r="I888" s="101"/>
      <c r="J888" s="101"/>
      <c r="K888" s="101"/>
      <c r="L888" s="53"/>
      <c r="M888" s="53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</row>
    <row r="889" ht="12.75" customHeight="1">
      <c r="A889" s="101"/>
      <c r="B889" s="54"/>
      <c r="C889" s="102"/>
      <c r="D889" s="101"/>
      <c r="E889" s="101"/>
      <c r="F889" s="101"/>
      <c r="G889" s="101"/>
      <c r="H889" s="101"/>
      <c r="I889" s="101"/>
      <c r="J889" s="101"/>
      <c r="K889" s="101"/>
      <c r="L889" s="53"/>
      <c r="M889" s="53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</row>
    <row r="890" ht="12.75" customHeight="1">
      <c r="A890" s="101"/>
      <c r="B890" s="54"/>
      <c r="C890" s="102"/>
      <c r="D890" s="101"/>
      <c r="E890" s="101"/>
      <c r="F890" s="101"/>
      <c r="G890" s="101"/>
      <c r="H890" s="101"/>
      <c r="I890" s="101"/>
      <c r="J890" s="101"/>
      <c r="K890" s="101"/>
      <c r="L890" s="53"/>
      <c r="M890" s="53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</row>
    <row r="891" ht="12.75" customHeight="1">
      <c r="A891" s="101"/>
      <c r="B891" s="54"/>
      <c r="C891" s="102"/>
      <c r="D891" s="101"/>
      <c r="E891" s="101"/>
      <c r="F891" s="101"/>
      <c r="G891" s="101"/>
      <c r="H891" s="101"/>
      <c r="I891" s="101"/>
      <c r="J891" s="101"/>
      <c r="K891" s="101"/>
      <c r="L891" s="53"/>
      <c r="M891" s="53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</row>
    <row r="892" ht="12.75" customHeight="1">
      <c r="A892" s="101"/>
      <c r="B892" s="54"/>
      <c r="C892" s="102"/>
      <c r="D892" s="101"/>
      <c r="E892" s="101"/>
      <c r="F892" s="101"/>
      <c r="G892" s="101"/>
      <c r="H892" s="101"/>
      <c r="I892" s="101"/>
      <c r="J892" s="101"/>
      <c r="K892" s="101"/>
      <c r="L892" s="53"/>
      <c r="M892" s="53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</row>
    <row r="893" ht="12.75" customHeight="1">
      <c r="A893" s="101"/>
      <c r="B893" s="54"/>
      <c r="C893" s="102"/>
      <c r="D893" s="101"/>
      <c r="E893" s="101"/>
      <c r="F893" s="101"/>
      <c r="G893" s="101"/>
      <c r="H893" s="101"/>
      <c r="I893" s="101"/>
      <c r="J893" s="101"/>
      <c r="K893" s="101"/>
      <c r="L893" s="53"/>
      <c r="M893" s="53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</row>
    <row r="894" ht="12.75" customHeight="1">
      <c r="A894" s="101"/>
      <c r="B894" s="54"/>
      <c r="C894" s="102"/>
      <c r="D894" s="101"/>
      <c r="E894" s="101"/>
      <c r="F894" s="101"/>
      <c r="G894" s="101"/>
      <c r="H894" s="101"/>
      <c r="I894" s="101"/>
      <c r="J894" s="101"/>
      <c r="K894" s="101"/>
      <c r="L894" s="53"/>
      <c r="M894" s="53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</row>
    <row r="895" ht="12.75" customHeight="1">
      <c r="A895" s="101"/>
      <c r="B895" s="54"/>
      <c r="C895" s="102"/>
      <c r="D895" s="101"/>
      <c r="E895" s="101"/>
      <c r="F895" s="101"/>
      <c r="G895" s="101"/>
      <c r="H895" s="101"/>
      <c r="I895" s="101"/>
      <c r="J895" s="101"/>
      <c r="K895" s="101"/>
      <c r="L895" s="53"/>
      <c r="M895" s="53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</row>
    <row r="896" ht="12.75" customHeight="1">
      <c r="A896" s="101"/>
      <c r="B896" s="54"/>
      <c r="C896" s="102"/>
      <c r="D896" s="101"/>
      <c r="E896" s="101"/>
      <c r="F896" s="101"/>
      <c r="G896" s="101"/>
      <c r="H896" s="101"/>
      <c r="I896" s="101"/>
      <c r="J896" s="101"/>
      <c r="K896" s="101"/>
      <c r="L896" s="53"/>
      <c r="M896" s="53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</row>
    <row r="897" ht="12.75" customHeight="1">
      <c r="A897" s="101"/>
      <c r="B897" s="54"/>
      <c r="C897" s="102"/>
      <c r="D897" s="101"/>
      <c r="E897" s="101"/>
      <c r="F897" s="101"/>
      <c r="G897" s="101"/>
      <c r="H897" s="101"/>
      <c r="I897" s="101"/>
      <c r="J897" s="101"/>
      <c r="K897" s="101"/>
      <c r="L897" s="53"/>
      <c r="M897" s="53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</row>
    <row r="898" ht="12.75" customHeight="1">
      <c r="A898" s="101"/>
      <c r="B898" s="54"/>
      <c r="C898" s="102"/>
      <c r="D898" s="101"/>
      <c r="E898" s="101"/>
      <c r="F898" s="101"/>
      <c r="G898" s="101"/>
      <c r="H898" s="101"/>
      <c r="I898" s="101"/>
      <c r="J898" s="101"/>
      <c r="K898" s="101"/>
      <c r="L898" s="53"/>
      <c r="M898" s="53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</row>
    <row r="899" ht="12.75" customHeight="1">
      <c r="A899" s="101"/>
      <c r="B899" s="54"/>
      <c r="C899" s="102"/>
      <c r="D899" s="101"/>
      <c r="E899" s="101"/>
      <c r="F899" s="101"/>
      <c r="G899" s="101"/>
      <c r="H899" s="101"/>
      <c r="I899" s="101"/>
      <c r="J899" s="101"/>
      <c r="K899" s="101"/>
      <c r="L899" s="53"/>
      <c r="M899" s="53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</row>
    <row r="900" ht="12.75" customHeight="1">
      <c r="A900" s="101"/>
      <c r="B900" s="54"/>
      <c r="C900" s="102"/>
      <c r="D900" s="101"/>
      <c r="E900" s="101"/>
      <c r="F900" s="101"/>
      <c r="G900" s="101"/>
      <c r="H900" s="101"/>
      <c r="I900" s="101"/>
      <c r="J900" s="101"/>
      <c r="K900" s="101"/>
      <c r="L900" s="53"/>
      <c r="M900" s="53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</row>
    <row r="901" ht="12.75" customHeight="1">
      <c r="A901" s="101"/>
      <c r="B901" s="54"/>
      <c r="C901" s="102"/>
      <c r="D901" s="101"/>
      <c r="E901" s="101"/>
      <c r="F901" s="101"/>
      <c r="G901" s="101"/>
      <c r="H901" s="101"/>
      <c r="I901" s="101"/>
      <c r="J901" s="101"/>
      <c r="K901" s="101"/>
      <c r="L901" s="53"/>
      <c r="M901" s="53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</row>
    <row r="902" ht="12.75" customHeight="1">
      <c r="A902" s="101"/>
      <c r="B902" s="54"/>
      <c r="C902" s="102"/>
      <c r="D902" s="101"/>
      <c r="E902" s="101"/>
      <c r="F902" s="101"/>
      <c r="G902" s="101"/>
      <c r="H902" s="101"/>
      <c r="I902" s="101"/>
      <c r="J902" s="101"/>
      <c r="K902" s="101"/>
      <c r="L902" s="53"/>
      <c r="M902" s="53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</row>
    <row r="903" ht="12.75" customHeight="1">
      <c r="A903" s="101"/>
      <c r="B903" s="54"/>
      <c r="C903" s="102"/>
      <c r="D903" s="101"/>
      <c r="E903" s="101"/>
      <c r="F903" s="101"/>
      <c r="G903" s="101"/>
      <c r="H903" s="101"/>
      <c r="I903" s="101"/>
      <c r="J903" s="101"/>
      <c r="K903" s="101"/>
      <c r="L903" s="53"/>
      <c r="M903" s="53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</row>
    <row r="904" ht="12.75" customHeight="1">
      <c r="A904" s="101"/>
      <c r="B904" s="54"/>
      <c r="C904" s="102"/>
      <c r="D904" s="101"/>
      <c r="E904" s="101"/>
      <c r="F904" s="101"/>
      <c r="G904" s="101"/>
      <c r="H904" s="101"/>
      <c r="I904" s="101"/>
      <c r="J904" s="101"/>
      <c r="K904" s="101"/>
      <c r="L904" s="53"/>
      <c r="M904" s="53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</row>
    <row r="905" ht="12.75" customHeight="1">
      <c r="A905" s="101"/>
      <c r="B905" s="54"/>
      <c r="C905" s="102"/>
      <c r="D905" s="101"/>
      <c r="E905" s="101"/>
      <c r="F905" s="101"/>
      <c r="G905" s="101"/>
      <c r="H905" s="101"/>
      <c r="I905" s="101"/>
      <c r="J905" s="101"/>
      <c r="K905" s="101"/>
      <c r="L905" s="53"/>
      <c r="M905" s="53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</row>
    <row r="906" ht="12.75" customHeight="1">
      <c r="A906" s="101"/>
      <c r="B906" s="54"/>
      <c r="C906" s="102"/>
      <c r="D906" s="101"/>
      <c r="E906" s="101"/>
      <c r="F906" s="101"/>
      <c r="G906" s="101"/>
      <c r="H906" s="101"/>
      <c r="I906" s="101"/>
      <c r="J906" s="101"/>
      <c r="K906" s="101"/>
      <c r="L906" s="53"/>
      <c r="M906" s="53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</row>
    <row r="907" ht="12.75" customHeight="1">
      <c r="A907" s="101"/>
      <c r="B907" s="54"/>
      <c r="C907" s="102"/>
      <c r="D907" s="101"/>
      <c r="E907" s="101"/>
      <c r="F907" s="101"/>
      <c r="G907" s="101"/>
      <c r="H907" s="101"/>
      <c r="I907" s="101"/>
      <c r="J907" s="101"/>
      <c r="K907" s="101"/>
      <c r="L907" s="53"/>
      <c r="M907" s="53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</row>
    <row r="908" ht="12.75" customHeight="1">
      <c r="A908" s="101"/>
      <c r="B908" s="54"/>
      <c r="C908" s="102"/>
      <c r="D908" s="101"/>
      <c r="E908" s="101"/>
      <c r="F908" s="101"/>
      <c r="G908" s="101"/>
      <c r="H908" s="101"/>
      <c r="I908" s="101"/>
      <c r="J908" s="101"/>
      <c r="K908" s="101"/>
      <c r="L908" s="53"/>
      <c r="M908" s="53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</row>
    <row r="909" ht="12.75" customHeight="1">
      <c r="A909" s="101"/>
      <c r="B909" s="54"/>
      <c r="C909" s="102"/>
      <c r="D909" s="101"/>
      <c r="E909" s="101"/>
      <c r="F909" s="101"/>
      <c r="G909" s="101"/>
      <c r="H909" s="101"/>
      <c r="I909" s="101"/>
      <c r="J909" s="101"/>
      <c r="K909" s="101"/>
      <c r="L909" s="53"/>
      <c r="M909" s="53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</row>
    <row r="910" ht="12.75" customHeight="1">
      <c r="A910" s="101"/>
      <c r="B910" s="54"/>
      <c r="C910" s="102"/>
      <c r="D910" s="101"/>
      <c r="E910" s="101"/>
      <c r="F910" s="101"/>
      <c r="G910" s="101"/>
      <c r="H910" s="101"/>
      <c r="I910" s="101"/>
      <c r="J910" s="101"/>
      <c r="K910" s="101"/>
      <c r="L910" s="53"/>
      <c r="M910" s="53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</row>
    <row r="911" ht="12.75" customHeight="1">
      <c r="A911" s="101"/>
      <c r="B911" s="54"/>
      <c r="C911" s="102"/>
      <c r="D911" s="101"/>
      <c r="E911" s="101"/>
      <c r="F911" s="101"/>
      <c r="G911" s="101"/>
      <c r="H911" s="101"/>
      <c r="I911" s="101"/>
      <c r="J911" s="101"/>
      <c r="K911" s="101"/>
      <c r="L911" s="53"/>
      <c r="M911" s="53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</row>
    <row r="912" ht="12.75" customHeight="1">
      <c r="A912" s="101"/>
      <c r="B912" s="54"/>
      <c r="C912" s="102"/>
      <c r="D912" s="101"/>
      <c r="E912" s="101"/>
      <c r="F912" s="101"/>
      <c r="G912" s="101"/>
      <c r="H912" s="101"/>
      <c r="I912" s="101"/>
      <c r="J912" s="101"/>
      <c r="K912" s="101"/>
      <c r="L912" s="53"/>
      <c r="M912" s="53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</row>
    <row r="913" ht="12.75" customHeight="1">
      <c r="A913" s="101"/>
      <c r="B913" s="54"/>
      <c r="C913" s="102"/>
      <c r="D913" s="101"/>
      <c r="E913" s="101"/>
      <c r="F913" s="101"/>
      <c r="G913" s="101"/>
      <c r="H913" s="101"/>
      <c r="I913" s="101"/>
      <c r="J913" s="101"/>
      <c r="K913" s="101"/>
      <c r="L913" s="53"/>
      <c r="M913" s="53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</row>
    <row r="914" ht="12.75" customHeight="1">
      <c r="A914" s="101"/>
      <c r="B914" s="54"/>
      <c r="C914" s="102"/>
      <c r="D914" s="101"/>
      <c r="E914" s="101"/>
      <c r="F914" s="101"/>
      <c r="G914" s="101"/>
      <c r="H914" s="101"/>
      <c r="I914" s="101"/>
      <c r="J914" s="101"/>
      <c r="K914" s="101"/>
      <c r="L914" s="53"/>
      <c r="M914" s="53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</row>
    <row r="915" ht="12.75" customHeight="1">
      <c r="A915" s="101"/>
      <c r="B915" s="54"/>
      <c r="C915" s="102"/>
      <c r="D915" s="101"/>
      <c r="E915" s="101"/>
      <c r="F915" s="101"/>
      <c r="G915" s="101"/>
      <c r="H915" s="101"/>
      <c r="I915" s="101"/>
      <c r="J915" s="101"/>
      <c r="K915" s="101"/>
      <c r="L915" s="53"/>
      <c r="M915" s="53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</row>
    <row r="916" ht="12.75" customHeight="1">
      <c r="A916" s="101"/>
      <c r="B916" s="54"/>
      <c r="C916" s="102"/>
      <c r="D916" s="101"/>
      <c r="E916" s="101"/>
      <c r="F916" s="101"/>
      <c r="G916" s="101"/>
      <c r="H916" s="101"/>
      <c r="I916" s="101"/>
      <c r="J916" s="101"/>
      <c r="K916" s="101"/>
      <c r="L916" s="53"/>
      <c r="M916" s="53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</row>
    <row r="917" ht="12.75" customHeight="1">
      <c r="A917" s="101"/>
      <c r="B917" s="54"/>
      <c r="C917" s="102"/>
      <c r="D917" s="101"/>
      <c r="E917" s="101"/>
      <c r="F917" s="101"/>
      <c r="G917" s="101"/>
      <c r="H917" s="101"/>
      <c r="I917" s="101"/>
      <c r="J917" s="101"/>
      <c r="K917" s="101"/>
      <c r="L917" s="53"/>
      <c r="M917" s="53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</row>
    <row r="918" ht="12.75" customHeight="1">
      <c r="A918" s="101"/>
      <c r="B918" s="54"/>
      <c r="C918" s="102"/>
      <c r="D918" s="101"/>
      <c r="E918" s="101"/>
      <c r="F918" s="101"/>
      <c r="G918" s="101"/>
      <c r="H918" s="101"/>
      <c r="I918" s="101"/>
      <c r="J918" s="101"/>
      <c r="K918" s="101"/>
      <c r="L918" s="53"/>
      <c r="M918" s="53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</row>
    <row r="919" ht="12.75" customHeight="1">
      <c r="A919" s="101"/>
      <c r="B919" s="54"/>
      <c r="C919" s="102"/>
      <c r="D919" s="101"/>
      <c r="E919" s="101"/>
      <c r="F919" s="101"/>
      <c r="G919" s="101"/>
      <c r="H919" s="101"/>
      <c r="I919" s="101"/>
      <c r="J919" s="101"/>
      <c r="K919" s="101"/>
      <c r="L919" s="53"/>
      <c r="M919" s="53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</row>
    <row r="920" ht="12.75" customHeight="1">
      <c r="A920" s="101"/>
      <c r="B920" s="54"/>
      <c r="C920" s="102"/>
      <c r="D920" s="101"/>
      <c r="E920" s="101"/>
      <c r="F920" s="101"/>
      <c r="G920" s="101"/>
      <c r="H920" s="101"/>
      <c r="I920" s="101"/>
      <c r="J920" s="101"/>
      <c r="K920" s="101"/>
      <c r="L920" s="53"/>
      <c r="M920" s="53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</row>
    <row r="921" ht="12.75" customHeight="1">
      <c r="A921" s="101"/>
      <c r="B921" s="54"/>
      <c r="C921" s="102"/>
      <c r="D921" s="101"/>
      <c r="E921" s="101"/>
      <c r="F921" s="101"/>
      <c r="G921" s="101"/>
      <c r="H921" s="101"/>
      <c r="I921" s="101"/>
      <c r="J921" s="101"/>
      <c r="K921" s="101"/>
      <c r="L921" s="53"/>
      <c r="M921" s="53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</row>
    <row r="922" ht="12.75" customHeight="1">
      <c r="A922" s="101"/>
      <c r="B922" s="54"/>
      <c r="C922" s="102"/>
      <c r="D922" s="101"/>
      <c r="E922" s="101"/>
      <c r="F922" s="101"/>
      <c r="G922" s="101"/>
      <c r="H922" s="101"/>
      <c r="I922" s="101"/>
      <c r="J922" s="101"/>
      <c r="K922" s="101"/>
      <c r="L922" s="53"/>
      <c r="M922" s="53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</row>
    <row r="923" ht="12.75" customHeight="1">
      <c r="A923" s="101"/>
      <c r="B923" s="54"/>
      <c r="C923" s="102"/>
      <c r="D923" s="101"/>
      <c r="E923" s="101"/>
      <c r="F923" s="101"/>
      <c r="G923" s="101"/>
      <c r="H923" s="101"/>
      <c r="I923" s="101"/>
      <c r="J923" s="101"/>
      <c r="K923" s="101"/>
      <c r="L923" s="53"/>
      <c r="M923" s="53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</row>
    <row r="924" ht="12.75" customHeight="1">
      <c r="A924" s="101"/>
      <c r="B924" s="54"/>
      <c r="C924" s="102"/>
      <c r="D924" s="101"/>
      <c r="E924" s="101"/>
      <c r="F924" s="101"/>
      <c r="G924" s="101"/>
      <c r="H924" s="101"/>
      <c r="I924" s="101"/>
      <c r="J924" s="101"/>
      <c r="K924" s="101"/>
      <c r="L924" s="53"/>
      <c r="M924" s="53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</row>
    <row r="925" ht="12.75" customHeight="1">
      <c r="A925" s="101"/>
      <c r="B925" s="54"/>
      <c r="C925" s="102"/>
      <c r="D925" s="101"/>
      <c r="E925" s="101"/>
      <c r="F925" s="101"/>
      <c r="G925" s="101"/>
      <c r="H925" s="101"/>
      <c r="I925" s="101"/>
      <c r="J925" s="101"/>
      <c r="K925" s="101"/>
      <c r="L925" s="53"/>
      <c r="M925" s="53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</row>
    <row r="926" ht="12.75" customHeight="1">
      <c r="A926" s="101"/>
      <c r="B926" s="54"/>
      <c r="C926" s="102"/>
      <c r="D926" s="101"/>
      <c r="E926" s="101"/>
      <c r="F926" s="101"/>
      <c r="G926" s="101"/>
      <c r="H926" s="101"/>
      <c r="I926" s="101"/>
      <c r="J926" s="101"/>
      <c r="K926" s="101"/>
      <c r="L926" s="53"/>
      <c r="M926" s="53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</row>
    <row r="927" ht="12.75" customHeight="1">
      <c r="A927" s="101"/>
      <c r="B927" s="54"/>
      <c r="C927" s="102"/>
      <c r="D927" s="101"/>
      <c r="E927" s="101"/>
      <c r="F927" s="101"/>
      <c r="G927" s="101"/>
      <c r="H927" s="101"/>
      <c r="I927" s="101"/>
      <c r="J927" s="101"/>
      <c r="K927" s="101"/>
      <c r="L927" s="53"/>
      <c r="M927" s="53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</row>
    <row r="928" ht="12.75" customHeight="1">
      <c r="A928" s="101"/>
      <c r="B928" s="54"/>
      <c r="C928" s="102"/>
      <c r="D928" s="101"/>
      <c r="E928" s="101"/>
      <c r="F928" s="101"/>
      <c r="G928" s="101"/>
      <c r="H928" s="101"/>
      <c r="I928" s="101"/>
      <c r="J928" s="101"/>
      <c r="K928" s="101"/>
      <c r="L928" s="53"/>
      <c r="M928" s="53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</row>
    <row r="929" ht="12.75" customHeight="1">
      <c r="A929" s="101"/>
      <c r="B929" s="54"/>
      <c r="C929" s="102"/>
      <c r="D929" s="101"/>
      <c r="E929" s="101"/>
      <c r="F929" s="101"/>
      <c r="G929" s="101"/>
      <c r="H929" s="101"/>
      <c r="I929" s="101"/>
      <c r="J929" s="101"/>
      <c r="K929" s="101"/>
      <c r="L929" s="53"/>
      <c r="M929" s="53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</row>
    <row r="930" ht="12.75" customHeight="1">
      <c r="A930" s="101"/>
      <c r="B930" s="54"/>
      <c r="C930" s="102"/>
      <c r="D930" s="101"/>
      <c r="E930" s="101"/>
      <c r="F930" s="101"/>
      <c r="G930" s="101"/>
      <c r="H930" s="101"/>
      <c r="I930" s="101"/>
      <c r="J930" s="101"/>
      <c r="K930" s="101"/>
      <c r="L930" s="53"/>
      <c r="M930" s="53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</row>
    <row r="931" ht="12.75" customHeight="1">
      <c r="A931" s="101"/>
      <c r="B931" s="54"/>
      <c r="C931" s="102"/>
      <c r="D931" s="101"/>
      <c r="E931" s="101"/>
      <c r="F931" s="101"/>
      <c r="G931" s="101"/>
      <c r="H931" s="101"/>
      <c r="I931" s="101"/>
      <c r="J931" s="101"/>
      <c r="K931" s="101"/>
      <c r="L931" s="53"/>
      <c r="M931" s="53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</row>
    <row r="932" ht="12.75" customHeight="1">
      <c r="A932" s="101"/>
      <c r="B932" s="54"/>
      <c r="C932" s="102"/>
      <c r="D932" s="101"/>
      <c r="E932" s="101"/>
      <c r="F932" s="101"/>
      <c r="G932" s="101"/>
      <c r="H932" s="101"/>
      <c r="I932" s="101"/>
      <c r="J932" s="101"/>
      <c r="K932" s="101"/>
      <c r="L932" s="53"/>
      <c r="M932" s="53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</row>
    <row r="933" ht="12.75" customHeight="1">
      <c r="A933" s="101"/>
      <c r="B933" s="54"/>
      <c r="C933" s="102"/>
      <c r="D933" s="101"/>
      <c r="E933" s="101"/>
      <c r="F933" s="101"/>
      <c r="G933" s="101"/>
      <c r="H933" s="101"/>
      <c r="I933" s="101"/>
      <c r="J933" s="101"/>
      <c r="K933" s="101"/>
      <c r="L933" s="53"/>
      <c r="M933" s="53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</row>
    <row r="934" ht="12.75" customHeight="1">
      <c r="A934" s="101"/>
      <c r="B934" s="54"/>
      <c r="C934" s="102"/>
      <c r="D934" s="101"/>
      <c r="E934" s="101"/>
      <c r="F934" s="101"/>
      <c r="G934" s="101"/>
      <c r="H934" s="101"/>
      <c r="I934" s="101"/>
      <c r="J934" s="101"/>
      <c r="K934" s="101"/>
      <c r="L934" s="53"/>
      <c r="M934" s="53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</row>
    <row r="935" ht="12.75" customHeight="1">
      <c r="A935" s="101"/>
      <c r="B935" s="54"/>
      <c r="C935" s="102"/>
      <c r="D935" s="101"/>
      <c r="E935" s="101"/>
      <c r="F935" s="101"/>
      <c r="G935" s="101"/>
      <c r="H935" s="101"/>
      <c r="I935" s="101"/>
      <c r="J935" s="101"/>
      <c r="K935" s="101"/>
      <c r="L935" s="53"/>
      <c r="M935" s="53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</row>
    <row r="936" ht="12.75" customHeight="1">
      <c r="A936" s="101"/>
      <c r="B936" s="54"/>
      <c r="C936" s="102"/>
      <c r="D936" s="101"/>
      <c r="E936" s="101"/>
      <c r="F936" s="101"/>
      <c r="G936" s="101"/>
      <c r="H936" s="101"/>
      <c r="I936" s="101"/>
      <c r="J936" s="101"/>
      <c r="K936" s="101"/>
      <c r="L936" s="53"/>
      <c r="M936" s="53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</row>
    <row r="937" ht="12.75" customHeight="1">
      <c r="A937" s="101"/>
      <c r="B937" s="54"/>
      <c r="C937" s="102"/>
      <c r="D937" s="101"/>
      <c r="E937" s="101"/>
      <c r="F937" s="101"/>
      <c r="G937" s="101"/>
      <c r="H937" s="101"/>
      <c r="I937" s="101"/>
      <c r="J937" s="101"/>
      <c r="K937" s="101"/>
      <c r="L937" s="53"/>
      <c r="M937" s="53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</row>
    <row r="938" ht="12.75" customHeight="1">
      <c r="A938" s="101"/>
      <c r="B938" s="54"/>
      <c r="C938" s="102"/>
      <c r="D938" s="101"/>
      <c r="E938" s="101"/>
      <c r="F938" s="101"/>
      <c r="G938" s="101"/>
      <c r="H938" s="101"/>
      <c r="I938" s="101"/>
      <c r="J938" s="101"/>
      <c r="K938" s="101"/>
      <c r="L938" s="53"/>
      <c r="M938" s="53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</row>
    <row r="939" ht="12.75" customHeight="1">
      <c r="A939" s="101"/>
      <c r="B939" s="54"/>
      <c r="C939" s="102"/>
      <c r="D939" s="101"/>
      <c r="E939" s="101"/>
      <c r="F939" s="101"/>
      <c r="G939" s="101"/>
      <c r="H939" s="101"/>
      <c r="I939" s="101"/>
      <c r="J939" s="101"/>
      <c r="K939" s="101"/>
      <c r="L939" s="53"/>
      <c r="M939" s="53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</row>
    <row r="940" ht="12.75" customHeight="1">
      <c r="A940" s="101"/>
      <c r="B940" s="54"/>
      <c r="C940" s="102"/>
      <c r="D940" s="101"/>
      <c r="E940" s="101"/>
      <c r="F940" s="101"/>
      <c r="G940" s="101"/>
      <c r="H940" s="101"/>
      <c r="I940" s="101"/>
      <c r="J940" s="101"/>
      <c r="K940" s="101"/>
      <c r="L940" s="53"/>
      <c r="M940" s="53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</row>
    <row r="941" ht="12.75" customHeight="1">
      <c r="A941" s="101"/>
      <c r="B941" s="54"/>
      <c r="C941" s="102"/>
      <c r="D941" s="101"/>
      <c r="E941" s="101"/>
      <c r="F941" s="101"/>
      <c r="G941" s="101"/>
      <c r="H941" s="101"/>
      <c r="I941" s="101"/>
      <c r="J941" s="101"/>
      <c r="K941" s="101"/>
      <c r="L941" s="53"/>
      <c r="M941" s="53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</row>
    <row r="942" ht="12.75" customHeight="1">
      <c r="A942" s="101"/>
      <c r="B942" s="54"/>
      <c r="C942" s="102"/>
      <c r="D942" s="101"/>
      <c r="E942" s="101"/>
      <c r="F942" s="101"/>
      <c r="G942" s="101"/>
      <c r="H942" s="101"/>
      <c r="I942" s="101"/>
      <c r="J942" s="101"/>
      <c r="K942" s="101"/>
      <c r="L942" s="53"/>
      <c r="M942" s="53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</row>
    <row r="943" ht="12.75" customHeight="1">
      <c r="A943" s="101"/>
      <c r="B943" s="54"/>
      <c r="C943" s="102"/>
      <c r="D943" s="101"/>
      <c r="E943" s="101"/>
      <c r="F943" s="101"/>
      <c r="G943" s="101"/>
      <c r="H943" s="101"/>
      <c r="I943" s="101"/>
      <c r="J943" s="101"/>
      <c r="K943" s="101"/>
      <c r="L943" s="53"/>
      <c r="M943" s="53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</row>
    <row r="944" ht="12.75" customHeight="1">
      <c r="A944" s="101"/>
      <c r="B944" s="54"/>
      <c r="C944" s="102"/>
      <c r="D944" s="101"/>
      <c r="E944" s="101"/>
      <c r="F944" s="101"/>
      <c r="G944" s="101"/>
      <c r="H944" s="101"/>
      <c r="I944" s="101"/>
      <c r="J944" s="101"/>
      <c r="K944" s="101"/>
      <c r="L944" s="53"/>
      <c r="M944" s="53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</row>
    <row r="945" ht="12.75" customHeight="1">
      <c r="A945" s="101"/>
      <c r="B945" s="54"/>
      <c r="C945" s="102"/>
      <c r="D945" s="101"/>
      <c r="E945" s="101"/>
      <c r="F945" s="101"/>
      <c r="G945" s="101"/>
      <c r="H945" s="101"/>
      <c r="I945" s="101"/>
      <c r="J945" s="101"/>
      <c r="K945" s="101"/>
      <c r="L945" s="53"/>
      <c r="M945" s="53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</row>
    <row r="946" ht="12.75" customHeight="1">
      <c r="A946" s="101"/>
      <c r="B946" s="54"/>
      <c r="C946" s="102"/>
      <c r="D946" s="101"/>
      <c r="E946" s="101"/>
      <c r="F946" s="101"/>
      <c r="G946" s="101"/>
      <c r="H946" s="101"/>
      <c r="I946" s="101"/>
      <c r="J946" s="101"/>
      <c r="K946" s="101"/>
      <c r="L946" s="53"/>
      <c r="M946" s="53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</row>
    <row r="947" ht="12.75" customHeight="1">
      <c r="A947" s="101"/>
      <c r="B947" s="54"/>
      <c r="C947" s="102"/>
      <c r="D947" s="101"/>
      <c r="E947" s="101"/>
      <c r="F947" s="101"/>
      <c r="G947" s="101"/>
      <c r="H947" s="101"/>
      <c r="I947" s="101"/>
      <c r="J947" s="101"/>
      <c r="K947" s="101"/>
      <c r="L947" s="53"/>
      <c r="M947" s="53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</row>
    <row r="948" ht="12.75" customHeight="1">
      <c r="A948" s="101"/>
      <c r="B948" s="54"/>
      <c r="C948" s="102"/>
      <c r="D948" s="101"/>
      <c r="E948" s="101"/>
      <c r="F948" s="101"/>
      <c r="G948" s="101"/>
      <c r="H948" s="101"/>
      <c r="I948" s="101"/>
      <c r="J948" s="101"/>
      <c r="K948" s="101"/>
      <c r="L948" s="53"/>
      <c r="M948" s="53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</row>
    <row r="949" ht="12.75" customHeight="1">
      <c r="A949" s="101"/>
      <c r="B949" s="54"/>
      <c r="C949" s="102"/>
      <c r="D949" s="101"/>
      <c r="E949" s="101"/>
      <c r="F949" s="101"/>
      <c r="G949" s="101"/>
      <c r="H949" s="101"/>
      <c r="I949" s="101"/>
      <c r="J949" s="101"/>
      <c r="K949" s="101"/>
      <c r="L949" s="53"/>
      <c r="M949" s="53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</row>
    <row r="950" ht="12.75" customHeight="1">
      <c r="A950" s="101"/>
      <c r="B950" s="54"/>
      <c r="C950" s="102"/>
      <c r="D950" s="101"/>
      <c r="E950" s="101"/>
      <c r="F950" s="101"/>
      <c r="G950" s="101"/>
      <c r="H950" s="101"/>
      <c r="I950" s="101"/>
      <c r="J950" s="101"/>
      <c r="K950" s="101"/>
      <c r="L950" s="53"/>
      <c r="M950" s="53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</row>
    <row r="951" ht="12.75" customHeight="1">
      <c r="A951" s="101"/>
      <c r="B951" s="54"/>
      <c r="C951" s="102"/>
      <c r="D951" s="101"/>
      <c r="E951" s="101"/>
      <c r="F951" s="101"/>
      <c r="G951" s="101"/>
      <c r="H951" s="101"/>
      <c r="I951" s="101"/>
      <c r="J951" s="101"/>
      <c r="K951" s="101"/>
      <c r="L951" s="53"/>
      <c r="M951" s="53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</row>
    <row r="952" ht="12.75" customHeight="1">
      <c r="A952" s="101"/>
      <c r="B952" s="54"/>
      <c r="C952" s="102"/>
      <c r="D952" s="101"/>
      <c r="E952" s="101"/>
      <c r="F952" s="101"/>
      <c r="G952" s="101"/>
      <c r="H952" s="101"/>
      <c r="I952" s="101"/>
      <c r="J952" s="101"/>
      <c r="K952" s="101"/>
      <c r="L952" s="53"/>
      <c r="M952" s="53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</row>
    <row r="953" ht="12.75" customHeight="1">
      <c r="A953" s="101"/>
      <c r="B953" s="54"/>
      <c r="C953" s="102"/>
      <c r="D953" s="101"/>
      <c r="E953" s="101"/>
      <c r="F953" s="101"/>
      <c r="G953" s="101"/>
      <c r="H953" s="101"/>
      <c r="I953" s="101"/>
      <c r="J953" s="101"/>
      <c r="K953" s="101"/>
      <c r="L953" s="53"/>
      <c r="M953" s="53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</row>
    <row r="954" ht="12.75" customHeight="1">
      <c r="A954" s="101"/>
      <c r="B954" s="54"/>
      <c r="C954" s="102"/>
      <c r="D954" s="101"/>
      <c r="E954" s="101"/>
      <c r="F954" s="101"/>
      <c r="G954" s="101"/>
      <c r="H954" s="101"/>
      <c r="I954" s="101"/>
      <c r="J954" s="101"/>
      <c r="K954" s="101"/>
      <c r="L954" s="53"/>
      <c r="M954" s="53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</row>
    <row r="955" ht="12.75" customHeight="1">
      <c r="A955" s="101"/>
      <c r="B955" s="54"/>
      <c r="C955" s="102"/>
      <c r="D955" s="101"/>
      <c r="E955" s="101"/>
      <c r="F955" s="101"/>
      <c r="G955" s="101"/>
      <c r="H955" s="101"/>
      <c r="I955" s="101"/>
      <c r="J955" s="101"/>
      <c r="K955" s="101"/>
      <c r="L955" s="53"/>
      <c r="M955" s="53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</row>
    <row r="956" ht="12.75" customHeight="1">
      <c r="A956" s="101"/>
      <c r="B956" s="54"/>
      <c r="C956" s="102"/>
      <c r="D956" s="101"/>
      <c r="E956" s="101"/>
      <c r="F956" s="101"/>
      <c r="G956" s="101"/>
      <c r="H956" s="101"/>
      <c r="I956" s="101"/>
      <c r="J956" s="101"/>
      <c r="K956" s="101"/>
      <c r="L956" s="53"/>
      <c r="M956" s="53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</row>
    <row r="957" ht="12.75" customHeight="1">
      <c r="A957" s="101"/>
      <c r="B957" s="54"/>
      <c r="C957" s="102"/>
      <c r="D957" s="101"/>
      <c r="E957" s="101"/>
      <c r="F957" s="101"/>
      <c r="G957" s="101"/>
      <c r="H957" s="101"/>
      <c r="I957" s="101"/>
      <c r="J957" s="101"/>
      <c r="K957" s="101"/>
      <c r="L957" s="53"/>
      <c r="M957" s="53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</row>
    <row r="958" ht="12.75" customHeight="1">
      <c r="A958" s="101"/>
      <c r="B958" s="54"/>
      <c r="C958" s="102"/>
      <c r="D958" s="101"/>
      <c r="E958" s="101"/>
      <c r="F958" s="101"/>
      <c r="G958" s="101"/>
      <c r="H958" s="101"/>
      <c r="I958" s="101"/>
      <c r="J958" s="101"/>
      <c r="K958" s="101"/>
      <c r="L958" s="53"/>
      <c r="M958" s="53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</row>
    <row r="959" ht="12.75" customHeight="1">
      <c r="A959" s="101"/>
      <c r="B959" s="54"/>
      <c r="C959" s="102"/>
      <c r="D959" s="101"/>
      <c r="E959" s="101"/>
      <c r="F959" s="101"/>
      <c r="G959" s="101"/>
      <c r="H959" s="101"/>
      <c r="I959" s="101"/>
      <c r="J959" s="101"/>
      <c r="K959" s="101"/>
      <c r="L959" s="53"/>
      <c r="M959" s="53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</row>
    <row r="960" ht="12.75" customHeight="1">
      <c r="A960" s="101"/>
      <c r="B960" s="54"/>
      <c r="C960" s="102"/>
      <c r="D960" s="101"/>
      <c r="E960" s="101"/>
      <c r="F960" s="101"/>
      <c r="G960" s="101"/>
      <c r="H960" s="101"/>
      <c r="I960" s="101"/>
      <c r="J960" s="101"/>
      <c r="K960" s="101"/>
      <c r="L960" s="53"/>
      <c r="M960" s="53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</row>
    <row r="961" ht="12.75" customHeight="1">
      <c r="A961" s="101"/>
      <c r="B961" s="54"/>
      <c r="C961" s="102"/>
      <c r="D961" s="101"/>
      <c r="E961" s="101"/>
      <c r="F961" s="101"/>
      <c r="G961" s="101"/>
      <c r="H961" s="101"/>
      <c r="I961" s="101"/>
      <c r="J961" s="101"/>
      <c r="K961" s="101"/>
      <c r="L961" s="53"/>
      <c r="M961" s="53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</row>
    <row r="962" ht="12.75" customHeight="1">
      <c r="A962" s="101"/>
      <c r="B962" s="54"/>
      <c r="C962" s="102"/>
      <c r="D962" s="101"/>
      <c r="E962" s="101"/>
      <c r="F962" s="101"/>
      <c r="G962" s="101"/>
      <c r="H962" s="101"/>
      <c r="I962" s="101"/>
      <c r="J962" s="101"/>
      <c r="K962" s="101"/>
      <c r="L962" s="53"/>
      <c r="M962" s="53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</row>
    <row r="963" ht="12.75" customHeight="1">
      <c r="A963" s="101"/>
      <c r="B963" s="54"/>
      <c r="C963" s="102"/>
      <c r="D963" s="101"/>
      <c r="E963" s="101"/>
      <c r="F963" s="101"/>
      <c r="G963" s="101"/>
      <c r="H963" s="101"/>
      <c r="I963" s="101"/>
      <c r="J963" s="101"/>
      <c r="K963" s="101"/>
      <c r="L963" s="53"/>
      <c r="M963" s="53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</row>
    <row r="964" ht="12.75" customHeight="1">
      <c r="A964" s="101"/>
      <c r="B964" s="54"/>
      <c r="C964" s="102"/>
      <c r="D964" s="101"/>
      <c r="E964" s="101"/>
      <c r="F964" s="101"/>
      <c r="G964" s="101"/>
      <c r="H964" s="101"/>
      <c r="I964" s="101"/>
      <c r="J964" s="101"/>
      <c r="K964" s="101"/>
      <c r="L964" s="53"/>
      <c r="M964" s="53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</row>
    <row r="965" ht="12.75" customHeight="1">
      <c r="A965" s="101"/>
      <c r="B965" s="54"/>
      <c r="C965" s="102"/>
      <c r="D965" s="101"/>
      <c r="E965" s="101"/>
      <c r="F965" s="101"/>
      <c r="G965" s="101"/>
      <c r="H965" s="101"/>
      <c r="I965" s="101"/>
      <c r="J965" s="101"/>
      <c r="K965" s="101"/>
      <c r="L965" s="53"/>
      <c r="M965" s="53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</row>
    <row r="966" ht="12.75" customHeight="1">
      <c r="A966" s="101"/>
      <c r="B966" s="54"/>
      <c r="C966" s="102"/>
      <c r="D966" s="101"/>
      <c r="E966" s="101"/>
      <c r="F966" s="101"/>
      <c r="G966" s="101"/>
      <c r="H966" s="101"/>
      <c r="I966" s="101"/>
      <c r="J966" s="101"/>
      <c r="K966" s="101"/>
      <c r="L966" s="53"/>
      <c r="M966" s="53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</row>
    <row r="967" ht="12.75" customHeight="1">
      <c r="A967" s="101"/>
      <c r="B967" s="54"/>
      <c r="C967" s="102"/>
      <c r="D967" s="101"/>
      <c r="E967" s="101"/>
      <c r="F967" s="101"/>
      <c r="G967" s="101"/>
      <c r="H967" s="101"/>
      <c r="I967" s="101"/>
      <c r="J967" s="101"/>
      <c r="K967" s="101"/>
      <c r="L967" s="53"/>
      <c r="M967" s="53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</row>
    <row r="968" ht="12.75" customHeight="1">
      <c r="A968" s="101"/>
      <c r="B968" s="54"/>
      <c r="C968" s="102"/>
      <c r="D968" s="101"/>
      <c r="E968" s="101"/>
      <c r="F968" s="101"/>
      <c r="G968" s="101"/>
      <c r="H968" s="101"/>
      <c r="I968" s="101"/>
      <c r="J968" s="101"/>
      <c r="K968" s="101"/>
      <c r="L968" s="53"/>
      <c r="M968" s="53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</row>
    <row r="969" ht="12.75" customHeight="1">
      <c r="A969" s="101"/>
      <c r="B969" s="54"/>
      <c r="C969" s="102"/>
      <c r="D969" s="101"/>
      <c r="E969" s="101"/>
      <c r="F969" s="101"/>
      <c r="G969" s="101"/>
      <c r="H969" s="101"/>
      <c r="I969" s="101"/>
      <c r="J969" s="101"/>
      <c r="K969" s="101"/>
      <c r="L969" s="53"/>
      <c r="M969" s="53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</row>
    <row r="970" ht="12.75" customHeight="1">
      <c r="A970" s="101"/>
      <c r="B970" s="54"/>
      <c r="C970" s="102"/>
      <c r="D970" s="101"/>
      <c r="E970" s="101"/>
      <c r="F970" s="101"/>
      <c r="G970" s="101"/>
      <c r="H970" s="101"/>
      <c r="I970" s="101"/>
      <c r="J970" s="101"/>
      <c r="K970" s="101"/>
      <c r="L970" s="53"/>
      <c r="M970" s="53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</row>
    <row r="971" ht="12.75" customHeight="1">
      <c r="A971" s="101"/>
      <c r="B971" s="54"/>
      <c r="C971" s="102"/>
      <c r="D971" s="101"/>
      <c r="E971" s="101"/>
      <c r="F971" s="101"/>
      <c r="G971" s="101"/>
      <c r="H971" s="101"/>
      <c r="I971" s="101"/>
      <c r="J971" s="101"/>
      <c r="K971" s="101"/>
      <c r="L971" s="53"/>
      <c r="M971" s="53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</row>
    <row r="972" ht="12.75" customHeight="1">
      <c r="A972" s="101"/>
      <c r="B972" s="54"/>
      <c r="C972" s="102"/>
      <c r="D972" s="101"/>
      <c r="E972" s="101"/>
      <c r="F972" s="101"/>
      <c r="G972" s="101"/>
      <c r="H972" s="101"/>
      <c r="I972" s="101"/>
      <c r="J972" s="101"/>
      <c r="K972" s="101"/>
      <c r="L972" s="53"/>
      <c r="M972" s="53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</row>
    <row r="973" ht="12.75" customHeight="1">
      <c r="A973" s="101"/>
      <c r="B973" s="54"/>
      <c r="C973" s="102"/>
      <c r="D973" s="101"/>
      <c r="E973" s="101"/>
      <c r="F973" s="101"/>
      <c r="G973" s="101"/>
      <c r="H973" s="101"/>
      <c r="I973" s="101"/>
      <c r="J973" s="101"/>
      <c r="K973" s="101"/>
      <c r="L973" s="53"/>
      <c r="M973" s="53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</row>
    <row r="974" ht="12.75" customHeight="1">
      <c r="A974" s="101"/>
      <c r="B974" s="54"/>
      <c r="C974" s="102"/>
      <c r="D974" s="101"/>
      <c r="E974" s="101"/>
      <c r="F974" s="101"/>
      <c r="G974" s="101"/>
      <c r="H974" s="101"/>
      <c r="I974" s="101"/>
      <c r="J974" s="101"/>
      <c r="K974" s="101"/>
      <c r="L974" s="53"/>
      <c r="M974" s="53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</row>
    <row r="975" ht="12.75" customHeight="1">
      <c r="A975" s="101"/>
      <c r="B975" s="54"/>
      <c r="C975" s="102"/>
      <c r="D975" s="101"/>
      <c r="E975" s="101"/>
      <c r="F975" s="101"/>
      <c r="G975" s="101"/>
      <c r="H975" s="101"/>
      <c r="I975" s="101"/>
      <c r="J975" s="101"/>
      <c r="K975" s="101"/>
      <c r="L975" s="53"/>
      <c r="M975" s="53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</row>
    <row r="976" ht="12.75" customHeight="1">
      <c r="A976" s="101"/>
      <c r="B976" s="54"/>
      <c r="C976" s="102"/>
      <c r="D976" s="101"/>
      <c r="E976" s="101"/>
      <c r="F976" s="101"/>
      <c r="G976" s="101"/>
      <c r="H976" s="101"/>
      <c r="I976" s="101"/>
      <c r="J976" s="101"/>
      <c r="K976" s="101"/>
      <c r="L976" s="53"/>
      <c r="M976" s="53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</row>
    <row r="977" ht="12.75" customHeight="1">
      <c r="A977" s="101"/>
      <c r="B977" s="54"/>
      <c r="C977" s="102"/>
      <c r="D977" s="101"/>
      <c r="E977" s="101"/>
      <c r="F977" s="101"/>
      <c r="G977" s="101"/>
      <c r="H977" s="101"/>
      <c r="I977" s="101"/>
      <c r="J977" s="101"/>
      <c r="K977" s="101"/>
      <c r="L977" s="53"/>
      <c r="M977" s="53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</row>
    <row r="978" ht="12.75" customHeight="1">
      <c r="A978" s="101"/>
      <c r="B978" s="54"/>
      <c r="C978" s="102"/>
      <c r="D978" s="101"/>
      <c r="E978" s="101"/>
      <c r="F978" s="101"/>
      <c r="G978" s="101"/>
      <c r="H978" s="101"/>
      <c r="I978" s="101"/>
      <c r="J978" s="101"/>
      <c r="K978" s="101"/>
      <c r="L978" s="53"/>
      <c r="M978" s="53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</row>
    <row r="979" ht="12.75" customHeight="1">
      <c r="A979" s="101"/>
      <c r="B979" s="54"/>
      <c r="C979" s="102"/>
      <c r="D979" s="101"/>
      <c r="E979" s="101"/>
      <c r="F979" s="101"/>
      <c r="G979" s="101"/>
      <c r="H979" s="101"/>
      <c r="I979" s="101"/>
      <c r="J979" s="101"/>
      <c r="K979" s="101"/>
      <c r="L979" s="53"/>
      <c r="M979" s="53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</row>
    <row r="980" ht="12.75" customHeight="1">
      <c r="A980" s="101"/>
      <c r="B980" s="54"/>
      <c r="C980" s="102"/>
      <c r="D980" s="101"/>
      <c r="E980" s="101"/>
      <c r="F980" s="101"/>
      <c r="G980" s="101"/>
      <c r="H980" s="101"/>
      <c r="I980" s="101"/>
      <c r="J980" s="101"/>
      <c r="K980" s="101"/>
      <c r="L980" s="53"/>
      <c r="M980" s="53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</row>
    <row r="981" ht="12.75" customHeight="1">
      <c r="A981" s="101"/>
      <c r="B981" s="54"/>
      <c r="C981" s="102"/>
      <c r="D981" s="101"/>
      <c r="E981" s="101"/>
      <c r="F981" s="101"/>
      <c r="G981" s="101"/>
      <c r="H981" s="101"/>
      <c r="I981" s="101"/>
      <c r="J981" s="101"/>
      <c r="K981" s="101"/>
      <c r="L981" s="53"/>
      <c r="M981" s="53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</row>
    <row r="982" ht="12.75" customHeight="1">
      <c r="A982" s="101"/>
      <c r="B982" s="54"/>
      <c r="C982" s="102"/>
      <c r="D982" s="101"/>
      <c r="E982" s="101"/>
      <c r="F982" s="101"/>
      <c r="G982" s="101"/>
      <c r="H982" s="101"/>
      <c r="I982" s="101"/>
      <c r="J982" s="101"/>
      <c r="K982" s="101"/>
      <c r="L982" s="53"/>
      <c r="M982" s="53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</row>
    <row r="983" ht="12.75" customHeight="1">
      <c r="A983" s="101"/>
      <c r="B983" s="54"/>
      <c r="C983" s="102"/>
      <c r="D983" s="101"/>
      <c r="E983" s="101"/>
      <c r="F983" s="101"/>
      <c r="G983" s="101"/>
      <c r="H983" s="101"/>
      <c r="I983" s="101"/>
      <c r="J983" s="101"/>
      <c r="K983" s="101"/>
      <c r="L983" s="53"/>
      <c r="M983" s="53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</row>
    <row r="984" ht="12.75" customHeight="1">
      <c r="A984" s="101"/>
      <c r="B984" s="54"/>
      <c r="C984" s="102"/>
      <c r="D984" s="101"/>
      <c r="E984" s="101"/>
      <c r="F984" s="101"/>
      <c r="G984" s="101"/>
      <c r="H984" s="101"/>
      <c r="I984" s="101"/>
      <c r="J984" s="101"/>
      <c r="K984" s="101"/>
      <c r="L984" s="53"/>
      <c r="M984" s="53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</row>
    <row r="985" ht="12.75" customHeight="1">
      <c r="A985" s="101"/>
      <c r="B985" s="54"/>
      <c r="C985" s="102"/>
      <c r="D985" s="101"/>
      <c r="E985" s="101"/>
      <c r="F985" s="101"/>
      <c r="G985" s="101"/>
      <c r="H985" s="101"/>
      <c r="I985" s="101"/>
      <c r="J985" s="101"/>
      <c r="K985" s="101"/>
      <c r="L985" s="53"/>
      <c r="M985" s="53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</row>
    <row r="986" ht="12.75" customHeight="1">
      <c r="A986" s="101"/>
      <c r="B986" s="54"/>
      <c r="C986" s="102"/>
      <c r="D986" s="101"/>
      <c r="E986" s="101"/>
      <c r="F986" s="101"/>
      <c r="G986" s="101"/>
      <c r="H986" s="101"/>
      <c r="I986" s="101"/>
      <c r="J986" s="101"/>
      <c r="K986" s="101"/>
      <c r="L986" s="53"/>
      <c r="M986" s="53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</row>
    <row r="987" ht="12.75" customHeight="1">
      <c r="A987" s="101"/>
      <c r="B987" s="54"/>
      <c r="C987" s="102"/>
      <c r="D987" s="101"/>
      <c r="E987" s="101"/>
      <c r="F987" s="101"/>
      <c r="G987" s="101"/>
      <c r="H987" s="101"/>
      <c r="I987" s="101"/>
      <c r="J987" s="101"/>
      <c r="K987" s="101"/>
      <c r="L987" s="53"/>
      <c r="M987" s="53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</row>
    <row r="988" ht="12.75" customHeight="1">
      <c r="A988" s="101"/>
      <c r="B988" s="54"/>
      <c r="C988" s="102"/>
      <c r="D988" s="101"/>
      <c r="E988" s="101"/>
      <c r="F988" s="101"/>
      <c r="G988" s="101"/>
      <c r="H988" s="101"/>
      <c r="I988" s="101"/>
      <c r="J988" s="101"/>
      <c r="K988" s="101"/>
      <c r="L988" s="53"/>
      <c r="M988" s="53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</row>
    <row r="989" ht="12.75" customHeight="1">
      <c r="A989" s="101"/>
      <c r="B989" s="54"/>
      <c r="C989" s="102"/>
      <c r="D989" s="101"/>
      <c r="E989" s="101"/>
      <c r="F989" s="101"/>
      <c r="G989" s="101"/>
      <c r="H989" s="101"/>
      <c r="I989" s="101"/>
      <c r="J989" s="101"/>
      <c r="K989" s="101"/>
      <c r="L989" s="53"/>
      <c r="M989" s="53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</row>
    <row r="990" ht="12.75" customHeight="1">
      <c r="A990" s="101"/>
      <c r="B990" s="54"/>
      <c r="C990" s="102"/>
      <c r="D990" s="101"/>
      <c r="E990" s="101"/>
      <c r="F990" s="101"/>
      <c r="G990" s="101"/>
      <c r="H990" s="101"/>
      <c r="I990" s="101"/>
      <c r="J990" s="101"/>
      <c r="K990" s="101"/>
      <c r="L990" s="53"/>
      <c r="M990" s="53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</row>
    <row r="991" ht="12.75" customHeight="1">
      <c r="A991" s="101"/>
      <c r="B991" s="54"/>
      <c r="C991" s="102"/>
      <c r="D991" s="101"/>
      <c r="E991" s="101"/>
      <c r="F991" s="101"/>
      <c r="G991" s="101"/>
      <c r="H991" s="101"/>
      <c r="I991" s="101"/>
      <c r="J991" s="101"/>
      <c r="K991" s="101"/>
      <c r="L991" s="53"/>
      <c r="M991" s="53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</row>
    <row r="992" ht="12.75" customHeight="1">
      <c r="A992" s="101"/>
      <c r="B992" s="54"/>
      <c r="C992" s="102"/>
      <c r="D992" s="101"/>
      <c r="E992" s="101"/>
      <c r="F992" s="101"/>
      <c r="G992" s="101"/>
      <c r="H992" s="101"/>
      <c r="I992" s="101"/>
      <c r="J992" s="101"/>
      <c r="K992" s="101"/>
      <c r="L992" s="53"/>
      <c r="M992" s="53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</row>
    <row r="993" ht="12.75" customHeight="1">
      <c r="A993" s="101"/>
      <c r="B993" s="54"/>
      <c r="C993" s="102"/>
      <c r="D993" s="101"/>
      <c r="E993" s="101"/>
      <c r="F993" s="101"/>
      <c r="G993" s="101"/>
      <c r="H993" s="101"/>
      <c r="I993" s="101"/>
      <c r="J993" s="101"/>
      <c r="K993" s="101"/>
      <c r="L993" s="53"/>
      <c r="M993" s="53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</row>
    <row r="994" ht="12.75" customHeight="1">
      <c r="A994" s="101"/>
      <c r="B994" s="54"/>
      <c r="C994" s="102"/>
      <c r="D994" s="101"/>
      <c r="E994" s="101"/>
      <c r="F994" s="101"/>
      <c r="G994" s="101"/>
      <c r="H994" s="101"/>
      <c r="I994" s="101"/>
      <c r="J994" s="101"/>
      <c r="K994" s="101"/>
      <c r="L994" s="53"/>
      <c r="M994" s="53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</row>
    <row r="995" ht="12.75" customHeight="1">
      <c r="A995" s="101"/>
      <c r="B995" s="54"/>
      <c r="C995" s="102"/>
      <c r="D995" s="101"/>
      <c r="E995" s="101"/>
      <c r="F995" s="101"/>
      <c r="G995" s="101"/>
      <c r="H995" s="101"/>
      <c r="I995" s="101"/>
      <c r="J995" s="101"/>
      <c r="K995" s="101"/>
      <c r="L995" s="53"/>
      <c r="M995" s="53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</row>
    <row r="996" ht="12.75" customHeight="1">
      <c r="A996" s="101"/>
      <c r="B996" s="54"/>
      <c r="C996" s="102"/>
      <c r="D996" s="101"/>
      <c r="E996" s="101"/>
      <c r="F996" s="101"/>
      <c r="G996" s="101"/>
      <c r="H996" s="101"/>
      <c r="I996" s="101"/>
      <c r="J996" s="101"/>
      <c r="K996" s="101"/>
      <c r="L996" s="53"/>
      <c r="M996" s="53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</row>
  </sheetData>
  <autoFilter ref="$A$2:$M$60"/>
  <mergeCells count="2">
    <mergeCell ref="A1:K1"/>
    <mergeCell ref="A52:K5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57"/>
    <col customWidth="1" min="2" max="2" width="90.0"/>
    <col customWidth="1" min="3" max="3" width="0.43"/>
    <col customWidth="1" hidden="1" min="4" max="5" width="15.14"/>
    <col customWidth="1" hidden="1" min="6" max="6" width="14.0"/>
    <col customWidth="1" min="7" max="7" width="14.0"/>
    <col customWidth="1" hidden="1" min="8" max="8" width="14.0"/>
    <col customWidth="1" min="9" max="9" width="14.0"/>
    <col customWidth="1" min="10" max="10" width="18.57"/>
    <col customWidth="1" min="11" max="11" width="0.43"/>
    <col customWidth="1" min="12" max="12" width="18.71"/>
    <col customWidth="1" min="13" max="13" width="19.43"/>
    <col customWidth="1" min="14" max="15" width="9.0"/>
    <col customWidth="1" min="16" max="16" width="3.14"/>
    <col customWidth="1" min="17" max="17" width="9.0"/>
    <col customWidth="1" min="18" max="18" width="2.0"/>
    <col customWidth="1" min="19" max="19" width="10.57"/>
    <col customWidth="1" min="20" max="20" width="9.0"/>
    <col customWidth="1" min="21" max="21" width="18.71"/>
    <col customWidth="1" min="22" max="30" width="9.0"/>
  </cols>
  <sheetData>
    <row r="1" ht="40.5" customHeight="1">
      <c r="A1" s="52"/>
      <c r="M1" s="53"/>
      <c r="N1" s="53"/>
      <c r="O1" s="53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</row>
    <row r="2" ht="48.0" customHeight="1">
      <c r="A2" s="55" t="s">
        <v>15</v>
      </c>
      <c r="B2" s="56" t="s">
        <v>16</v>
      </c>
      <c r="C2" s="57" t="s">
        <v>17</v>
      </c>
      <c r="D2" s="58" t="s">
        <v>88</v>
      </c>
      <c r="E2" s="59" t="s">
        <v>19</v>
      </c>
      <c r="F2" s="60" t="s">
        <v>20</v>
      </c>
      <c r="G2" s="60"/>
      <c r="H2" s="60" t="s">
        <v>21</v>
      </c>
      <c r="I2" s="60" t="s">
        <v>22</v>
      </c>
      <c r="J2" s="61" t="s">
        <v>23</v>
      </c>
      <c r="K2" s="62"/>
      <c r="L2" s="63" t="s">
        <v>24</v>
      </c>
      <c r="M2" s="106" t="s">
        <v>89</v>
      </c>
      <c r="N2" s="64" t="s">
        <v>25</v>
      </c>
      <c r="O2" s="65" t="s">
        <v>26</v>
      </c>
      <c r="P2" s="54"/>
      <c r="Q2" s="66" t="s">
        <v>27</v>
      </c>
      <c r="R2" s="54"/>
      <c r="S2" s="66" t="s">
        <v>28</v>
      </c>
      <c r="T2" s="54"/>
      <c r="V2" s="54"/>
      <c r="W2" s="54"/>
      <c r="X2" s="54"/>
      <c r="Y2" s="54"/>
      <c r="Z2" s="54"/>
      <c r="AA2" s="54"/>
      <c r="AB2" s="54"/>
      <c r="AC2" s="54"/>
      <c r="AD2" s="54"/>
    </row>
    <row r="3">
      <c r="A3" s="67">
        <v>65015.0</v>
      </c>
      <c r="B3" s="86" t="s">
        <v>90</v>
      </c>
      <c r="C3" s="69">
        <v>1800.0</v>
      </c>
      <c r="D3" s="70">
        <v>262.23</v>
      </c>
      <c r="E3" s="70">
        <f t="shared" ref="E3:E51" si="1">D3*1.21</f>
        <v>317.2983</v>
      </c>
      <c r="F3" s="71">
        <v>472014.0</v>
      </c>
      <c r="G3" s="71"/>
      <c r="H3" s="71">
        <f t="shared" ref="H3:H51" si="2">E3*C3</f>
        <v>571136.94</v>
      </c>
      <c r="I3" s="71">
        <f t="shared" ref="I3:I51" si="3">H3/C3</f>
        <v>317.2983</v>
      </c>
      <c r="J3" s="72">
        <f t="shared" ref="J3:J51" si="4">L3*0.95</f>
        <v>1416.73691</v>
      </c>
      <c r="K3" s="71"/>
      <c r="L3" s="73">
        <f>I3*4.7</f>
        <v>1491.30201</v>
      </c>
      <c r="M3" s="107">
        <v>1500.0</v>
      </c>
      <c r="N3" s="74">
        <v>6.0</v>
      </c>
      <c r="O3" s="75">
        <f t="shared" ref="O3:O42" si="5">C3-N3</f>
        <v>1794</v>
      </c>
      <c r="P3" s="54"/>
      <c r="Q3" s="76">
        <f t="shared" ref="Q3:Q51" si="6">ROUNDUP(J3,-2)</f>
        <v>1500</v>
      </c>
      <c r="R3" s="54"/>
      <c r="S3" s="76">
        <f t="shared" ref="S3:S51" si="7">ROUNDUP(L3,-2)</f>
        <v>1500</v>
      </c>
      <c r="T3" s="54"/>
      <c r="V3" s="54"/>
      <c r="W3" s="54"/>
      <c r="X3" s="54"/>
      <c r="Y3" s="54"/>
      <c r="Z3" s="54"/>
      <c r="AA3" s="54"/>
      <c r="AB3" s="54"/>
      <c r="AC3" s="54"/>
      <c r="AD3" s="54"/>
    </row>
    <row r="4">
      <c r="A4" s="67">
        <v>86501.0</v>
      </c>
      <c r="B4" s="77" t="s">
        <v>91</v>
      </c>
      <c r="C4" s="69">
        <v>720.0</v>
      </c>
      <c r="D4" s="70">
        <v>290.04</v>
      </c>
      <c r="E4" s="70">
        <f t="shared" si="1"/>
        <v>350.9484</v>
      </c>
      <c r="F4" s="71">
        <v>208828.8</v>
      </c>
      <c r="G4" s="71"/>
      <c r="H4" s="71">
        <f t="shared" si="2"/>
        <v>252682.848</v>
      </c>
      <c r="I4" s="71">
        <f t="shared" si="3"/>
        <v>350.9484</v>
      </c>
      <c r="J4" s="72">
        <f t="shared" si="4"/>
        <v>1500.30441</v>
      </c>
      <c r="K4" s="71"/>
      <c r="L4" s="73">
        <f t="shared" ref="L4:L5" si="8">I4*4.5</f>
        <v>1579.2678</v>
      </c>
      <c r="M4" s="107">
        <v>1550.0</v>
      </c>
      <c r="N4" s="78"/>
      <c r="O4" s="75">
        <f t="shared" si="5"/>
        <v>720</v>
      </c>
      <c r="P4" s="54"/>
      <c r="Q4" s="76">
        <f t="shared" si="6"/>
        <v>1600</v>
      </c>
      <c r="R4" s="54"/>
      <c r="S4" s="76">
        <f t="shared" si="7"/>
        <v>1600</v>
      </c>
      <c r="T4" s="54"/>
      <c r="V4" s="66"/>
      <c r="W4" s="54"/>
      <c r="X4" s="54"/>
      <c r="Y4" s="54"/>
      <c r="Z4" s="54"/>
      <c r="AA4" s="54"/>
      <c r="AB4" s="54"/>
      <c r="AC4" s="54"/>
      <c r="AD4" s="54"/>
    </row>
    <row r="5">
      <c r="A5" s="67">
        <v>86502.0</v>
      </c>
      <c r="B5" s="77" t="s">
        <v>92</v>
      </c>
      <c r="C5" s="69">
        <v>300.0</v>
      </c>
      <c r="D5" s="70">
        <v>290.04</v>
      </c>
      <c r="E5" s="70">
        <f t="shared" si="1"/>
        <v>350.9484</v>
      </c>
      <c r="F5" s="71">
        <v>87012.0</v>
      </c>
      <c r="G5" s="71"/>
      <c r="H5" s="71">
        <f t="shared" si="2"/>
        <v>105284.52</v>
      </c>
      <c r="I5" s="71">
        <f t="shared" si="3"/>
        <v>350.9484</v>
      </c>
      <c r="J5" s="72">
        <f t="shared" si="4"/>
        <v>1500.30441</v>
      </c>
      <c r="K5" s="71"/>
      <c r="L5" s="73">
        <f t="shared" si="8"/>
        <v>1579.2678</v>
      </c>
      <c r="M5" s="107">
        <v>1550.0</v>
      </c>
      <c r="N5" s="78"/>
      <c r="O5" s="75">
        <f t="shared" si="5"/>
        <v>300</v>
      </c>
      <c r="P5" s="54"/>
      <c r="Q5" s="76">
        <f t="shared" si="6"/>
        <v>1600</v>
      </c>
      <c r="R5" s="54"/>
      <c r="S5" s="76">
        <f t="shared" si="7"/>
        <v>1600</v>
      </c>
      <c r="T5" s="54"/>
      <c r="V5" s="54"/>
      <c r="W5" s="54"/>
      <c r="X5" s="54"/>
      <c r="Y5" s="54"/>
      <c r="Z5" s="54"/>
      <c r="AA5" s="54"/>
      <c r="AB5" s="54"/>
      <c r="AC5" s="54"/>
      <c r="AD5" s="54"/>
    </row>
    <row r="6">
      <c r="A6" s="67">
        <v>86503.0</v>
      </c>
      <c r="B6" s="77" t="s">
        <v>93</v>
      </c>
      <c r="C6" s="69">
        <v>180.0</v>
      </c>
      <c r="D6" s="70">
        <v>290.04</v>
      </c>
      <c r="E6" s="70">
        <f t="shared" si="1"/>
        <v>350.9484</v>
      </c>
      <c r="F6" s="71">
        <v>52207.2</v>
      </c>
      <c r="G6" s="71"/>
      <c r="H6" s="71">
        <f t="shared" si="2"/>
        <v>63170.712</v>
      </c>
      <c r="I6" s="71">
        <f t="shared" si="3"/>
        <v>350.9484</v>
      </c>
      <c r="J6" s="72">
        <f t="shared" si="4"/>
        <v>1466.964312</v>
      </c>
      <c r="K6" s="71"/>
      <c r="L6" s="73">
        <f>I6*4.4</f>
        <v>1544.17296</v>
      </c>
      <c r="M6" s="107">
        <v>1550.0</v>
      </c>
      <c r="N6" s="78"/>
      <c r="O6" s="75">
        <f t="shared" si="5"/>
        <v>180</v>
      </c>
      <c r="P6" s="54"/>
      <c r="Q6" s="76">
        <f t="shared" si="6"/>
        <v>1500</v>
      </c>
      <c r="R6" s="54"/>
      <c r="S6" s="76">
        <f t="shared" si="7"/>
        <v>1600</v>
      </c>
      <c r="T6" s="54"/>
      <c r="V6" s="54"/>
      <c r="W6" s="54"/>
      <c r="X6" s="54"/>
      <c r="Y6" s="54"/>
      <c r="Z6" s="54"/>
      <c r="AA6" s="54"/>
      <c r="AB6" s="54"/>
      <c r="AC6" s="54"/>
      <c r="AD6" s="54"/>
    </row>
    <row r="7">
      <c r="A7" s="67">
        <v>86515.0</v>
      </c>
      <c r="B7" s="77" t="s">
        <v>94</v>
      </c>
      <c r="C7" s="69">
        <v>30.0</v>
      </c>
      <c r="D7" s="70">
        <v>959.07</v>
      </c>
      <c r="E7" s="70">
        <f t="shared" si="1"/>
        <v>1160.4747</v>
      </c>
      <c r="F7" s="71">
        <v>28772.1</v>
      </c>
      <c r="G7" s="71"/>
      <c r="H7" s="71">
        <f t="shared" si="2"/>
        <v>34814.241</v>
      </c>
      <c r="I7" s="71">
        <f t="shared" si="3"/>
        <v>1160.4747</v>
      </c>
      <c r="J7" s="72">
        <f t="shared" si="4"/>
        <v>2645.882316</v>
      </c>
      <c r="K7" s="71"/>
      <c r="L7" s="73">
        <f t="shared" ref="L7:L14" si="9">I7*2.4</f>
        <v>2785.13928</v>
      </c>
      <c r="M7" s="107">
        <v>2800.0</v>
      </c>
      <c r="N7" s="78"/>
      <c r="O7" s="75">
        <f t="shared" si="5"/>
        <v>30</v>
      </c>
      <c r="P7" s="54"/>
      <c r="Q7" s="76">
        <f t="shared" si="6"/>
        <v>2700</v>
      </c>
      <c r="R7" s="54"/>
      <c r="S7" s="76">
        <f t="shared" si="7"/>
        <v>2800</v>
      </c>
      <c r="T7" s="54"/>
      <c r="V7" s="54"/>
      <c r="W7" s="54"/>
      <c r="X7" s="54"/>
      <c r="Y7" s="54"/>
      <c r="Z7" s="54"/>
      <c r="AA7" s="54"/>
      <c r="AB7" s="54"/>
      <c r="AC7" s="54"/>
      <c r="AD7" s="54"/>
    </row>
    <row r="8">
      <c r="A8" s="67">
        <v>86516.0</v>
      </c>
      <c r="B8" s="77" t="s">
        <v>95</v>
      </c>
      <c r="C8" s="69">
        <v>30.0</v>
      </c>
      <c r="D8" s="70">
        <v>959.07</v>
      </c>
      <c r="E8" s="70">
        <f t="shared" si="1"/>
        <v>1160.4747</v>
      </c>
      <c r="F8" s="71">
        <v>28772.1</v>
      </c>
      <c r="G8" s="71"/>
      <c r="H8" s="71">
        <f t="shared" si="2"/>
        <v>34814.241</v>
      </c>
      <c r="I8" s="71">
        <f t="shared" si="3"/>
        <v>1160.4747</v>
      </c>
      <c r="J8" s="72">
        <f t="shared" si="4"/>
        <v>2645.882316</v>
      </c>
      <c r="K8" s="71"/>
      <c r="L8" s="73">
        <f t="shared" si="9"/>
        <v>2785.13928</v>
      </c>
      <c r="M8" s="107">
        <v>2800.0</v>
      </c>
      <c r="N8" s="78"/>
      <c r="O8" s="75">
        <f t="shared" si="5"/>
        <v>30</v>
      </c>
      <c r="P8" s="54"/>
      <c r="Q8" s="76">
        <f t="shared" si="6"/>
        <v>2700</v>
      </c>
      <c r="R8" s="54"/>
      <c r="S8" s="76">
        <f t="shared" si="7"/>
        <v>2800</v>
      </c>
      <c r="T8" s="54"/>
      <c r="V8" s="54"/>
      <c r="W8" s="54"/>
      <c r="X8" s="54"/>
      <c r="Y8" s="54"/>
      <c r="Z8" s="54"/>
      <c r="AA8" s="54"/>
      <c r="AB8" s="54"/>
      <c r="AC8" s="54"/>
      <c r="AD8" s="54"/>
    </row>
    <row r="9">
      <c r="A9" s="67">
        <v>86517.0</v>
      </c>
      <c r="B9" s="77" t="s">
        <v>96</v>
      </c>
      <c r="C9" s="69">
        <v>30.0</v>
      </c>
      <c r="D9" s="70">
        <v>959.07</v>
      </c>
      <c r="E9" s="70">
        <f t="shared" si="1"/>
        <v>1160.4747</v>
      </c>
      <c r="F9" s="71">
        <v>28772.1</v>
      </c>
      <c r="G9" s="71"/>
      <c r="H9" s="71">
        <f t="shared" si="2"/>
        <v>34814.241</v>
      </c>
      <c r="I9" s="71">
        <f t="shared" si="3"/>
        <v>1160.4747</v>
      </c>
      <c r="J9" s="72">
        <f t="shared" si="4"/>
        <v>2645.882316</v>
      </c>
      <c r="K9" s="71"/>
      <c r="L9" s="73">
        <f t="shared" si="9"/>
        <v>2785.13928</v>
      </c>
      <c r="M9" s="107">
        <v>2800.0</v>
      </c>
      <c r="N9" s="78"/>
      <c r="O9" s="75">
        <f t="shared" si="5"/>
        <v>30</v>
      </c>
      <c r="P9" s="54"/>
      <c r="Q9" s="76">
        <f t="shared" si="6"/>
        <v>2700</v>
      </c>
      <c r="R9" s="54"/>
      <c r="S9" s="76">
        <f t="shared" si="7"/>
        <v>2800</v>
      </c>
      <c r="T9" s="54"/>
      <c r="V9" s="54"/>
      <c r="W9" s="54"/>
      <c r="X9" s="54"/>
      <c r="Y9" s="54"/>
      <c r="Z9" s="54"/>
      <c r="AA9" s="54"/>
      <c r="AB9" s="54"/>
      <c r="AC9" s="54"/>
      <c r="AD9" s="54"/>
    </row>
    <row r="10">
      <c r="A10" s="67">
        <v>86518.0</v>
      </c>
      <c r="B10" s="77" t="s">
        <v>97</v>
      </c>
      <c r="C10" s="69">
        <v>30.0</v>
      </c>
      <c r="D10" s="70">
        <v>959.07</v>
      </c>
      <c r="E10" s="70">
        <f t="shared" si="1"/>
        <v>1160.4747</v>
      </c>
      <c r="F10" s="71">
        <v>28772.1</v>
      </c>
      <c r="G10" s="71"/>
      <c r="H10" s="71">
        <f t="shared" si="2"/>
        <v>34814.241</v>
      </c>
      <c r="I10" s="71">
        <f t="shared" si="3"/>
        <v>1160.4747</v>
      </c>
      <c r="J10" s="72">
        <f t="shared" si="4"/>
        <v>2645.882316</v>
      </c>
      <c r="K10" s="71"/>
      <c r="L10" s="73">
        <f t="shared" si="9"/>
        <v>2785.13928</v>
      </c>
      <c r="M10" s="107">
        <v>2800.0</v>
      </c>
      <c r="N10" s="74">
        <v>6.0</v>
      </c>
      <c r="O10" s="75">
        <f t="shared" si="5"/>
        <v>24</v>
      </c>
      <c r="P10" s="54"/>
      <c r="Q10" s="76">
        <f t="shared" si="6"/>
        <v>2700</v>
      </c>
      <c r="R10" s="54"/>
      <c r="S10" s="76">
        <f t="shared" si="7"/>
        <v>2800</v>
      </c>
      <c r="T10" s="54"/>
      <c r="V10" s="54"/>
      <c r="W10" s="54"/>
      <c r="X10" s="54"/>
      <c r="Y10" s="54"/>
      <c r="Z10" s="54"/>
      <c r="AA10" s="54"/>
      <c r="AB10" s="54"/>
      <c r="AC10" s="54"/>
      <c r="AD10" s="54"/>
    </row>
    <row r="11">
      <c r="A11" s="67">
        <v>86519.0</v>
      </c>
      <c r="B11" s="77" t="s">
        <v>98</v>
      </c>
      <c r="C11" s="69">
        <v>30.0</v>
      </c>
      <c r="D11" s="70">
        <v>959.07</v>
      </c>
      <c r="E11" s="70">
        <f t="shared" si="1"/>
        <v>1160.4747</v>
      </c>
      <c r="F11" s="71">
        <v>28772.1</v>
      </c>
      <c r="G11" s="71"/>
      <c r="H11" s="71">
        <f t="shared" si="2"/>
        <v>34814.241</v>
      </c>
      <c r="I11" s="71">
        <f t="shared" si="3"/>
        <v>1160.4747</v>
      </c>
      <c r="J11" s="72">
        <f t="shared" si="4"/>
        <v>2645.882316</v>
      </c>
      <c r="K11" s="71"/>
      <c r="L11" s="73">
        <f t="shared" si="9"/>
        <v>2785.13928</v>
      </c>
      <c r="M11" s="107">
        <v>2800.0</v>
      </c>
      <c r="N11" s="78"/>
      <c r="O11" s="75">
        <f t="shared" si="5"/>
        <v>30</v>
      </c>
      <c r="P11" s="54"/>
      <c r="Q11" s="76">
        <f t="shared" si="6"/>
        <v>2700</v>
      </c>
      <c r="R11" s="54"/>
      <c r="S11" s="76">
        <f t="shared" si="7"/>
        <v>2800</v>
      </c>
      <c r="T11" s="54"/>
      <c r="V11" s="54"/>
      <c r="W11" s="54"/>
      <c r="X11" s="54"/>
      <c r="Y11" s="54"/>
      <c r="Z11" s="54"/>
      <c r="AA11" s="54"/>
      <c r="AB11" s="54"/>
      <c r="AC11" s="54"/>
      <c r="AD11" s="54"/>
    </row>
    <row r="12">
      <c r="A12" s="67">
        <v>86520.0</v>
      </c>
      <c r="B12" s="77" t="s">
        <v>99</v>
      </c>
      <c r="C12" s="69">
        <v>30.0</v>
      </c>
      <c r="D12" s="70">
        <v>959.07</v>
      </c>
      <c r="E12" s="70">
        <f t="shared" si="1"/>
        <v>1160.4747</v>
      </c>
      <c r="F12" s="71">
        <v>28772.1</v>
      </c>
      <c r="G12" s="71"/>
      <c r="H12" s="71">
        <f t="shared" si="2"/>
        <v>34814.241</v>
      </c>
      <c r="I12" s="71">
        <f t="shared" si="3"/>
        <v>1160.4747</v>
      </c>
      <c r="J12" s="72">
        <f t="shared" si="4"/>
        <v>2645.882316</v>
      </c>
      <c r="K12" s="71"/>
      <c r="L12" s="73">
        <f t="shared" si="9"/>
        <v>2785.13928</v>
      </c>
      <c r="M12" s="107">
        <v>2800.0</v>
      </c>
      <c r="N12" s="78"/>
      <c r="O12" s="75">
        <f t="shared" si="5"/>
        <v>30</v>
      </c>
      <c r="P12" s="54"/>
      <c r="Q12" s="76">
        <f t="shared" si="6"/>
        <v>2700</v>
      </c>
      <c r="R12" s="54"/>
      <c r="S12" s="76">
        <f t="shared" si="7"/>
        <v>2800</v>
      </c>
      <c r="T12" s="54"/>
      <c r="V12" s="54"/>
      <c r="W12" s="54"/>
      <c r="X12" s="54"/>
      <c r="Y12" s="54"/>
      <c r="Z12" s="54"/>
      <c r="AA12" s="54"/>
      <c r="AB12" s="54"/>
      <c r="AC12" s="54"/>
      <c r="AD12" s="54"/>
    </row>
    <row r="13">
      <c r="A13" s="67">
        <v>86521.0</v>
      </c>
      <c r="B13" s="77" t="s">
        <v>100</v>
      </c>
      <c r="C13" s="69">
        <v>30.0</v>
      </c>
      <c r="D13" s="70">
        <v>959.07</v>
      </c>
      <c r="E13" s="70">
        <f t="shared" si="1"/>
        <v>1160.4747</v>
      </c>
      <c r="F13" s="71">
        <v>28772.1</v>
      </c>
      <c r="G13" s="71"/>
      <c r="H13" s="71">
        <f t="shared" si="2"/>
        <v>34814.241</v>
      </c>
      <c r="I13" s="71">
        <f t="shared" si="3"/>
        <v>1160.4747</v>
      </c>
      <c r="J13" s="72">
        <f t="shared" si="4"/>
        <v>2645.882316</v>
      </c>
      <c r="K13" s="71"/>
      <c r="L13" s="73">
        <f t="shared" si="9"/>
        <v>2785.13928</v>
      </c>
      <c r="M13" s="107">
        <v>2800.0</v>
      </c>
      <c r="N13" s="78"/>
      <c r="O13" s="75">
        <f t="shared" si="5"/>
        <v>30</v>
      </c>
      <c r="P13" s="54"/>
      <c r="Q13" s="76">
        <f t="shared" si="6"/>
        <v>2700</v>
      </c>
      <c r="R13" s="54"/>
      <c r="S13" s="76">
        <f t="shared" si="7"/>
        <v>2800</v>
      </c>
      <c r="T13" s="54"/>
      <c r="V13" s="54"/>
      <c r="W13" s="54"/>
      <c r="X13" s="54"/>
      <c r="Y13" s="54"/>
      <c r="Z13" s="54"/>
      <c r="AA13" s="54"/>
      <c r="AB13" s="54"/>
      <c r="AC13" s="54"/>
      <c r="AD13" s="54"/>
    </row>
    <row r="14">
      <c r="A14" s="67">
        <v>86522.0</v>
      </c>
      <c r="B14" s="77" t="s">
        <v>101</v>
      </c>
      <c r="C14" s="69">
        <v>30.0</v>
      </c>
      <c r="D14" s="70">
        <v>959.07</v>
      </c>
      <c r="E14" s="70">
        <f t="shared" si="1"/>
        <v>1160.4747</v>
      </c>
      <c r="F14" s="71">
        <v>28772.1</v>
      </c>
      <c r="G14" s="71"/>
      <c r="H14" s="71">
        <f t="shared" si="2"/>
        <v>34814.241</v>
      </c>
      <c r="I14" s="71">
        <f t="shared" si="3"/>
        <v>1160.4747</v>
      </c>
      <c r="J14" s="72">
        <f t="shared" si="4"/>
        <v>2645.882316</v>
      </c>
      <c r="K14" s="71"/>
      <c r="L14" s="73">
        <f t="shared" si="9"/>
        <v>2785.13928</v>
      </c>
      <c r="M14" s="107">
        <v>2800.0</v>
      </c>
      <c r="N14" s="78"/>
      <c r="O14" s="75">
        <f t="shared" si="5"/>
        <v>30</v>
      </c>
      <c r="P14" s="54"/>
      <c r="Q14" s="76">
        <f t="shared" si="6"/>
        <v>2700</v>
      </c>
      <c r="R14" s="54"/>
      <c r="S14" s="76">
        <f t="shared" si="7"/>
        <v>2800</v>
      </c>
      <c r="T14" s="54"/>
      <c r="V14" s="54"/>
      <c r="W14" s="54"/>
      <c r="X14" s="54"/>
      <c r="Y14" s="54"/>
      <c r="Z14" s="54"/>
      <c r="AA14" s="54"/>
      <c r="AB14" s="54"/>
      <c r="AC14" s="54"/>
      <c r="AD14" s="54"/>
    </row>
    <row r="15">
      <c r="A15" s="67">
        <v>86508.0</v>
      </c>
      <c r="B15" s="77" t="s">
        <v>102</v>
      </c>
      <c r="C15" s="69">
        <v>30.0</v>
      </c>
      <c r="D15" s="71">
        <v>1447.58</v>
      </c>
      <c r="E15" s="70">
        <f t="shared" si="1"/>
        <v>1751.5718</v>
      </c>
      <c r="F15" s="71">
        <v>43427.4</v>
      </c>
      <c r="G15" s="71"/>
      <c r="H15" s="71">
        <f t="shared" si="2"/>
        <v>52547.154</v>
      </c>
      <c r="I15" s="71">
        <f t="shared" si="3"/>
        <v>1751.5718</v>
      </c>
      <c r="J15" s="72">
        <f t="shared" si="4"/>
        <v>3743.984723</v>
      </c>
      <c r="K15" s="71"/>
      <c r="L15" s="73">
        <f t="shared" ref="L15:L16" si="10">I15*2.25</f>
        <v>3941.03655</v>
      </c>
      <c r="M15" s="107">
        <v>4000.0</v>
      </c>
      <c r="N15" s="78"/>
      <c r="O15" s="75">
        <f t="shared" si="5"/>
        <v>30</v>
      </c>
      <c r="P15" s="54"/>
      <c r="Q15" s="76">
        <f t="shared" si="6"/>
        <v>3800</v>
      </c>
      <c r="R15" s="54"/>
      <c r="S15" s="76">
        <f t="shared" si="7"/>
        <v>4000</v>
      </c>
      <c r="T15" s="54"/>
      <c r="V15" s="54"/>
      <c r="W15" s="54"/>
      <c r="X15" s="54"/>
      <c r="Y15" s="54"/>
      <c r="Z15" s="54"/>
      <c r="AA15" s="54"/>
      <c r="AB15" s="54"/>
      <c r="AC15" s="54"/>
      <c r="AD15" s="54"/>
    </row>
    <row r="16">
      <c r="A16" s="67">
        <v>86510.0</v>
      </c>
      <c r="B16" s="77" t="s">
        <v>103</v>
      </c>
      <c r="C16" s="69">
        <v>30.0</v>
      </c>
      <c r="D16" s="71">
        <v>1447.58</v>
      </c>
      <c r="E16" s="70">
        <f t="shared" si="1"/>
        <v>1751.5718</v>
      </c>
      <c r="F16" s="71">
        <v>43427.4</v>
      </c>
      <c r="G16" s="71"/>
      <c r="H16" s="71">
        <f t="shared" si="2"/>
        <v>52547.154</v>
      </c>
      <c r="I16" s="71">
        <f t="shared" si="3"/>
        <v>1751.5718</v>
      </c>
      <c r="J16" s="72">
        <f t="shared" si="4"/>
        <v>3743.984723</v>
      </c>
      <c r="K16" s="71"/>
      <c r="L16" s="73">
        <f t="shared" si="10"/>
        <v>3941.03655</v>
      </c>
      <c r="M16" s="107">
        <v>4000.0</v>
      </c>
      <c r="N16" s="78"/>
      <c r="O16" s="75">
        <f t="shared" si="5"/>
        <v>30</v>
      </c>
      <c r="P16" s="54"/>
      <c r="Q16" s="76">
        <f t="shared" si="6"/>
        <v>3800</v>
      </c>
      <c r="R16" s="54"/>
      <c r="S16" s="76">
        <f t="shared" si="7"/>
        <v>4000</v>
      </c>
      <c r="T16" s="54"/>
      <c r="V16" s="54"/>
      <c r="W16" s="54"/>
      <c r="X16" s="54"/>
      <c r="Y16" s="54"/>
      <c r="Z16" s="54"/>
      <c r="AA16" s="54"/>
      <c r="AB16" s="54"/>
      <c r="AC16" s="54"/>
      <c r="AD16" s="54"/>
    </row>
    <row r="17">
      <c r="A17" s="67">
        <v>45231.0</v>
      </c>
      <c r="B17" s="79" t="s">
        <v>43</v>
      </c>
      <c r="C17" s="69">
        <v>360.0</v>
      </c>
      <c r="D17" s="70">
        <v>865.66</v>
      </c>
      <c r="E17" s="70">
        <f t="shared" si="1"/>
        <v>1047.4486</v>
      </c>
      <c r="F17" s="71">
        <v>311637.6</v>
      </c>
      <c r="G17" s="71"/>
      <c r="H17" s="71">
        <f t="shared" si="2"/>
        <v>377081.496</v>
      </c>
      <c r="I17" s="71">
        <f t="shared" si="3"/>
        <v>1047.4486</v>
      </c>
      <c r="J17" s="72">
        <f t="shared" si="4"/>
        <v>2089.659957</v>
      </c>
      <c r="K17" s="71"/>
      <c r="L17" s="73">
        <f t="shared" ref="L17:L19" si="11">I17*2.1</f>
        <v>2199.64206</v>
      </c>
      <c r="M17" s="107">
        <v>2200.0</v>
      </c>
      <c r="N17" s="74">
        <v>1.0</v>
      </c>
      <c r="O17" s="75">
        <f t="shared" si="5"/>
        <v>359</v>
      </c>
      <c r="P17" s="54"/>
      <c r="Q17" s="76">
        <f t="shared" si="6"/>
        <v>2100</v>
      </c>
      <c r="R17" s="54"/>
      <c r="S17" s="76">
        <f t="shared" si="7"/>
        <v>2200</v>
      </c>
      <c r="T17" s="54"/>
      <c r="V17" s="54"/>
      <c r="W17" s="54"/>
      <c r="X17" s="54"/>
      <c r="Y17" s="54"/>
      <c r="Z17" s="54"/>
      <c r="AA17" s="54"/>
      <c r="AB17" s="54"/>
      <c r="AC17" s="54"/>
      <c r="AD17" s="54"/>
    </row>
    <row r="18">
      <c r="A18" s="67">
        <v>55231.0</v>
      </c>
      <c r="B18" s="80" t="s">
        <v>104</v>
      </c>
      <c r="C18" s="69">
        <v>300.0</v>
      </c>
      <c r="D18" s="70">
        <v>865.66</v>
      </c>
      <c r="E18" s="70">
        <f t="shared" si="1"/>
        <v>1047.4486</v>
      </c>
      <c r="F18" s="71">
        <v>259698.0</v>
      </c>
      <c r="G18" s="71"/>
      <c r="H18" s="71">
        <f t="shared" si="2"/>
        <v>314234.58</v>
      </c>
      <c r="I18" s="71">
        <f t="shared" si="3"/>
        <v>1047.4486</v>
      </c>
      <c r="J18" s="72">
        <f t="shared" si="4"/>
        <v>2089.659957</v>
      </c>
      <c r="K18" s="71"/>
      <c r="L18" s="73">
        <f t="shared" si="11"/>
        <v>2199.64206</v>
      </c>
      <c r="M18" s="107">
        <v>2200.0</v>
      </c>
      <c r="N18" s="78"/>
      <c r="O18" s="75">
        <f t="shared" si="5"/>
        <v>300</v>
      </c>
      <c r="P18" s="54"/>
      <c r="Q18" s="76">
        <f t="shared" si="6"/>
        <v>2100</v>
      </c>
      <c r="R18" s="54"/>
      <c r="S18" s="76">
        <f t="shared" si="7"/>
        <v>2200</v>
      </c>
      <c r="T18" s="54"/>
      <c r="V18" s="54"/>
      <c r="W18" s="54"/>
      <c r="X18" s="54"/>
      <c r="Y18" s="54"/>
      <c r="Z18" s="54"/>
      <c r="AA18" s="54"/>
      <c r="AB18" s="54"/>
      <c r="AC18" s="54"/>
      <c r="AD18" s="54"/>
    </row>
    <row r="19">
      <c r="A19" s="67">
        <v>65231.0</v>
      </c>
      <c r="B19" s="80" t="s">
        <v>105</v>
      </c>
      <c r="C19" s="69">
        <v>150.0</v>
      </c>
      <c r="D19" s="70">
        <v>865.66</v>
      </c>
      <c r="E19" s="70">
        <f t="shared" si="1"/>
        <v>1047.4486</v>
      </c>
      <c r="F19" s="71">
        <v>129849.0</v>
      </c>
      <c r="G19" s="71"/>
      <c r="H19" s="71">
        <f t="shared" si="2"/>
        <v>157117.29</v>
      </c>
      <c r="I19" s="71">
        <f t="shared" si="3"/>
        <v>1047.4486</v>
      </c>
      <c r="J19" s="72">
        <f t="shared" si="4"/>
        <v>2089.659957</v>
      </c>
      <c r="K19" s="71"/>
      <c r="L19" s="73">
        <f t="shared" si="11"/>
        <v>2199.64206</v>
      </c>
      <c r="M19" s="107">
        <v>2200.0</v>
      </c>
      <c r="N19" s="78"/>
      <c r="O19" s="75">
        <f t="shared" si="5"/>
        <v>150</v>
      </c>
      <c r="P19" s="54"/>
      <c r="Q19" s="76">
        <f t="shared" si="6"/>
        <v>2100</v>
      </c>
      <c r="R19" s="54"/>
      <c r="S19" s="76">
        <f t="shared" si="7"/>
        <v>2200</v>
      </c>
      <c r="T19" s="54"/>
      <c r="V19" s="54"/>
      <c r="W19" s="54"/>
      <c r="X19" s="54"/>
      <c r="Y19" s="54"/>
      <c r="Z19" s="54"/>
      <c r="AA19" s="54"/>
      <c r="AB19" s="54"/>
      <c r="AC19" s="54"/>
      <c r="AD19" s="54"/>
    </row>
    <row r="20">
      <c r="A20" s="67">
        <v>45300.0</v>
      </c>
      <c r="B20" s="81" t="s">
        <v>106</v>
      </c>
      <c r="C20" s="69">
        <v>720.0</v>
      </c>
      <c r="D20" s="70">
        <v>79.24</v>
      </c>
      <c r="E20" s="70">
        <f t="shared" si="1"/>
        <v>95.8804</v>
      </c>
      <c r="F20" s="71">
        <v>57052.8</v>
      </c>
      <c r="G20" s="71"/>
      <c r="H20" s="71">
        <f t="shared" si="2"/>
        <v>69033.888</v>
      </c>
      <c r="I20" s="71">
        <f t="shared" si="3"/>
        <v>95.8804</v>
      </c>
      <c r="J20" s="72">
        <f t="shared" si="4"/>
        <v>1111.253836</v>
      </c>
      <c r="K20" s="71"/>
      <c r="L20" s="73">
        <f t="shared" ref="L20:L22" si="12">I20*12.2</f>
        <v>1169.74088</v>
      </c>
      <c r="M20" s="107">
        <v>1190.0</v>
      </c>
      <c r="N20" s="74">
        <v>5.0</v>
      </c>
      <c r="O20" s="75">
        <f t="shared" si="5"/>
        <v>715</v>
      </c>
      <c r="P20" s="54"/>
      <c r="Q20" s="76">
        <f t="shared" si="6"/>
        <v>1200</v>
      </c>
      <c r="R20" s="54"/>
      <c r="S20" s="76">
        <f t="shared" si="7"/>
        <v>1200</v>
      </c>
      <c r="T20" s="54"/>
      <c r="V20" s="54"/>
      <c r="W20" s="54"/>
      <c r="X20" s="54"/>
      <c r="Y20" s="54"/>
      <c r="Z20" s="54"/>
      <c r="AA20" s="54"/>
      <c r="AB20" s="54"/>
      <c r="AC20" s="54"/>
      <c r="AD20" s="54"/>
    </row>
    <row r="21">
      <c r="A21" s="67">
        <v>55300.0</v>
      </c>
      <c r="B21" s="81" t="s">
        <v>107</v>
      </c>
      <c r="C21" s="69">
        <v>600.0</v>
      </c>
      <c r="D21" s="70">
        <v>79.24</v>
      </c>
      <c r="E21" s="70">
        <f t="shared" si="1"/>
        <v>95.8804</v>
      </c>
      <c r="F21" s="71">
        <v>47544.0</v>
      </c>
      <c r="G21" s="71"/>
      <c r="H21" s="71">
        <f t="shared" si="2"/>
        <v>57528.24</v>
      </c>
      <c r="I21" s="71">
        <f t="shared" si="3"/>
        <v>95.8804</v>
      </c>
      <c r="J21" s="72">
        <f t="shared" si="4"/>
        <v>1111.253836</v>
      </c>
      <c r="K21" s="71"/>
      <c r="L21" s="73">
        <f t="shared" si="12"/>
        <v>1169.74088</v>
      </c>
      <c r="M21" s="107">
        <v>1190.0</v>
      </c>
      <c r="N21" s="78"/>
      <c r="O21" s="75">
        <f t="shared" si="5"/>
        <v>600</v>
      </c>
      <c r="P21" s="54"/>
      <c r="Q21" s="76">
        <f t="shared" si="6"/>
        <v>1200</v>
      </c>
      <c r="R21" s="54"/>
      <c r="S21" s="76">
        <f t="shared" si="7"/>
        <v>1200</v>
      </c>
      <c r="T21" s="54"/>
      <c r="V21" s="54"/>
      <c r="W21" s="54"/>
      <c r="X21" s="54"/>
      <c r="Y21" s="54"/>
      <c r="Z21" s="54"/>
      <c r="AA21" s="54"/>
      <c r="AB21" s="54"/>
      <c r="AC21" s="54"/>
      <c r="AD21" s="54"/>
    </row>
    <row r="22">
      <c r="A22" s="67">
        <v>65300.0</v>
      </c>
      <c r="B22" s="81" t="s">
        <v>108</v>
      </c>
      <c r="C22" s="69">
        <v>300.0</v>
      </c>
      <c r="D22" s="70">
        <v>79.24</v>
      </c>
      <c r="E22" s="70">
        <f t="shared" si="1"/>
        <v>95.8804</v>
      </c>
      <c r="F22" s="71">
        <v>23772.0</v>
      </c>
      <c r="G22" s="71"/>
      <c r="H22" s="71">
        <f t="shared" si="2"/>
        <v>28764.12</v>
      </c>
      <c r="I22" s="71">
        <f t="shared" si="3"/>
        <v>95.8804</v>
      </c>
      <c r="J22" s="72">
        <f t="shared" si="4"/>
        <v>1111.253836</v>
      </c>
      <c r="K22" s="71"/>
      <c r="L22" s="73">
        <f t="shared" si="12"/>
        <v>1169.74088</v>
      </c>
      <c r="M22" s="107">
        <v>1190.0</v>
      </c>
      <c r="N22" s="78"/>
      <c r="O22" s="75">
        <f t="shared" si="5"/>
        <v>300</v>
      </c>
      <c r="P22" s="54"/>
      <c r="Q22" s="76">
        <f t="shared" si="6"/>
        <v>1200</v>
      </c>
      <c r="R22" s="54"/>
      <c r="S22" s="76">
        <f t="shared" si="7"/>
        <v>1200</v>
      </c>
      <c r="T22" s="54"/>
      <c r="V22" s="54"/>
      <c r="W22" s="54"/>
      <c r="X22" s="54"/>
      <c r="Y22" s="54"/>
      <c r="Z22" s="54"/>
      <c r="AA22" s="54"/>
      <c r="AB22" s="54"/>
      <c r="AC22" s="54"/>
      <c r="AD22" s="54"/>
    </row>
    <row r="23">
      <c r="A23" s="67">
        <v>45280.0</v>
      </c>
      <c r="B23" s="83" t="s">
        <v>109</v>
      </c>
      <c r="C23" s="69">
        <v>360.0</v>
      </c>
      <c r="D23" s="70">
        <v>900.46</v>
      </c>
      <c r="E23" s="70">
        <f t="shared" si="1"/>
        <v>1089.5566</v>
      </c>
      <c r="F23" s="71">
        <v>324165.6</v>
      </c>
      <c r="G23" s="71"/>
      <c r="H23" s="71">
        <f t="shared" si="2"/>
        <v>392240.376</v>
      </c>
      <c r="I23" s="71">
        <f t="shared" si="3"/>
        <v>1089.5566</v>
      </c>
      <c r="J23" s="72">
        <f t="shared" si="4"/>
        <v>2732.607953</v>
      </c>
      <c r="K23" s="71"/>
      <c r="L23" s="73">
        <f t="shared" ref="L23:L25" si="13">I23*2.64</f>
        <v>2876.429424</v>
      </c>
      <c r="M23" s="107">
        <v>2880.0</v>
      </c>
      <c r="N23" s="74">
        <v>8.0</v>
      </c>
      <c r="O23" s="75">
        <f t="shared" si="5"/>
        <v>352</v>
      </c>
      <c r="P23" s="54"/>
      <c r="Q23" s="76">
        <f t="shared" si="6"/>
        <v>2800</v>
      </c>
      <c r="R23" s="54"/>
      <c r="S23" s="76">
        <f t="shared" si="7"/>
        <v>2900</v>
      </c>
      <c r="T23" s="54"/>
      <c r="V23" s="54"/>
      <c r="W23" s="54"/>
      <c r="X23" s="54"/>
      <c r="Y23" s="54"/>
      <c r="Z23" s="54"/>
      <c r="AA23" s="54"/>
      <c r="AB23" s="54"/>
      <c r="AC23" s="54"/>
      <c r="AD23" s="54"/>
    </row>
    <row r="24">
      <c r="A24" s="67">
        <v>55280.0</v>
      </c>
      <c r="B24" s="83" t="s">
        <v>110</v>
      </c>
      <c r="C24" s="69">
        <v>300.0</v>
      </c>
      <c r="D24" s="70">
        <v>900.46</v>
      </c>
      <c r="E24" s="70">
        <f t="shared" si="1"/>
        <v>1089.5566</v>
      </c>
      <c r="F24" s="71">
        <v>270138.0</v>
      </c>
      <c r="G24" s="71"/>
      <c r="H24" s="71">
        <f t="shared" si="2"/>
        <v>326866.98</v>
      </c>
      <c r="I24" s="71">
        <f t="shared" si="3"/>
        <v>1089.5566</v>
      </c>
      <c r="J24" s="72">
        <f t="shared" si="4"/>
        <v>2732.607953</v>
      </c>
      <c r="K24" s="71"/>
      <c r="L24" s="73">
        <f t="shared" si="13"/>
        <v>2876.429424</v>
      </c>
      <c r="M24" s="107">
        <v>2880.0</v>
      </c>
      <c r="N24" s="78"/>
      <c r="O24" s="75">
        <f t="shared" si="5"/>
        <v>300</v>
      </c>
      <c r="P24" s="54"/>
      <c r="Q24" s="76">
        <f t="shared" si="6"/>
        <v>2800</v>
      </c>
      <c r="R24" s="54"/>
      <c r="S24" s="76">
        <f t="shared" si="7"/>
        <v>2900</v>
      </c>
      <c r="T24" s="54"/>
      <c r="V24" s="54"/>
      <c r="W24" s="54"/>
      <c r="X24" s="54"/>
      <c r="Y24" s="54"/>
      <c r="Z24" s="54"/>
      <c r="AA24" s="54"/>
      <c r="AB24" s="54"/>
      <c r="AC24" s="54"/>
      <c r="AD24" s="54"/>
    </row>
    <row r="25">
      <c r="A25" s="67">
        <v>65280.0</v>
      </c>
      <c r="B25" s="83" t="s">
        <v>111</v>
      </c>
      <c r="C25" s="69">
        <v>150.0</v>
      </c>
      <c r="D25" s="70">
        <v>900.46</v>
      </c>
      <c r="E25" s="70">
        <f t="shared" si="1"/>
        <v>1089.5566</v>
      </c>
      <c r="F25" s="71">
        <v>135069.0</v>
      </c>
      <c r="G25" s="71"/>
      <c r="H25" s="71">
        <f t="shared" si="2"/>
        <v>163433.49</v>
      </c>
      <c r="I25" s="71">
        <f t="shared" si="3"/>
        <v>1089.5566</v>
      </c>
      <c r="J25" s="72">
        <f t="shared" si="4"/>
        <v>2732.607953</v>
      </c>
      <c r="K25" s="71"/>
      <c r="L25" s="73">
        <f t="shared" si="13"/>
        <v>2876.429424</v>
      </c>
      <c r="M25" s="107">
        <v>2880.0</v>
      </c>
      <c r="N25" s="78"/>
      <c r="O25" s="75">
        <f t="shared" si="5"/>
        <v>150</v>
      </c>
      <c r="P25" s="54"/>
      <c r="Q25" s="76">
        <f t="shared" si="6"/>
        <v>2800</v>
      </c>
      <c r="R25" s="54"/>
      <c r="S25" s="76">
        <f t="shared" si="7"/>
        <v>2900</v>
      </c>
      <c r="T25" s="54"/>
      <c r="V25" s="54"/>
      <c r="W25" s="54"/>
      <c r="X25" s="54"/>
      <c r="Y25" s="54"/>
      <c r="Z25" s="54"/>
      <c r="AA25" s="54"/>
      <c r="AB25" s="54"/>
      <c r="AC25" s="54"/>
      <c r="AD25" s="54"/>
    </row>
    <row r="26">
      <c r="A26" s="67">
        <v>45131.0</v>
      </c>
      <c r="B26" s="84" t="s">
        <v>53</v>
      </c>
      <c r="C26" s="69">
        <v>480.0</v>
      </c>
      <c r="D26" s="70">
        <v>873.84</v>
      </c>
      <c r="E26" s="70">
        <f t="shared" si="1"/>
        <v>1057.3464</v>
      </c>
      <c r="F26" s="71">
        <v>419443.2</v>
      </c>
      <c r="G26" s="71"/>
      <c r="H26" s="71">
        <f t="shared" si="2"/>
        <v>507526.272</v>
      </c>
      <c r="I26" s="71">
        <f t="shared" si="3"/>
        <v>1057.3464</v>
      </c>
      <c r="J26" s="72">
        <f t="shared" si="4"/>
        <v>2752.272679</v>
      </c>
      <c r="K26" s="71"/>
      <c r="L26" s="73">
        <f t="shared" ref="L26:L28" si="14">I26*2.74</f>
        <v>2897.129136</v>
      </c>
      <c r="M26" s="107">
        <v>2900.0</v>
      </c>
      <c r="N26" s="78"/>
      <c r="O26" s="75">
        <f t="shared" si="5"/>
        <v>480</v>
      </c>
      <c r="P26" s="54"/>
      <c r="Q26" s="76">
        <f t="shared" si="6"/>
        <v>2800</v>
      </c>
      <c r="R26" s="54"/>
      <c r="S26" s="76">
        <f t="shared" si="7"/>
        <v>2900</v>
      </c>
      <c r="T26" s="54"/>
      <c r="V26" s="54"/>
      <c r="W26" s="54"/>
      <c r="X26" s="54"/>
      <c r="Y26" s="54"/>
      <c r="Z26" s="54"/>
      <c r="AA26" s="54"/>
      <c r="AB26" s="54"/>
      <c r="AC26" s="54"/>
      <c r="AD26" s="54"/>
    </row>
    <row r="27">
      <c r="A27" s="67">
        <v>55131.0</v>
      </c>
      <c r="B27" s="85" t="s">
        <v>112</v>
      </c>
      <c r="C27" s="69">
        <v>300.0</v>
      </c>
      <c r="D27" s="70">
        <v>873.84</v>
      </c>
      <c r="E27" s="70">
        <f t="shared" si="1"/>
        <v>1057.3464</v>
      </c>
      <c r="F27" s="71">
        <v>262152.0</v>
      </c>
      <c r="G27" s="71"/>
      <c r="H27" s="71">
        <f t="shared" si="2"/>
        <v>317203.92</v>
      </c>
      <c r="I27" s="71">
        <f t="shared" si="3"/>
        <v>1057.3464</v>
      </c>
      <c r="J27" s="72">
        <f t="shared" si="4"/>
        <v>2752.272679</v>
      </c>
      <c r="K27" s="71"/>
      <c r="L27" s="73">
        <f t="shared" si="14"/>
        <v>2897.129136</v>
      </c>
      <c r="M27" s="107">
        <v>2900.0</v>
      </c>
      <c r="N27" s="78"/>
      <c r="O27" s="75">
        <f t="shared" si="5"/>
        <v>300</v>
      </c>
      <c r="P27" s="54"/>
      <c r="Q27" s="76">
        <f t="shared" si="6"/>
        <v>2800</v>
      </c>
      <c r="R27" s="54"/>
      <c r="S27" s="76">
        <f t="shared" si="7"/>
        <v>2900</v>
      </c>
      <c r="T27" s="54"/>
      <c r="V27" s="54"/>
      <c r="W27" s="54"/>
      <c r="X27" s="54"/>
      <c r="Y27" s="54"/>
      <c r="Z27" s="54"/>
      <c r="AA27" s="54"/>
      <c r="AB27" s="54"/>
      <c r="AC27" s="54"/>
      <c r="AD27" s="54"/>
    </row>
    <row r="28">
      <c r="A28" s="67">
        <v>65131.0</v>
      </c>
      <c r="B28" s="85" t="s">
        <v>113</v>
      </c>
      <c r="C28" s="69">
        <v>150.0</v>
      </c>
      <c r="D28" s="70">
        <v>873.84</v>
      </c>
      <c r="E28" s="70">
        <f t="shared" si="1"/>
        <v>1057.3464</v>
      </c>
      <c r="F28" s="71">
        <v>131076.0</v>
      </c>
      <c r="G28" s="71"/>
      <c r="H28" s="71">
        <f t="shared" si="2"/>
        <v>158601.96</v>
      </c>
      <c r="I28" s="71">
        <f t="shared" si="3"/>
        <v>1057.3464</v>
      </c>
      <c r="J28" s="72">
        <f t="shared" si="4"/>
        <v>2752.272679</v>
      </c>
      <c r="K28" s="71"/>
      <c r="L28" s="73">
        <f t="shared" si="14"/>
        <v>2897.129136</v>
      </c>
      <c r="M28" s="107">
        <v>2900.0</v>
      </c>
      <c r="N28" s="78"/>
      <c r="O28" s="75">
        <f t="shared" si="5"/>
        <v>150</v>
      </c>
      <c r="P28" s="54"/>
      <c r="Q28" s="76">
        <f t="shared" si="6"/>
        <v>2800</v>
      </c>
      <c r="R28" s="54"/>
      <c r="S28" s="76">
        <f t="shared" si="7"/>
        <v>2900</v>
      </c>
      <c r="T28" s="54"/>
      <c r="V28" s="54"/>
      <c r="W28" s="54"/>
      <c r="X28" s="54"/>
      <c r="Y28" s="54"/>
      <c r="Z28" s="54"/>
      <c r="AA28" s="54"/>
      <c r="AB28" s="54"/>
      <c r="AC28" s="54"/>
      <c r="AD28" s="54"/>
    </row>
    <row r="29">
      <c r="A29" s="67">
        <v>45310.0</v>
      </c>
      <c r="B29" s="86" t="s">
        <v>114</v>
      </c>
      <c r="C29" s="69">
        <v>720.0</v>
      </c>
      <c r="D29" s="70">
        <v>129.02</v>
      </c>
      <c r="E29" s="70">
        <f t="shared" si="1"/>
        <v>156.1142</v>
      </c>
      <c r="F29" s="71">
        <v>92894.4</v>
      </c>
      <c r="G29" s="71"/>
      <c r="H29" s="71">
        <f t="shared" si="2"/>
        <v>112402.224</v>
      </c>
      <c r="I29" s="71">
        <f t="shared" si="3"/>
        <v>156.1142</v>
      </c>
      <c r="J29" s="72">
        <f t="shared" si="4"/>
        <v>2224.62735</v>
      </c>
      <c r="K29" s="71"/>
      <c r="L29" s="73">
        <f t="shared" ref="L29:L31" si="15">I29*15</f>
        <v>2341.713</v>
      </c>
      <c r="M29" s="107">
        <v>2500.0</v>
      </c>
      <c r="N29" s="78"/>
      <c r="O29" s="75">
        <f t="shared" si="5"/>
        <v>720</v>
      </c>
      <c r="P29" s="54"/>
      <c r="Q29" s="76">
        <f t="shared" si="6"/>
        <v>2300</v>
      </c>
      <c r="R29" s="54"/>
      <c r="S29" s="76">
        <f t="shared" si="7"/>
        <v>2400</v>
      </c>
      <c r="T29" s="54"/>
      <c r="V29" s="54"/>
      <c r="W29" s="54"/>
      <c r="X29" s="54"/>
      <c r="Y29" s="54"/>
      <c r="Z29" s="54"/>
      <c r="AA29" s="54"/>
      <c r="AB29" s="54"/>
      <c r="AC29" s="54"/>
      <c r="AD29" s="54"/>
    </row>
    <row r="30">
      <c r="A30" s="67">
        <v>55310.0</v>
      </c>
      <c r="B30" s="86" t="s">
        <v>115</v>
      </c>
      <c r="C30" s="69">
        <v>600.0</v>
      </c>
      <c r="D30" s="70">
        <v>129.02</v>
      </c>
      <c r="E30" s="70">
        <f t="shared" si="1"/>
        <v>156.1142</v>
      </c>
      <c r="F30" s="71">
        <v>77412.0</v>
      </c>
      <c r="G30" s="71"/>
      <c r="H30" s="71">
        <f t="shared" si="2"/>
        <v>93668.52</v>
      </c>
      <c r="I30" s="71">
        <f t="shared" si="3"/>
        <v>156.1142</v>
      </c>
      <c r="J30" s="72">
        <f t="shared" si="4"/>
        <v>2224.62735</v>
      </c>
      <c r="K30" s="71"/>
      <c r="L30" s="73">
        <f t="shared" si="15"/>
        <v>2341.713</v>
      </c>
      <c r="M30" s="107">
        <v>2500.0</v>
      </c>
      <c r="N30" s="78"/>
      <c r="O30" s="75">
        <f t="shared" si="5"/>
        <v>600</v>
      </c>
      <c r="P30" s="54"/>
      <c r="Q30" s="76">
        <f t="shared" si="6"/>
        <v>2300</v>
      </c>
      <c r="R30" s="54"/>
      <c r="S30" s="76">
        <f t="shared" si="7"/>
        <v>2400</v>
      </c>
      <c r="T30" s="54"/>
      <c r="V30" s="54"/>
      <c r="W30" s="54"/>
      <c r="X30" s="54"/>
      <c r="Y30" s="54"/>
      <c r="Z30" s="54"/>
      <c r="AA30" s="54"/>
      <c r="AB30" s="54"/>
      <c r="AC30" s="54"/>
      <c r="AD30" s="54"/>
    </row>
    <row r="31">
      <c r="A31" s="67">
        <v>65310.0</v>
      </c>
      <c r="B31" s="86" t="s">
        <v>116</v>
      </c>
      <c r="C31" s="69">
        <v>300.0</v>
      </c>
      <c r="D31" s="70">
        <v>129.02</v>
      </c>
      <c r="E31" s="70">
        <f t="shared" si="1"/>
        <v>156.1142</v>
      </c>
      <c r="F31" s="71">
        <v>38706.0</v>
      </c>
      <c r="G31" s="71"/>
      <c r="H31" s="71">
        <f t="shared" si="2"/>
        <v>46834.26</v>
      </c>
      <c r="I31" s="71">
        <f t="shared" si="3"/>
        <v>156.1142</v>
      </c>
      <c r="J31" s="72">
        <f t="shared" si="4"/>
        <v>2224.62735</v>
      </c>
      <c r="K31" s="71"/>
      <c r="L31" s="73">
        <f t="shared" si="15"/>
        <v>2341.713</v>
      </c>
      <c r="M31" s="107">
        <v>2500.0</v>
      </c>
      <c r="N31" s="78"/>
      <c r="O31" s="75">
        <f t="shared" si="5"/>
        <v>300</v>
      </c>
      <c r="P31" s="54"/>
      <c r="Q31" s="76">
        <f t="shared" si="6"/>
        <v>2300</v>
      </c>
      <c r="R31" s="54"/>
      <c r="S31" s="76">
        <f t="shared" si="7"/>
        <v>2400</v>
      </c>
      <c r="T31" s="54"/>
      <c r="V31" s="54"/>
      <c r="W31" s="54"/>
      <c r="X31" s="54"/>
      <c r="Y31" s="54"/>
      <c r="Z31" s="54"/>
      <c r="AA31" s="54"/>
      <c r="AB31" s="54"/>
      <c r="AC31" s="54"/>
      <c r="AD31" s="54"/>
    </row>
    <row r="32">
      <c r="A32" s="67">
        <v>45233.0</v>
      </c>
      <c r="B32" s="86" t="s">
        <v>117</v>
      </c>
      <c r="C32" s="69">
        <v>80.0</v>
      </c>
      <c r="D32" s="71">
        <v>1190.28</v>
      </c>
      <c r="E32" s="70">
        <f t="shared" si="1"/>
        <v>1440.2388</v>
      </c>
      <c r="F32" s="71">
        <v>95222.4</v>
      </c>
      <c r="G32" s="71"/>
      <c r="H32" s="71">
        <f t="shared" si="2"/>
        <v>115219.104</v>
      </c>
      <c r="I32" s="71">
        <f t="shared" si="3"/>
        <v>1440.2388</v>
      </c>
      <c r="J32" s="72">
        <f t="shared" si="4"/>
        <v>3420.56715</v>
      </c>
      <c r="K32" s="71"/>
      <c r="L32" s="73">
        <f t="shared" ref="L32:L34" si="16">I32*2.5</f>
        <v>3600.597</v>
      </c>
      <c r="M32" s="107">
        <v>3760.0</v>
      </c>
      <c r="N32" s="74">
        <v>1.0</v>
      </c>
      <c r="O32" s="75">
        <f t="shared" si="5"/>
        <v>79</v>
      </c>
      <c r="P32" s="54"/>
      <c r="Q32" s="76">
        <f t="shared" si="6"/>
        <v>3500</v>
      </c>
      <c r="R32" s="54"/>
      <c r="S32" s="76">
        <f t="shared" si="7"/>
        <v>3700</v>
      </c>
      <c r="T32" s="54"/>
      <c r="V32" s="54"/>
      <c r="W32" s="54"/>
      <c r="X32" s="54"/>
      <c r="Y32" s="54"/>
      <c r="Z32" s="54"/>
      <c r="AA32" s="54"/>
      <c r="AB32" s="54"/>
      <c r="AC32" s="54"/>
      <c r="AD32" s="54"/>
    </row>
    <row r="33">
      <c r="A33" s="67">
        <v>55233.0</v>
      </c>
      <c r="B33" s="86" t="s">
        <v>118</v>
      </c>
      <c r="C33" s="69">
        <v>80.0</v>
      </c>
      <c r="D33" s="71">
        <v>1190.28</v>
      </c>
      <c r="E33" s="70">
        <f t="shared" si="1"/>
        <v>1440.2388</v>
      </c>
      <c r="F33" s="71">
        <v>95222.4</v>
      </c>
      <c r="G33" s="71"/>
      <c r="H33" s="71">
        <f t="shared" si="2"/>
        <v>115219.104</v>
      </c>
      <c r="I33" s="71">
        <f t="shared" si="3"/>
        <v>1440.2388</v>
      </c>
      <c r="J33" s="72">
        <f t="shared" si="4"/>
        <v>3420.56715</v>
      </c>
      <c r="K33" s="71"/>
      <c r="L33" s="73">
        <f t="shared" si="16"/>
        <v>3600.597</v>
      </c>
      <c r="M33" s="107">
        <v>3760.0</v>
      </c>
      <c r="N33" s="78"/>
      <c r="O33" s="75">
        <f t="shared" si="5"/>
        <v>80</v>
      </c>
      <c r="P33" s="54"/>
      <c r="Q33" s="76">
        <f t="shared" si="6"/>
        <v>3500</v>
      </c>
      <c r="R33" s="54"/>
      <c r="S33" s="76">
        <f t="shared" si="7"/>
        <v>3700</v>
      </c>
      <c r="T33" s="54"/>
      <c r="V33" s="54"/>
      <c r="W33" s="54"/>
      <c r="X33" s="54"/>
      <c r="Y33" s="54"/>
      <c r="Z33" s="54"/>
      <c r="AA33" s="54"/>
      <c r="AB33" s="54"/>
      <c r="AC33" s="54"/>
      <c r="AD33" s="54"/>
    </row>
    <row r="34">
      <c r="A34" s="67">
        <v>65233.0</v>
      </c>
      <c r="B34" s="86" t="s">
        <v>119</v>
      </c>
      <c r="C34" s="69">
        <v>40.0</v>
      </c>
      <c r="D34" s="71">
        <v>1190.28</v>
      </c>
      <c r="E34" s="70">
        <f t="shared" si="1"/>
        <v>1440.2388</v>
      </c>
      <c r="F34" s="71">
        <v>47611.2</v>
      </c>
      <c r="G34" s="71"/>
      <c r="H34" s="71">
        <f t="shared" si="2"/>
        <v>57609.552</v>
      </c>
      <c r="I34" s="71">
        <f t="shared" si="3"/>
        <v>1440.2388</v>
      </c>
      <c r="J34" s="72">
        <f t="shared" si="4"/>
        <v>3420.56715</v>
      </c>
      <c r="K34" s="71"/>
      <c r="L34" s="73">
        <f t="shared" si="16"/>
        <v>3600.597</v>
      </c>
      <c r="M34" s="107">
        <v>3760.0</v>
      </c>
      <c r="N34" s="78"/>
      <c r="O34" s="75">
        <f t="shared" si="5"/>
        <v>40</v>
      </c>
      <c r="P34" s="54"/>
      <c r="Q34" s="76">
        <f t="shared" si="6"/>
        <v>3500</v>
      </c>
      <c r="R34" s="54"/>
      <c r="S34" s="76">
        <f t="shared" si="7"/>
        <v>3700</v>
      </c>
      <c r="T34" s="54"/>
      <c r="V34" s="54"/>
      <c r="W34" s="54"/>
      <c r="X34" s="54"/>
      <c r="Y34" s="54"/>
      <c r="Z34" s="54"/>
      <c r="AA34" s="54"/>
      <c r="AB34" s="54"/>
      <c r="AC34" s="54"/>
      <c r="AD34" s="54"/>
    </row>
    <row r="35">
      <c r="A35" s="67">
        <v>45533.0</v>
      </c>
      <c r="B35" s="86" t="s">
        <v>120</v>
      </c>
      <c r="C35" s="69">
        <v>40.0</v>
      </c>
      <c r="D35" s="71">
        <v>1400.0</v>
      </c>
      <c r="E35" s="70">
        <f t="shared" si="1"/>
        <v>1694</v>
      </c>
      <c r="F35" s="71">
        <v>56000.0</v>
      </c>
      <c r="G35" s="71"/>
      <c r="H35" s="71">
        <f t="shared" si="2"/>
        <v>67760</v>
      </c>
      <c r="I35" s="71">
        <f t="shared" si="3"/>
        <v>1694</v>
      </c>
      <c r="J35" s="72">
        <f t="shared" si="4"/>
        <v>3701.39</v>
      </c>
      <c r="K35" s="71"/>
      <c r="L35" s="73">
        <f t="shared" ref="L35:L36" si="17">I35*2.3</f>
        <v>3896.2</v>
      </c>
      <c r="M35" s="107">
        <v>3900.0</v>
      </c>
      <c r="N35" s="78"/>
      <c r="O35" s="75">
        <f t="shared" si="5"/>
        <v>40</v>
      </c>
      <c r="P35" s="54"/>
      <c r="Q35" s="76">
        <f t="shared" si="6"/>
        <v>3800</v>
      </c>
      <c r="R35" s="54"/>
      <c r="S35" s="76">
        <f t="shared" si="7"/>
        <v>3900</v>
      </c>
      <c r="T35" s="54"/>
      <c r="V35" s="54"/>
      <c r="W35" s="54"/>
      <c r="X35" s="54"/>
      <c r="Y35" s="54"/>
      <c r="Z35" s="54"/>
      <c r="AA35" s="54"/>
      <c r="AB35" s="54"/>
      <c r="AC35" s="54"/>
      <c r="AD35" s="54"/>
    </row>
    <row r="36">
      <c r="A36" s="67">
        <v>65533.0</v>
      </c>
      <c r="B36" s="86" t="s">
        <v>121</v>
      </c>
      <c r="C36" s="69">
        <v>40.0</v>
      </c>
      <c r="D36" s="71">
        <v>1400.0</v>
      </c>
      <c r="E36" s="70">
        <f t="shared" si="1"/>
        <v>1694</v>
      </c>
      <c r="F36" s="71">
        <v>56000.0</v>
      </c>
      <c r="G36" s="71"/>
      <c r="H36" s="71">
        <f t="shared" si="2"/>
        <v>67760</v>
      </c>
      <c r="I36" s="71">
        <f t="shared" si="3"/>
        <v>1694</v>
      </c>
      <c r="J36" s="72">
        <f t="shared" si="4"/>
        <v>3701.39</v>
      </c>
      <c r="K36" s="71"/>
      <c r="L36" s="73">
        <f t="shared" si="17"/>
        <v>3896.2</v>
      </c>
      <c r="M36" s="107">
        <v>3900.0</v>
      </c>
      <c r="N36" s="78"/>
      <c r="O36" s="75">
        <f t="shared" si="5"/>
        <v>40</v>
      </c>
      <c r="P36" s="54"/>
      <c r="Q36" s="76">
        <f t="shared" si="6"/>
        <v>3800</v>
      </c>
      <c r="R36" s="54"/>
      <c r="S36" s="76">
        <f t="shared" si="7"/>
        <v>3900</v>
      </c>
      <c r="T36" s="54"/>
      <c r="V36" s="54"/>
      <c r="W36" s="54"/>
      <c r="X36" s="54"/>
      <c r="Y36" s="54"/>
      <c r="Z36" s="54"/>
      <c r="AA36" s="54"/>
      <c r="AB36" s="54"/>
      <c r="AC36" s="54"/>
      <c r="AD36" s="54"/>
    </row>
    <row r="37">
      <c r="A37" s="67">
        <v>45302.0</v>
      </c>
      <c r="B37" s="87" t="s">
        <v>122</v>
      </c>
      <c r="C37" s="69">
        <v>30.0</v>
      </c>
      <c r="D37" s="71">
        <v>1162.54</v>
      </c>
      <c r="E37" s="70">
        <f t="shared" si="1"/>
        <v>1406.6734</v>
      </c>
      <c r="F37" s="71">
        <v>34876.2</v>
      </c>
      <c r="G37" s="71"/>
      <c r="H37" s="71">
        <f t="shared" si="2"/>
        <v>42200.202</v>
      </c>
      <c r="I37" s="71">
        <f t="shared" si="3"/>
        <v>1406.6734</v>
      </c>
      <c r="J37" s="72">
        <f t="shared" si="4"/>
        <v>4209.47015</v>
      </c>
      <c r="K37" s="71"/>
      <c r="L37" s="73">
        <f t="shared" ref="L37:L39" si="18">I37*3.15</f>
        <v>4431.02121</v>
      </c>
      <c r="M37" s="107">
        <v>4500.0</v>
      </c>
      <c r="N37" s="78"/>
      <c r="O37" s="75">
        <f t="shared" si="5"/>
        <v>30</v>
      </c>
      <c r="P37" s="54"/>
      <c r="Q37" s="76">
        <f t="shared" si="6"/>
        <v>4300</v>
      </c>
      <c r="R37" s="54"/>
      <c r="S37" s="76">
        <f t="shared" si="7"/>
        <v>4500</v>
      </c>
      <c r="T37" s="54"/>
      <c r="V37" s="54"/>
      <c r="W37" s="54"/>
      <c r="X37" s="54"/>
      <c r="Y37" s="54"/>
      <c r="Z37" s="54"/>
      <c r="AA37" s="54"/>
      <c r="AB37" s="54"/>
      <c r="AC37" s="54"/>
      <c r="AD37" s="54"/>
    </row>
    <row r="38">
      <c r="A38" s="67">
        <v>55302.0</v>
      </c>
      <c r="B38" s="87" t="s">
        <v>123</v>
      </c>
      <c r="C38" s="69">
        <v>30.0</v>
      </c>
      <c r="D38" s="71">
        <v>1162.54</v>
      </c>
      <c r="E38" s="70">
        <f t="shared" si="1"/>
        <v>1406.6734</v>
      </c>
      <c r="F38" s="71">
        <v>34876.2</v>
      </c>
      <c r="G38" s="71"/>
      <c r="H38" s="71">
        <f t="shared" si="2"/>
        <v>42200.202</v>
      </c>
      <c r="I38" s="71">
        <f t="shared" si="3"/>
        <v>1406.6734</v>
      </c>
      <c r="J38" s="72">
        <f t="shared" si="4"/>
        <v>4209.47015</v>
      </c>
      <c r="K38" s="71"/>
      <c r="L38" s="73">
        <f t="shared" si="18"/>
        <v>4431.02121</v>
      </c>
      <c r="M38" s="107">
        <v>4500.0</v>
      </c>
      <c r="N38" s="78"/>
      <c r="O38" s="75">
        <f t="shared" si="5"/>
        <v>30</v>
      </c>
      <c r="P38" s="54"/>
      <c r="Q38" s="76">
        <f t="shared" si="6"/>
        <v>4300</v>
      </c>
      <c r="R38" s="54"/>
      <c r="S38" s="76">
        <f t="shared" si="7"/>
        <v>4500</v>
      </c>
      <c r="T38" s="54"/>
      <c r="V38" s="54"/>
      <c r="W38" s="54"/>
      <c r="X38" s="54"/>
      <c r="Y38" s="54"/>
      <c r="Z38" s="54"/>
      <c r="AA38" s="54"/>
      <c r="AB38" s="54"/>
      <c r="AC38" s="54"/>
      <c r="AD38" s="54"/>
    </row>
    <row r="39">
      <c r="A39" s="67">
        <v>65302.0</v>
      </c>
      <c r="B39" s="87" t="s">
        <v>124</v>
      </c>
      <c r="C39" s="69">
        <v>30.0</v>
      </c>
      <c r="D39" s="71">
        <v>1162.54</v>
      </c>
      <c r="E39" s="70">
        <f t="shared" si="1"/>
        <v>1406.6734</v>
      </c>
      <c r="F39" s="71">
        <v>34876.2</v>
      </c>
      <c r="G39" s="71"/>
      <c r="H39" s="71">
        <f t="shared" si="2"/>
        <v>42200.202</v>
      </c>
      <c r="I39" s="71">
        <f t="shared" si="3"/>
        <v>1406.6734</v>
      </c>
      <c r="J39" s="72">
        <f t="shared" si="4"/>
        <v>4209.47015</v>
      </c>
      <c r="K39" s="71"/>
      <c r="L39" s="73">
        <f t="shared" si="18"/>
        <v>4431.02121</v>
      </c>
      <c r="M39" s="107">
        <v>4500.0</v>
      </c>
      <c r="N39" s="78"/>
      <c r="O39" s="75">
        <f t="shared" si="5"/>
        <v>30</v>
      </c>
      <c r="P39" s="54"/>
      <c r="Q39" s="76">
        <f t="shared" si="6"/>
        <v>4300</v>
      </c>
      <c r="R39" s="54"/>
      <c r="S39" s="76">
        <f t="shared" si="7"/>
        <v>4500</v>
      </c>
      <c r="T39" s="54"/>
      <c r="V39" s="54"/>
      <c r="W39" s="54"/>
      <c r="X39" s="54"/>
      <c r="Y39" s="54"/>
      <c r="Z39" s="54"/>
      <c r="AA39" s="54"/>
      <c r="AB39" s="54"/>
      <c r="AC39" s="54"/>
      <c r="AD39" s="54"/>
    </row>
    <row r="40">
      <c r="A40" s="67">
        <v>45317.0</v>
      </c>
      <c r="B40" s="89" t="s">
        <v>125</v>
      </c>
      <c r="C40" s="69">
        <v>5.0</v>
      </c>
      <c r="D40" s="71">
        <v>13452.79</v>
      </c>
      <c r="E40" s="70">
        <f t="shared" si="1"/>
        <v>16277.8759</v>
      </c>
      <c r="F40" s="71">
        <v>67263.95</v>
      </c>
      <c r="G40" s="71"/>
      <c r="H40" s="71">
        <f t="shared" si="2"/>
        <v>81389.3795</v>
      </c>
      <c r="I40" s="71">
        <f t="shared" si="3"/>
        <v>16277.8759</v>
      </c>
      <c r="J40" s="72">
        <f t="shared" si="4"/>
        <v>35567.15884</v>
      </c>
      <c r="K40" s="71"/>
      <c r="L40" s="73">
        <f>I40*2.3</f>
        <v>37439.11457</v>
      </c>
      <c r="M40" s="107">
        <v>38000.0</v>
      </c>
      <c r="N40" s="78"/>
      <c r="O40" s="75">
        <f t="shared" si="5"/>
        <v>5</v>
      </c>
      <c r="P40" s="54"/>
      <c r="Q40" s="76">
        <f t="shared" si="6"/>
        <v>35600</v>
      </c>
      <c r="R40" s="54"/>
      <c r="S40" s="76">
        <f t="shared" si="7"/>
        <v>37500</v>
      </c>
      <c r="T40" s="54"/>
      <c r="V40" s="54"/>
      <c r="W40" s="54"/>
      <c r="X40" s="54"/>
      <c r="Y40" s="54"/>
      <c r="Z40" s="54"/>
      <c r="AA40" s="54"/>
      <c r="AB40" s="54"/>
      <c r="AC40" s="54"/>
      <c r="AD40" s="54"/>
    </row>
    <row r="41">
      <c r="A41" s="67">
        <v>45316.0</v>
      </c>
      <c r="B41" s="89" t="s">
        <v>126</v>
      </c>
      <c r="C41" s="69">
        <v>5.0</v>
      </c>
      <c r="D41" s="71">
        <v>13452.79</v>
      </c>
      <c r="E41" s="70">
        <f t="shared" si="1"/>
        <v>16277.8759</v>
      </c>
      <c r="F41" s="71">
        <v>67263.95</v>
      </c>
      <c r="G41" s="71"/>
      <c r="H41" s="71">
        <f t="shared" si="2"/>
        <v>81389.3795</v>
      </c>
      <c r="I41" s="71">
        <f t="shared" si="3"/>
        <v>16277.8759</v>
      </c>
      <c r="J41" s="72">
        <f t="shared" si="4"/>
        <v>22422.77405</v>
      </c>
      <c r="K41" s="71"/>
      <c r="L41" s="73">
        <f>I41*1.45</f>
        <v>23602.92006</v>
      </c>
      <c r="M41" s="107">
        <v>26000.0</v>
      </c>
      <c r="N41" s="78"/>
      <c r="O41" s="75">
        <f t="shared" si="5"/>
        <v>5</v>
      </c>
      <c r="P41" s="54"/>
      <c r="Q41" s="76">
        <f t="shared" si="6"/>
        <v>22500</v>
      </c>
      <c r="R41" s="54"/>
      <c r="S41" s="76">
        <f t="shared" si="7"/>
        <v>23700</v>
      </c>
      <c r="T41" s="54"/>
      <c r="V41" s="54"/>
      <c r="W41" s="54"/>
      <c r="X41" s="54"/>
      <c r="Y41" s="54"/>
      <c r="Z41" s="54"/>
      <c r="AA41" s="54"/>
      <c r="AB41" s="54"/>
      <c r="AC41" s="54"/>
      <c r="AD41" s="54"/>
    </row>
    <row r="42">
      <c r="A42" s="67">
        <v>55317.0</v>
      </c>
      <c r="B42" s="89" t="s">
        <v>127</v>
      </c>
      <c r="C42" s="69">
        <v>5.0</v>
      </c>
      <c r="D42" s="71">
        <v>13452.79</v>
      </c>
      <c r="E42" s="70">
        <f t="shared" si="1"/>
        <v>16277.8759</v>
      </c>
      <c r="F42" s="71">
        <v>67263.95</v>
      </c>
      <c r="G42" s="71"/>
      <c r="H42" s="71">
        <f t="shared" si="2"/>
        <v>81389.3795</v>
      </c>
      <c r="I42" s="71">
        <f t="shared" si="3"/>
        <v>16277.8759</v>
      </c>
      <c r="J42" s="72">
        <f t="shared" si="4"/>
        <v>35567.15884</v>
      </c>
      <c r="K42" s="71"/>
      <c r="L42" s="73">
        <f>I42*2.3</f>
        <v>37439.11457</v>
      </c>
      <c r="M42" s="107">
        <v>38000.0</v>
      </c>
      <c r="N42" s="78"/>
      <c r="O42" s="75">
        <f t="shared" si="5"/>
        <v>5</v>
      </c>
      <c r="P42" s="54"/>
      <c r="Q42" s="76">
        <f t="shared" si="6"/>
        <v>35600</v>
      </c>
      <c r="R42" s="54"/>
      <c r="S42" s="76">
        <f t="shared" si="7"/>
        <v>37500</v>
      </c>
      <c r="T42" s="54"/>
      <c r="V42" s="54"/>
      <c r="W42" s="54"/>
      <c r="X42" s="54"/>
      <c r="Y42" s="54"/>
      <c r="Z42" s="54"/>
      <c r="AA42" s="54"/>
      <c r="AB42" s="54"/>
      <c r="AC42" s="54"/>
      <c r="AD42" s="54"/>
    </row>
    <row r="43">
      <c r="A43" s="67">
        <v>65316.0</v>
      </c>
      <c r="B43" s="89" t="s">
        <v>128</v>
      </c>
      <c r="C43" s="69">
        <v>5.0</v>
      </c>
      <c r="D43" s="71">
        <v>13452.79</v>
      </c>
      <c r="E43" s="70">
        <f t="shared" si="1"/>
        <v>16277.8759</v>
      </c>
      <c r="F43" s="71">
        <v>67263.95</v>
      </c>
      <c r="G43" s="71"/>
      <c r="H43" s="71">
        <f t="shared" si="2"/>
        <v>81389.3795</v>
      </c>
      <c r="I43" s="71">
        <f t="shared" si="3"/>
        <v>16277.8759</v>
      </c>
      <c r="J43" s="72">
        <f t="shared" si="4"/>
        <v>24278.4519</v>
      </c>
      <c r="K43" s="71"/>
      <c r="L43" s="73">
        <f>I43*1.57</f>
        <v>25556.26516</v>
      </c>
      <c r="M43" s="107">
        <v>26000.0</v>
      </c>
      <c r="N43" s="78"/>
      <c r="O43" s="90">
        <v>10.0</v>
      </c>
      <c r="P43" s="54"/>
      <c r="Q43" s="76">
        <f t="shared" si="6"/>
        <v>24300</v>
      </c>
      <c r="R43" s="54"/>
      <c r="S43" s="76">
        <f t="shared" si="7"/>
        <v>25600</v>
      </c>
      <c r="T43" s="54"/>
      <c r="V43" s="54"/>
      <c r="W43" s="54"/>
      <c r="X43" s="54"/>
      <c r="Y43" s="54"/>
      <c r="Z43" s="54"/>
      <c r="AA43" s="54"/>
      <c r="AB43" s="54"/>
      <c r="AC43" s="54"/>
      <c r="AD43" s="54"/>
    </row>
    <row r="44">
      <c r="A44" s="67">
        <v>55287.0</v>
      </c>
      <c r="B44" s="86" t="s">
        <v>129</v>
      </c>
      <c r="C44" s="69">
        <v>20.0</v>
      </c>
      <c r="D44" s="71">
        <v>2321.49</v>
      </c>
      <c r="E44" s="70">
        <f t="shared" si="1"/>
        <v>2809.0029</v>
      </c>
      <c r="F44" s="71">
        <v>46429.8</v>
      </c>
      <c r="G44" s="71"/>
      <c r="H44" s="71">
        <f t="shared" si="2"/>
        <v>56180.058</v>
      </c>
      <c r="I44" s="71">
        <f t="shared" si="3"/>
        <v>2809.0029</v>
      </c>
      <c r="J44" s="72">
        <f t="shared" si="4"/>
        <v>2668.552755</v>
      </c>
      <c r="K44" s="71"/>
      <c r="L44" s="73">
        <f>I44*1</f>
        <v>2809.0029</v>
      </c>
      <c r="M44" s="107">
        <v>5500.0</v>
      </c>
      <c r="N44" s="78"/>
      <c r="O44" s="75">
        <f t="shared" ref="O44:O51" si="19">C44-N44</f>
        <v>20</v>
      </c>
      <c r="P44" s="54"/>
      <c r="Q44" s="76">
        <f t="shared" si="6"/>
        <v>2700</v>
      </c>
      <c r="R44" s="54"/>
      <c r="S44" s="76">
        <f t="shared" si="7"/>
        <v>2900</v>
      </c>
      <c r="T44" s="54"/>
      <c r="V44" s="54"/>
      <c r="W44" s="54"/>
      <c r="X44" s="54"/>
      <c r="Y44" s="54"/>
      <c r="Z44" s="54"/>
      <c r="AA44" s="54"/>
      <c r="AB44" s="54"/>
      <c r="AC44" s="54"/>
      <c r="AD44" s="54"/>
    </row>
    <row r="45">
      <c r="A45" s="67">
        <v>65287.0</v>
      </c>
      <c r="B45" s="86" t="s">
        <v>130</v>
      </c>
      <c r="C45" s="69">
        <v>125.0</v>
      </c>
      <c r="D45" s="71">
        <v>2321.49</v>
      </c>
      <c r="E45" s="70">
        <f t="shared" si="1"/>
        <v>2809.0029</v>
      </c>
      <c r="F45" s="71">
        <v>290186.25</v>
      </c>
      <c r="G45" s="71"/>
      <c r="H45" s="71">
        <f t="shared" si="2"/>
        <v>351125.3625</v>
      </c>
      <c r="I45" s="71">
        <f t="shared" si="3"/>
        <v>2809.0029</v>
      </c>
      <c r="J45" s="72">
        <f t="shared" si="4"/>
        <v>4669.967321</v>
      </c>
      <c r="K45" s="71"/>
      <c r="L45" s="73">
        <f t="shared" ref="L45:L46" si="20">I45*1.75</f>
        <v>4915.755075</v>
      </c>
      <c r="M45" s="107">
        <v>5500.0</v>
      </c>
      <c r="N45" s="78"/>
      <c r="O45" s="75">
        <f t="shared" si="19"/>
        <v>125</v>
      </c>
      <c r="P45" s="54"/>
      <c r="Q45" s="76">
        <f t="shared" si="6"/>
        <v>4700</v>
      </c>
      <c r="R45" s="54"/>
      <c r="S45" s="76">
        <f t="shared" si="7"/>
        <v>5000</v>
      </c>
      <c r="T45" s="54"/>
      <c r="V45" s="54"/>
      <c r="W45" s="54"/>
      <c r="X45" s="54"/>
      <c r="Y45" s="54"/>
      <c r="Z45" s="54"/>
      <c r="AA45" s="54"/>
      <c r="AB45" s="54"/>
      <c r="AC45" s="54"/>
      <c r="AD45" s="54"/>
    </row>
    <row r="46" ht="19.5" customHeight="1">
      <c r="A46" s="67">
        <v>45287.0</v>
      </c>
      <c r="B46" s="86" t="s">
        <v>73</v>
      </c>
      <c r="C46" s="91">
        <v>225.0</v>
      </c>
      <c r="D46" s="92">
        <v>2321.49</v>
      </c>
      <c r="E46" s="93">
        <f t="shared" si="1"/>
        <v>2809.0029</v>
      </c>
      <c r="F46" s="94">
        <v>522335.25</v>
      </c>
      <c r="G46" s="94"/>
      <c r="H46" s="95">
        <f t="shared" si="2"/>
        <v>632025.6525</v>
      </c>
      <c r="I46" s="95">
        <f t="shared" si="3"/>
        <v>2809.0029</v>
      </c>
      <c r="J46" s="72">
        <f t="shared" si="4"/>
        <v>4669.967321</v>
      </c>
      <c r="K46" s="71"/>
      <c r="L46" s="73">
        <f t="shared" si="20"/>
        <v>4915.755075</v>
      </c>
      <c r="M46" s="107">
        <v>5500.0</v>
      </c>
      <c r="N46" s="78"/>
      <c r="O46" s="75">
        <f t="shared" si="19"/>
        <v>225</v>
      </c>
      <c r="P46" s="54"/>
      <c r="Q46" s="76">
        <f t="shared" si="6"/>
        <v>4700</v>
      </c>
      <c r="R46" s="54"/>
      <c r="S46" s="76">
        <f t="shared" si="7"/>
        <v>5000</v>
      </c>
      <c r="T46" s="54"/>
      <c r="V46" s="54"/>
      <c r="W46" s="54"/>
      <c r="X46" s="54"/>
      <c r="Y46" s="54"/>
      <c r="Z46" s="54"/>
      <c r="AA46" s="54"/>
      <c r="AB46" s="54"/>
      <c r="AC46" s="54"/>
      <c r="AD46" s="54"/>
    </row>
    <row r="47">
      <c r="A47" s="67">
        <v>45001.0</v>
      </c>
      <c r="B47" s="96" t="s">
        <v>131</v>
      </c>
      <c r="C47" s="69">
        <v>40.0</v>
      </c>
      <c r="D47" s="71">
        <v>3397.53</v>
      </c>
      <c r="E47" s="70">
        <f t="shared" si="1"/>
        <v>4111.0113</v>
      </c>
      <c r="F47" s="71">
        <v>135901.2</v>
      </c>
      <c r="G47" s="71"/>
      <c r="H47" s="71">
        <f t="shared" si="2"/>
        <v>164440.452</v>
      </c>
      <c r="I47" s="71">
        <f t="shared" si="3"/>
        <v>4111.0113</v>
      </c>
      <c r="J47" s="72">
        <f t="shared" si="4"/>
        <v>7342.266182</v>
      </c>
      <c r="K47" s="71"/>
      <c r="L47" s="73">
        <f t="shared" ref="L47:L48" si="21">I47*1.88</f>
        <v>7728.701244</v>
      </c>
      <c r="M47" s="107">
        <v>7800.0</v>
      </c>
      <c r="N47" s="78"/>
      <c r="O47" s="75">
        <f t="shared" si="19"/>
        <v>40</v>
      </c>
      <c r="P47" s="54"/>
      <c r="Q47" s="76">
        <f t="shared" si="6"/>
        <v>7400</v>
      </c>
      <c r="R47" s="54"/>
      <c r="S47" s="76">
        <f t="shared" si="7"/>
        <v>7800</v>
      </c>
      <c r="T47" s="54"/>
      <c r="V47" s="54"/>
      <c r="W47" s="54"/>
      <c r="X47" s="54"/>
      <c r="Y47" s="54"/>
      <c r="Z47" s="54"/>
      <c r="AA47" s="54"/>
      <c r="AB47" s="54"/>
      <c r="AC47" s="54"/>
      <c r="AD47" s="54"/>
    </row>
    <row r="48" ht="18.75" customHeight="1">
      <c r="A48" s="67">
        <v>55001.0</v>
      </c>
      <c r="B48" s="96" t="s">
        <v>132</v>
      </c>
      <c r="C48" s="69">
        <v>40.0</v>
      </c>
      <c r="D48" s="71">
        <v>3397.53</v>
      </c>
      <c r="E48" s="70">
        <f t="shared" si="1"/>
        <v>4111.0113</v>
      </c>
      <c r="F48" s="71">
        <v>135901.2</v>
      </c>
      <c r="G48" s="71"/>
      <c r="H48" s="71">
        <f t="shared" si="2"/>
        <v>164440.452</v>
      </c>
      <c r="I48" s="71">
        <f t="shared" si="3"/>
        <v>4111.0113</v>
      </c>
      <c r="J48" s="72">
        <f t="shared" si="4"/>
        <v>7342.266182</v>
      </c>
      <c r="K48" s="71"/>
      <c r="L48" s="73">
        <f t="shared" si="21"/>
        <v>7728.701244</v>
      </c>
      <c r="M48" s="107">
        <v>7800.0</v>
      </c>
      <c r="N48" s="78"/>
      <c r="O48" s="75">
        <f t="shared" si="19"/>
        <v>40</v>
      </c>
      <c r="P48" s="54"/>
      <c r="Q48" s="76">
        <f t="shared" si="6"/>
        <v>7400</v>
      </c>
      <c r="R48" s="54"/>
      <c r="S48" s="76">
        <f t="shared" si="7"/>
        <v>7800</v>
      </c>
      <c r="T48" s="54"/>
      <c r="V48" s="54"/>
      <c r="W48" s="54"/>
      <c r="X48" s="54"/>
      <c r="Y48" s="54"/>
      <c r="Z48" s="54"/>
      <c r="AA48" s="54"/>
      <c r="AB48" s="54"/>
      <c r="AC48" s="54"/>
      <c r="AD48" s="54"/>
    </row>
    <row r="49">
      <c r="A49" s="67">
        <v>555011.0</v>
      </c>
      <c r="B49" s="86" t="s">
        <v>133</v>
      </c>
      <c r="C49" s="69">
        <v>300.0</v>
      </c>
      <c r="D49" s="70">
        <v>508.43</v>
      </c>
      <c r="E49" s="70">
        <f t="shared" si="1"/>
        <v>615.2003</v>
      </c>
      <c r="F49" s="71">
        <v>152529.0</v>
      </c>
      <c r="G49" s="71"/>
      <c r="H49" s="71">
        <f t="shared" si="2"/>
        <v>184560.09</v>
      </c>
      <c r="I49" s="71">
        <f t="shared" si="3"/>
        <v>615.2003</v>
      </c>
      <c r="J49" s="72">
        <f t="shared" si="4"/>
        <v>2746.86934</v>
      </c>
      <c r="K49" s="71"/>
      <c r="L49" s="73">
        <f t="shared" ref="L49:L51" si="22">I49*4.7</f>
        <v>2891.44141</v>
      </c>
      <c r="M49" s="107">
        <v>2900.0</v>
      </c>
      <c r="N49" s="78"/>
      <c r="O49" s="75">
        <f t="shared" si="19"/>
        <v>300</v>
      </c>
      <c r="P49" s="54"/>
      <c r="Q49" s="76">
        <f t="shared" si="6"/>
        <v>2800</v>
      </c>
      <c r="R49" s="54"/>
      <c r="S49" s="76">
        <f t="shared" si="7"/>
        <v>2900</v>
      </c>
      <c r="T49" s="54"/>
      <c r="V49" s="54"/>
      <c r="W49" s="54"/>
      <c r="X49" s="54"/>
      <c r="Y49" s="54"/>
      <c r="Z49" s="54"/>
      <c r="AA49" s="54"/>
      <c r="AB49" s="54"/>
      <c r="AC49" s="54"/>
      <c r="AD49" s="54"/>
    </row>
    <row r="50">
      <c r="A50" s="67">
        <v>555021.0</v>
      </c>
      <c r="B50" s="86" t="s">
        <v>134</v>
      </c>
      <c r="C50" s="69">
        <v>300.0</v>
      </c>
      <c r="D50" s="70">
        <v>508.43</v>
      </c>
      <c r="E50" s="70">
        <f t="shared" si="1"/>
        <v>615.2003</v>
      </c>
      <c r="F50" s="71">
        <v>152529.0</v>
      </c>
      <c r="G50" s="71"/>
      <c r="H50" s="71">
        <f t="shared" si="2"/>
        <v>184560.09</v>
      </c>
      <c r="I50" s="71">
        <f t="shared" si="3"/>
        <v>615.2003</v>
      </c>
      <c r="J50" s="72">
        <f t="shared" si="4"/>
        <v>2746.86934</v>
      </c>
      <c r="K50" s="71"/>
      <c r="L50" s="73">
        <f t="shared" si="22"/>
        <v>2891.44141</v>
      </c>
      <c r="M50" s="107">
        <v>2900.0</v>
      </c>
      <c r="N50" s="78"/>
      <c r="O50" s="75">
        <f t="shared" si="19"/>
        <v>300</v>
      </c>
      <c r="P50" s="54"/>
      <c r="Q50" s="76">
        <f t="shared" si="6"/>
        <v>2800</v>
      </c>
      <c r="R50" s="54"/>
      <c r="S50" s="76">
        <f t="shared" si="7"/>
        <v>2900</v>
      </c>
      <c r="T50" s="54"/>
      <c r="V50" s="54"/>
      <c r="W50" s="54"/>
      <c r="X50" s="54"/>
      <c r="Y50" s="54"/>
      <c r="Z50" s="54"/>
      <c r="AA50" s="54"/>
      <c r="AB50" s="54"/>
      <c r="AC50" s="54"/>
      <c r="AD50" s="54"/>
    </row>
    <row r="51">
      <c r="A51" s="67">
        <v>555031.0</v>
      </c>
      <c r="B51" s="86" t="s">
        <v>135</v>
      </c>
      <c r="C51" s="69">
        <v>300.0</v>
      </c>
      <c r="D51" s="70">
        <v>508.43</v>
      </c>
      <c r="E51" s="70">
        <f t="shared" si="1"/>
        <v>615.2003</v>
      </c>
      <c r="F51" s="71">
        <v>152529.0</v>
      </c>
      <c r="G51" s="71"/>
      <c r="H51" s="71">
        <f t="shared" si="2"/>
        <v>184560.09</v>
      </c>
      <c r="I51" s="71">
        <f t="shared" si="3"/>
        <v>615.2003</v>
      </c>
      <c r="J51" s="72">
        <f t="shared" si="4"/>
        <v>2746.86934</v>
      </c>
      <c r="K51" s="71"/>
      <c r="L51" s="73">
        <f t="shared" si="22"/>
        <v>2891.44141</v>
      </c>
      <c r="M51" s="107">
        <v>2900.0</v>
      </c>
      <c r="N51" s="78"/>
      <c r="O51" s="75">
        <f t="shared" si="19"/>
        <v>300</v>
      </c>
      <c r="P51" s="54"/>
      <c r="Q51" s="76">
        <f t="shared" si="6"/>
        <v>2800</v>
      </c>
      <c r="R51" s="54"/>
      <c r="S51" s="76">
        <f t="shared" si="7"/>
        <v>2900</v>
      </c>
      <c r="T51" s="54"/>
      <c r="V51" s="54"/>
      <c r="W51" s="54"/>
      <c r="X51" s="54"/>
      <c r="Y51" s="54"/>
      <c r="Z51" s="54"/>
      <c r="AA51" s="54"/>
      <c r="AB51" s="54"/>
      <c r="AC51" s="54"/>
      <c r="AD51" s="54"/>
    </row>
    <row r="52">
      <c r="A52" s="97" t="s">
        <v>79</v>
      </c>
      <c r="B52" s="97"/>
      <c r="C52" s="97"/>
      <c r="D52" s="97"/>
      <c r="E52" s="97"/>
      <c r="F52" s="97"/>
      <c r="G52" s="97"/>
      <c r="H52" s="97"/>
      <c r="I52" s="97"/>
      <c r="J52" s="108"/>
      <c r="K52" s="97"/>
      <c r="L52" s="108"/>
      <c r="M52" s="109"/>
      <c r="N52" s="110"/>
      <c r="O52" s="111"/>
      <c r="P52" s="112"/>
      <c r="Q52" s="113"/>
      <c r="R52" s="112"/>
      <c r="S52" s="113"/>
      <c r="T52" s="54"/>
      <c r="V52" s="54"/>
      <c r="W52" s="54"/>
      <c r="X52" s="54"/>
      <c r="Y52" s="54"/>
      <c r="Z52" s="54"/>
      <c r="AA52" s="54"/>
      <c r="AB52" s="54"/>
      <c r="AC52" s="54"/>
      <c r="AD52" s="54"/>
    </row>
    <row r="53">
      <c r="A53" s="67">
        <v>88609.0</v>
      </c>
      <c r="B53" s="86" t="s">
        <v>80</v>
      </c>
      <c r="C53" s="91">
        <v>1.0</v>
      </c>
      <c r="D53" s="71">
        <v>4673.51</v>
      </c>
      <c r="E53" s="70">
        <f t="shared" ref="E53:E60" si="23">D53*1.21</f>
        <v>5654.9471</v>
      </c>
      <c r="F53" s="71">
        <v>4673.51</v>
      </c>
      <c r="G53" s="94"/>
      <c r="H53" s="95">
        <f t="shared" ref="H53:H60" si="24">E53*C53</f>
        <v>5654.9471</v>
      </c>
      <c r="I53" s="95">
        <f t="shared" ref="I53:I60" si="25">H53/C53</f>
        <v>5654.9471</v>
      </c>
      <c r="J53" s="72">
        <f t="shared" ref="J53:J60" si="26">L53*0.95</f>
        <v>8058.299618</v>
      </c>
      <c r="K53" s="71"/>
      <c r="L53" s="73">
        <f>I53*1.5</f>
        <v>8482.42065</v>
      </c>
      <c r="M53" s="107">
        <v>8353.0</v>
      </c>
      <c r="N53" s="78"/>
      <c r="O53" s="75">
        <f t="shared" ref="O53:O60" si="27">C53-N53</f>
        <v>1</v>
      </c>
      <c r="P53" s="54"/>
      <c r="Q53" s="76">
        <f t="shared" ref="Q53:Q60" si="28">ROUNDUP(J53,-2)</f>
        <v>8100</v>
      </c>
      <c r="R53" s="54"/>
      <c r="S53" s="76">
        <f t="shared" ref="S53:S60" si="29">ROUNDUP(L53,-2)</f>
        <v>8500</v>
      </c>
      <c r="T53" s="54"/>
      <c r="V53" s="54"/>
      <c r="W53" s="54"/>
      <c r="X53" s="54"/>
      <c r="Y53" s="54"/>
      <c r="Z53" s="54"/>
      <c r="AA53" s="54"/>
      <c r="AB53" s="54"/>
      <c r="AC53" s="54"/>
      <c r="AD53" s="54"/>
    </row>
    <row r="54">
      <c r="A54" s="67">
        <v>88610.0</v>
      </c>
      <c r="B54" s="86" t="s">
        <v>81</v>
      </c>
      <c r="C54" s="91">
        <v>1.0</v>
      </c>
      <c r="D54" s="71">
        <v>6518.45</v>
      </c>
      <c r="E54" s="70">
        <f t="shared" si="23"/>
        <v>7887.3245</v>
      </c>
      <c r="F54" s="71">
        <v>6518.45</v>
      </c>
      <c r="G54" s="94"/>
      <c r="H54" s="95">
        <f t="shared" si="24"/>
        <v>7887.3245</v>
      </c>
      <c r="I54" s="95">
        <f t="shared" si="25"/>
        <v>7887.3245</v>
      </c>
      <c r="J54" s="72">
        <f t="shared" si="26"/>
        <v>13187.60656</v>
      </c>
      <c r="K54" s="71"/>
      <c r="L54" s="73">
        <f>I54*1.76</f>
        <v>13881.69112</v>
      </c>
      <c r="M54" s="107">
        <v>13900.0</v>
      </c>
      <c r="N54" s="78"/>
      <c r="O54" s="75">
        <f t="shared" si="27"/>
        <v>1</v>
      </c>
      <c r="P54" s="54"/>
      <c r="Q54" s="76">
        <f t="shared" si="28"/>
        <v>13200</v>
      </c>
      <c r="R54" s="54"/>
      <c r="S54" s="76">
        <f t="shared" si="29"/>
        <v>13900</v>
      </c>
      <c r="T54" s="54"/>
      <c r="V54" s="54"/>
      <c r="W54" s="54"/>
      <c r="X54" s="54"/>
      <c r="Y54" s="54"/>
      <c r="Z54" s="54"/>
      <c r="AA54" s="54"/>
      <c r="AB54" s="54"/>
      <c r="AC54" s="54"/>
      <c r="AD54" s="54"/>
    </row>
    <row r="55">
      <c r="A55" s="67">
        <v>88611.0</v>
      </c>
      <c r="B55" s="86" t="s">
        <v>82</v>
      </c>
      <c r="C55" s="91">
        <v>1.0</v>
      </c>
      <c r="D55" s="71">
        <v>9210.54</v>
      </c>
      <c r="E55" s="70">
        <f t="shared" si="23"/>
        <v>11144.7534</v>
      </c>
      <c r="F55" s="71">
        <v>9210.54</v>
      </c>
      <c r="G55" s="94"/>
      <c r="H55" s="95">
        <f t="shared" si="24"/>
        <v>11144.7534</v>
      </c>
      <c r="I55" s="95">
        <f t="shared" si="25"/>
        <v>11144.7534</v>
      </c>
      <c r="J55" s="72">
        <f t="shared" si="26"/>
        <v>18528.15253</v>
      </c>
      <c r="K55" s="71"/>
      <c r="L55" s="73">
        <f>I55*1.75</f>
        <v>19503.31845</v>
      </c>
      <c r="M55" s="107">
        <v>19600.0</v>
      </c>
      <c r="N55" s="78"/>
      <c r="O55" s="75">
        <f t="shared" si="27"/>
        <v>1</v>
      </c>
      <c r="P55" s="54"/>
      <c r="Q55" s="76">
        <f t="shared" si="28"/>
        <v>18600</v>
      </c>
      <c r="R55" s="54"/>
      <c r="S55" s="76">
        <f t="shared" si="29"/>
        <v>19600</v>
      </c>
      <c r="T55" s="54"/>
      <c r="V55" s="54"/>
      <c r="W55" s="54"/>
      <c r="X55" s="54"/>
      <c r="Y55" s="54"/>
      <c r="Z55" s="54"/>
      <c r="AA55" s="54"/>
      <c r="AB55" s="54"/>
      <c r="AC55" s="54"/>
      <c r="AD55" s="54"/>
    </row>
    <row r="56">
      <c r="A56" s="67">
        <v>88612.0</v>
      </c>
      <c r="B56" s="86" t="s">
        <v>83</v>
      </c>
      <c r="C56" s="91">
        <v>1.0</v>
      </c>
      <c r="D56" s="71">
        <v>11196.67</v>
      </c>
      <c r="E56" s="70">
        <f t="shared" si="23"/>
        <v>13547.9707</v>
      </c>
      <c r="F56" s="71">
        <v>11196.67</v>
      </c>
      <c r="G56" s="94"/>
      <c r="H56" s="95">
        <f t="shared" si="24"/>
        <v>13547.9707</v>
      </c>
      <c r="I56" s="95">
        <f t="shared" si="25"/>
        <v>13547.9707</v>
      </c>
      <c r="J56" s="72">
        <f t="shared" si="26"/>
        <v>22652.20701</v>
      </c>
      <c r="K56" s="71"/>
      <c r="L56" s="73">
        <f>I56*1.76</f>
        <v>23844.42843</v>
      </c>
      <c r="M56" s="107">
        <v>23900.0</v>
      </c>
      <c r="N56" s="78"/>
      <c r="O56" s="75">
        <f t="shared" si="27"/>
        <v>1</v>
      </c>
      <c r="P56" s="54"/>
      <c r="Q56" s="76">
        <f t="shared" si="28"/>
        <v>22700</v>
      </c>
      <c r="R56" s="54"/>
      <c r="S56" s="76">
        <f t="shared" si="29"/>
        <v>23900</v>
      </c>
      <c r="T56" s="54"/>
      <c r="V56" s="54"/>
      <c r="W56" s="54"/>
      <c r="X56" s="54"/>
      <c r="Y56" s="54"/>
      <c r="Z56" s="54"/>
      <c r="AA56" s="54"/>
      <c r="AB56" s="54"/>
      <c r="AC56" s="54"/>
      <c r="AD56" s="54"/>
    </row>
    <row r="57">
      <c r="A57" s="67">
        <v>88614.0</v>
      </c>
      <c r="B57" s="68" t="s">
        <v>84</v>
      </c>
      <c r="C57" s="91">
        <v>1.0</v>
      </c>
      <c r="D57" s="71">
        <v>26779.76</v>
      </c>
      <c r="E57" s="70">
        <f t="shared" si="23"/>
        <v>32403.5096</v>
      </c>
      <c r="F57" s="71">
        <v>26779.76</v>
      </c>
      <c r="G57" s="94"/>
      <c r="H57" s="95">
        <f t="shared" si="24"/>
        <v>32403.5096</v>
      </c>
      <c r="I57" s="95">
        <f t="shared" si="25"/>
        <v>32403.5096</v>
      </c>
      <c r="J57" s="72">
        <f t="shared" si="26"/>
        <v>51100.33464</v>
      </c>
      <c r="K57" s="71"/>
      <c r="L57" s="73">
        <f>I57*1.66</f>
        <v>53789.82594</v>
      </c>
      <c r="M57" s="107">
        <v>54000.0</v>
      </c>
      <c r="N57" s="78"/>
      <c r="O57" s="75">
        <f t="shared" si="27"/>
        <v>1</v>
      </c>
      <c r="P57" s="54"/>
      <c r="Q57" s="76">
        <f t="shared" si="28"/>
        <v>51200</v>
      </c>
      <c r="R57" s="54"/>
      <c r="S57" s="76">
        <f t="shared" si="29"/>
        <v>53800</v>
      </c>
      <c r="T57" s="54"/>
      <c r="V57" s="54"/>
      <c r="W57" s="54"/>
      <c r="X57" s="54"/>
      <c r="Y57" s="54"/>
      <c r="Z57" s="54"/>
      <c r="AA57" s="54"/>
      <c r="AB57" s="54"/>
      <c r="AC57" s="54"/>
      <c r="AD57" s="54"/>
    </row>
    <row r="58">
      <c r="A58" s="67">
        <v>88615.0</v>
      </c>
      <c r="B58" s="86" t="s">
        <v>85</v>
      </c>
      <c r="C58" s="91">
        <v>1.0</v>
      </c>
      <c r="D58" s="71">
        <v>49455.48</v>
      </c>
      <c r="E58" s="70">
        <f t="shared" si="23"/>
        <v>59841.1308</v>
      </c>
      <c r="F58" s="71">
        <v>49455.48</v>
      </c>
      <c r="G58" s="94"/>
      <c r="H58" s="95">
        <f t="shared" si="24"/>
        <v>59841.1308</v>
      </c>
      <c r="I58" s="95">
        <f t="shared" si="25"/>
        <v>59841.1308</v>
      </c>
      <c r="J58" s="72">
        <f t="shared" si="26"/>
        <v>85273.61139</v>
      </c>
      <c r="K58" s="71"/>
      <c r="L58" s="73">
        <f t="shared" ref="L58:L59" si="30">I58*1.5</f>
        <v>89761.6962</v>
      </c>
      <c r="M58" s="107">
        <v>88400.0</v>
      </c>
      <c r="N58" s="78"/>
      <c r="O58" s="75">
        <f t="shared" si="27"/>
        <v>1</v>
      </c>
      <c r="P58" s="54"/>
      <c r="Q58" s="76">
        <f t="shared" si="28"/>
        <v>85300</v>
      </c>
      <c r="R58" s="54"/>
      <c r="S58" s="76">
        <f t="shared" si="29"/>
        <v>89800</v>
      </c>
      <c r="T58" s="54"/>
      <c r="V58" s="54"/>
      <c r="W58" s="54"/>
      <c r="X58" s="54"/>
      <c r="Y58" s="54"/>
      <c r="Z58" s="54"/>
      <c r="AA58" s="54"/>
      <c r="AB58" s="54"/>
      <c r="AC58" s="54"/>
      <c r="AD58" s="54"/>
    </row>
    <row r="59">
      <c r="A59" s="67">
        <v>865.0</v>
      </c>
      <c r="B59" s="99" t="s">
        <v>86</v>
      </c>
      <c r="C59" s="91">
        <v>8.0</v>
      </c>
      <c r="D59" s="71">
        <v>8264.54</v>
      </c>
      <c r="E59" s="70">
        <f t="shared" si="23"/>
        <v>10000.0934</v>
      </c>
      <c r="F59" s="71">
        <v>66116.32</v>
      </c>
      <c r="G59" s="94"/>
      <c r="H59" s="95">
        <f t="shared" si="24"/>
        <v>80000.7472</v>
      </c>
      <c r="I59" s="95">
        <f t="shared" si="25"/>
        <v>10000.0934</v>
      </c>
      <c r="J59" s="72">
        <f t="shared" si="26"/>
        <v>14250.1331</v>
      </c>
      <c r="K59" s="71"/>
      <c r="L59" s="73">
        <f t="shared" si="30"/>
        <v>15000.1401</v>
      </c>
      <c r="M59" s="107">
        <v>14300.0</v>
      </c>
      <c r="N59" s="74">
        <v>1.0</v>
      </c>
      <c r="O59" s="75">
        <f t="shared" si="27"/>
        <v>7</v>
      </c>
      <c r="P59" s="54"/>
      <c r="Q59" s="76">
        <f t="shared" si="28"/>
        <v>14300</v>
      </c>
      <c r="R59" s="54"/>
      <c r="S59" s="76">
        <f t="shared" si="29"/>
        <v>15100</v>
      </c>
      <c r="T59" s="54"/>
      <c r="V59" s="54"/>
      <c r="W59" s="54"/>
      <c r="X59" s="54"/>
      <c r="Y59" s="54"/>
      <c r="Z59" s="54"/>
      <c r="AA59" s="54"/>
      <c r="AB59" s="54"/>
      <c r="AC59" s="54"/>
      <c r="AD59" s="54"/>
    </row>
    <row r="60">
      <c r="A60" s="67">
        <v>845.0</v>
      </c>
      <c r="B60" s="99" t="s">
        <v>87</v>
      </c>
      <c r="C60" s="91">
        <v>8.0</v>
      </c>
      <c r="D60" s="71">
        <v>21117.89</v>
      </c>
      <c r="E60" s="70">
        <f t="shared" si="23"/>
        <v>25552.6469</v>
      </c>
      <c r="F60" s="71">
        <v>168943.12</v>
      </c>
      <c r="G60" s="94"/>
      <c r="H60" s="95">
        <f t="shared" si="24"/>
        <v>204421.1752</v>
      </c>
      <c r="I60" s="95">
        <f t="shared" si="25"/>
        <v>25552.6469</v>
      </c>
      <c r="J60" s="72">
        <f t="shared" si="26"/>
        <v>32285.76936</v>
      </c>
      <c r="K60" s="71"/>
      <c r="L60" s="73">
        <f>I60*1.33</f>
        <v>33985.02038</v>
      </c>
      <c r="M60" s="114">
        <v>34000.0</v>
      </c>
      <c r="N60" s="74">
        <v>1.0</v>
      </c>
      <c r="O60" s="75">
        <f t="shared" si="27"/>
        <v>7</v>
      </c>
      <c r="P60" s="54"/>
      <c r="Q60" s="76">
        <f t="shared" si="28"/>
        <v>32300</v>
      </c>
      <c r="R60" s="54"/>
      <c r="S60" s="76">
        <f t="shared" si="29"/>
        <v>34000</v>
      </c>
      <c r="T60" s="54"/>
      <c r="V60" s="54"/>
      <c r="W60" s="54"/>
      <c r="X60" s="54"/>
      <c r="Y60" s="54"/>
      <c r="Z60" s="54"/>
      <c r="AA60" s="54"/>
      <c r="AB60" s="54"/>
      <c r="AC60" s="54"/>
      <c r="AD60" s="54"/>
    </row>
    <row r="61">
      <c r="M61" s="100"/>
      <c r="N61" s="100"/>
      <c r="O61" s="100"/>
    </row>
    <row r="62" ht="12.75" customHeight="1">
      <c r="A62" s="101"/>
      <c r="B62" s="54"/>
      <c r="C62" s="102"/>
      <c r="D62" s="101"/>
      <c r="E62" s="101"/>
      <c r="F62" s="101"/>
      <c r="G62" s="101"/>
      <c r="H62" s="101"/>
      <c r="I62" s="101"/>
      <c r="J62" s="101"/>
      <c r="K62" s="101"/>
      <c r="L62" s="101"/>
      <c r="M62" s="53"/>
      <c r="N62" s="53"/>
      <c r="O62" s="53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>
      <c r="A63" s="101"/>
      <c r="B63" s="103"/>
      <c r="C63" s="102"/>
      <c r="D63" s="101"/>
      <c r="E63" s="101"/>
      <c r="F63" s="101"/>
      <c r="G63" s="101"/>
      <c r="H63" s="101"/>
      <c r="I63" s="101"/>
      <c r="J63" s="104"/>
      <c r="K63" s="101"/>
      <c r="L63" s="101"/>
      <c r="M63" s="53"/>
      <c r="N63" s="53"/>
      <c r="O63" s="53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>
      <c r="A64" s="101"/>
      <c r="B64" s="103"/>
      <c r="C64" s="102"/>
      <c r="D64" s="101"/>
      <c r="E64" s="101"/>
      <c r="F64" s="101"/>
      <c r="G64" s="101"/>
      <c r="H64" s="101"/>
      <c r="I64" s="101"/>
      <c r="J64" s="104"/>
      <c r="K64" s="101"/>
      <c r="L64" s="101"/>
      <c r="M64" s="53"/>
      <c r="N64" s="53"/>
      <c r="O64" s="53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>
      <c r="A65" s="101"/>
      <c r="B65" s="103"/>
      <c r="C65" s="102"/>
      <c r="D65" s="101"/>
      <c r="E65" s="101"/>
      <c r="F65" s="101"/>
      <c r="G65" s="101"/>
      <c r="H65" s="101"/>
      <c r="I65" s="101"/>
      <c r="J65" s="104"/>
      <c r="K65" s="101"/>
      <c r="L65" s="101"/>
      <c r="M65" s="53"/>
      <c r="N65" s="53"/>
      <c r="O65" s="53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>
      <c r="A66" s="101"/>
      <c r="B66" s="103"/>
      <c r="C66" s="102"/>
      <c r="D66" s="101"/>
      <c r="E66" s="101"/>
      <c r="F66" s="101"/>
      <c r="G66" s="101"/>
      <c r="H66" s="101"/>
      <c r="I66" s="101"/>
      <c r="J66" s="104"/>
      <c r="K66" s="101"/>
      <c r="L66" s="101"/>
      <c r="M66" s="53"/>
      <c r="N66" s="53"/>
      <c r="O66" s="53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>
      <c r="A67" s="101"/>
      <c r="B67" s="105"/>
      <c r="C67" s="102"/>
      <c r="D67" s="101"/>
      <c r="E67" s="101"/>
      <c r="F67" s="101"/>
      <c r="G67" s="101"/>
      <c r="H67" s="101"/>
      <c r="I67" s="101"/>
      <c r="J67" s="104"/>
      <c r="K67" s="101"/>
      <c r="L67" s="101"/>
      <c r="M67" s="53"/>
      <c r="N67" s="53"/>
      <c r="O67" s="53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>
      <c r="A68" s="101"/>
      <c r="B68" s="105"/>
      <c r="C68" s="102"/>
      <c r="D68" s="101"/>
      <c r="E68" s="101"/>
      <c r="F68" s="101"/>
      <c r="G68" s="101"/>
      <c r="H68" s="101"/>
      <c r="I68" s="101"/>
      <c r="J68" s="104"/>
      <c r="K68" s="101"/>
      <c r="L68" s="115"/>
      <c r="M68" s="53"/>
      <c r="N68" s="53"/>
      <c r="O68" s="53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ht="12.75" customHeight="1">
      <c r="A69" s="101"/>
      <c r="B69" s="54"/>
      <c r="C69" s="102"/>
      <c r="D69" s="101"/>
      <c r="E69" s="101"/>
      <c r="F69" s="101"/>
      <c r="G69" s="101"/>
      <c r="H69" s="101"/>
      <c r="I69" s="101"/>
      <c r="J69" s="115"/>
      <c r="K69" s="101"/>
      <c r="L69" s="116"/>
      <c r="M69" s="53"/>
      <c r="N69" s="53"/>
      <c r="O69" s="53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ht="12.75" customHeight="1">
      <c r="A70" s="101"/>
      <c r="B70" s="54"/>
      <c r="C70" s="102"/>
      <c r="D70" s="101"/>
      <c r="E70" s="101"/>
      <c r="F70" s="101"/>
      <c r="G70" s="101"/>
      <c r="H70" s="101"/>
      <c r="I70" s="115"/>
      <c r="J70" s="115"/>
      <c r="K70" s="101"/>
      <c r="L70" s="115"/>
      <c r="M70" s="53"/>
      <c r="N70" s="53"/>
      <c r="O70" s="53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ht="12.75" customHeight="1">
      <c r="A71" s="101"/>
      <c r="B71" s="54"/>
      <c r="C71" s="102"/>
      <c r="D71" s="101"/>
      <c r="E71" s="101"/>
      <c r="F71" s="101"/>
      <c r="G71" s="101"/>
      <c r="H71" s="101"/>
      <c r="I71" s="115"/>
      <c r="J71" s="117"/>
      <c r="K71" s="101"/>
      <c r="L71" s="101"/>
      <c r="M71" s="53"/>
      <c r="N71" s="53"/>
      <c r="O71" s="53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ht="12.75" customHeight="1">
      <c r="A72" s="101"/>
      <c r="B72" s="54"/>
      <c r="C72" s="102"/>
      <c r="D72" s="101"/>
      <c r="E72" s="101"/>
      <c r="F72" s="101"/>
      <c r="G72" s="101"/>
      <c r="H72" s="101"/>
      <c r="I72" s="101"/>
      <c r="J72" s="101"/>
      <c r="K72" s="101"/>
      <c r="L72" s="101"/>
      <c r="M72" s="53"/>
      <c r="N72" s="53"/>
      <c r="O72" s="53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ht="12.75" customHeight="1">
      <c r="A73" s="101"/>
      <c r="B73" s="54"/>
      <c r="C73" s="102"/>
      <c r="D73" s="101"/>
      <c r="E73" s="101"/>
      <c r="F73" s="101"/>
      <c r="G73" s="101"/>
      <c r="H73" s="101"/>
      <c r="I73" s="101"/>
      <c r="J73" s="101"/>
      <c r="K73" s="101"/>
      <c r="L73" s="101"/>
      <c r="M73" s="53"/>
      <c r="N73" s="53"/>
      <c r="O73" s="53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ht="12.75" customHeight="1">
      <c r="A74" s="101"/>
      <c r="B74" s="54"/>
      <c r="C74" s="102"/>
      <c r="D74" s="101"/>
      <c r="E74" s="101"/>
      <c r="F74" s="101"/>
      <c r="G74" s="101"/>
      <c r="H74" s="101"/>
      <c r="I74" s="101"/>
      <c r="J74" s="118"/>
      <c r="K74" s="119"/>
      <c r="L74" s="120"/>
      <c r="M74" s="53"/>
      <c r="N74" s="53"/>
      <c r="O74" s="53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ht="12.75" customHeight="1">
      <c r="A75" s="101"/>
      <c r="B75" s="54"/>
      <c r="C75" s="102"/>
      <c r="D75" s="101"/>
      <c r="E75" s="101"/>
      <c r="F75" s="101"/>
      <c r="G75" s="101"/>
      <c r="H75" s="101"/>
      <c r="I75" s="101"/>
      <c r="J75" s="118"/>
      <c r="K75" s="119"/>
      <c r="L75" s="121"/>
      <c r="M75" s="53"/>
      <c r="N75" s="53"/>
      <c r="O75" s="53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ht="12.75" customHeight="1">
      <c r="A76" s="101"/>
      <c r="B76" s="54"/>
      <c r="C76" s="102"/>
      <c r="D76" s="101"/>
      <c r="E76" s="101"/>
      <c r="F76" s="101"/>
      <c r="G76" s="101"/>
      <c r="H76" s="101"/>
      <c r="I76" s="101"/>
      <c r="J76" s="119"/>
      <c r="K76" s="119"/>
      <c r="L76" s="119"/>
      <c r="M76" s="53"/>
      <c r="N76" s="53"/>
      <c r="O76" s="53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ht="12.75" customHeight="1">
      <c r="A77" s="101"/>
      <c r="B77" s="54"/>
      <c r="C77" s="102"/>
      <c r="D77" s="101"/>
      <c r="E77" s="101"/>
      <c r="F77" s="101"/>
      <c r="G77" s="101"/>
      <c r="H77" s="101"/>
      <c r="I77" s="101"/>
      <c r="J77" s="101"/>
      <c r="K77" s="101"/>
      <c r="L77" s="101"/>
      <c r="M77" s="53"/>
      <c r="N77" s="53"/>
      <c r="O77" s="53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ht="12.75" customHeight="1">
      <c r="A78" s="101"/>
      <c r="B78" s="54"/>
      <c r="C78" s="102"/>
      <c r="D78" s="101"/>
      <c r="E78" s="101"/>
      <c r="F78" s="101"/>
      <c r="G78" s="101"/>
      <c r="H78" s="101"/>
      <c r="I78" s="101"/>
      <c r="J78" s="101"/>
      <c r="K78" s="101"/>
      <c r="L78" s="101"/>
      <c r="M78" s="53"/>
      <c r="N78" s="53"/>
      <c r="O78" s="53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ht="12.75" customHeight="1">
      <c r="A79" s="101"/>
      <c r="B79" s="54"/>
      <c r="C79" s="102"/>
      <c r="D79" s="101"/>
      <c r="E79" s="101"/>
      <c r="F79" s="101"/>
      <c r="G79" s="101"/>
      <c r="H79" s="101"/>
      <c r="I79" s="101"/>
      <c r="J79" s="101"/>
      <c r="K79" s="101"/>
      <c r="L79" s="101"/>
      <c r="M79" s="53"/>
      <c r="N79" s="53"/>
      <c r="O79" s="53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ht="12.75" customHeight="1">
      <c r="A80" s="101"/>
      <c r="B80" s="54"/>
      <c r="C80" s="102"/>
      <c r="D80" s="101"/>
      <c r="E80" s="101"/>
      <c r="F80" s="101"/>
      <c r="G80" s="101"/>
      <c r="H80" s="101"/>
      <c r="I80" s="101"/>
      <c r="J80" s="101"/>
      <c r="K80" s="101"/>
      <c r="L80" s="101"/>
      <c r="M80" s="53"/>
      <c r="N80" s="53"/>
      <c r="O80" s="53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ht="12.75" customHeight="1">
      <c r="A81" s="101"/>
      <c r="B81" s="54"/>
      <c r="C81" s="102"/>
      <c r="D81" s="101"/>
      <c r="E81" s="101"/>
      <c r="F81" s="101"/>
      <c r="G81" s="101"/>
      <c r="H81" s="101"/>
      <c r="I81" s="101"/>
      <c r="J81" s="101"/>
      <c r="K81" s="101"/>
      <c r="L81" s="101"/>
      <c r="M81" s="53"/>
      <c r="N81" s="53"/>
      <c r="O81" s="53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ht="12.75" customHeight="1">
      <c r="A82" s="101"/>
      <c r="B82" s="54"/>
      <c r="C82" s="102"/>
      <c r="D82" s="101"/>
      <c r="E82" s="101"/>
      <c r="F82" s="101"/>
      <c r="G82" s="101"/>
      <c r="H82" s="101"/>
      <c r="I82" s="101"/>
      <c r="J82" s="101"/>
      <c r="K82" s="101"/>
      <c r="L82" s="101"/>
      <c r="M82" s="53"/>
      <c r="N82" s="53"/>
      <c r="O82" s="53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ht="12.75" customHeight="1">
      <c r="A83" s="101"/>
      <c r="B83" s="54"/>
      <c r="C83" s="102"/>
      <c r="D83" s="101"/>
      <c r="E83" s="101"/>
      <c r="F83" s="101"/>
      <c r="G83" s="101"/>
      <c r="H83" s="101"/>
      <c r="I83" s="101"/>
      <c r="J83" s="101"/>
      <c r="K83" s="101"/>
      <c r="L83" s="101"/>
      <c r="M83" s="53"/>
      <c r="N83" s="53"/>
      <c r="O83" s="53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ht="12.75" customHeight="1">
      <c r="A84" s="101"/>
      <c r="B84" s="54"/>
      <c r="C84" s="102"/>
      <c r="D84" s="101"/>
      <c r="E84" s="101"/>
      <c r="F84" s="101"/>
      <c r="G84" s="101"/>
      <c r="H84" s="101"/>
      <c r="I84" s="101"/>
      <c r="J84" s="101"/>
      <c r="K84" s="101"/>
      <c r="L84" s="101"/>
      <c r="M84" s="53"/>
      <c r="N84" s="53"/>
      <c r="O84" s="53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ht="12.75" customHeight="1">
      <c r="A85" s="101"/>
      <c r="B85" s="54"/>
      <c r="C85" s="102"/>
      <c r="D85" s="101"/>
      <c r="E85" s="101"/>
      <c r="F85" s="101"/>
      <c r="G85" s="101"/>
      <c r="H85" s="101"/>
      <c r="I85" s="101"/>
      <c r="J85" s="101"/>
      <c r="K85" s="101"/>
      <c r="L85" s="101"/>
      <c r="M85" s="53"/>
      <c r="N85" s="53"/>
      <c r="O85" s="53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ht="12.75" customHeight="1">
      <c r="A86" s="101"/>
      <c r="B86" s="54"/>
      <c r="C86" s="102"/>
      <c r="D86" s="101"/>
      <c r="E86" s="101"/>
      <c r="F86" s="101"/>
      <c r="G86" s="101"/>
      <c r="H86" s="101"/>
      <c r="I86" s="101"/>
      <c r="J86" s="101"/>
      <c r="K86" s="101"/>
      <c r="L86" s="101"/>
      <c r="M86" s="53"/>
      <c r="N86" s="53"/>
      <c r="O86" s="53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ht="12.75" customHeight="1">
      <c r="A87" s="101"/>
      <c r="B87" s="54"/>
      <c r="C87" s="102"/>
      <c r="D87" s="101"/>
      <c r="E87" s="101"/>
      <c r="F87" s="101"/>
      <c r="G87" s="101"/>
      <c r="H87" s="101"/>
      <c r="I87" s="101"/>
      <c r="J87" s="101"/>
      <c r="K87" s="101"/>
      <c r="L87" s="101"/>
      <c r="M87" s="53"/>
      <c r="N87" s="53"/>
      <c r="O87" s="53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ht="12.75" customHeight="1">
      <c r="A88" s="101"/>
      <c r="B88" s="54"/>
      <c r="C88" s="102"/>
      <c r="D88" s="101"/>
      <c r="E88" s="101"/>
      <c r="F88" s="101"/>
      <c r="G88" s="101"/>
      <c r="H88" s="101"/>
      <c r="I88" s="101"/>
      <c r="J88" s="101"/>
      <c r="K88" s="101"/>
      <c r="L88" s="101"/>
      <c r="M88" s="53"/>
      <c r="N88" s="53"/>
      <c r="O88" s="53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ht="12.75" customHeight="1">
      <c r="A89" s="101"/>
      <c r="B89" s="54"/>
      <c r="C89" s="102"/>
      <c r="D89" s="101"/>
      <c r="E89" s="101"/>
      <c r="F89" s="101"/>
      <c r="G89" s="101"/>
      <c r="H89" s="101"/>
      <c r="I89" s="101"/>
      <c r="J89" s="101"/>
      <c r="K89" s="101"/>
      <c r="L89" s="101"/>
      <c r="M89" s="53"/>
      <c r="N89" s="53"/>
      <c r="O89" s="53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ht="12.75" customHeight="1">
      <c r="A90" s="101"/>
      <c r="B90" s="54"/>
      <c r="C90" s="102"/>
      <c r="D90" s="101"/>
      <c r="E90" s="101"/>
      <c r="F90" s="101"/>
      <c r="G90" s="101"/>
      <c r="H90" s="101"/>
      <c r="I90" s="101"/>
      <c r="J90" s="101"/>
      <c r="K90" s="101"/>
      <c r="L90" s="101"/>
      <c r="M90" s="53"/>
      <c r="N90" s="53"/>
      <c r="O90" s="53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ht="12.75" customHeight="1">
      <c r="A91" s="101"/>
      <c r="B91" s="54"/>
      <c r="C91" s="102"/>
      <c r="D91" s="101"/>
      <c r="E91" s="101"/>
      <c r="F91" s="101"/>
      <c r="G91" s="101"/>
      <c r="H91" s="101"/>
      <c r="I91" s="101"/>
      <c r="J91" s="101"/>
      <c r="K91" s="101"/>
      <c r="L91" s="101"/>
      <c r="M91" s="53"/>
      <c r="N91" s="53"/>
      <c r="O91" s="53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ht="12.75" customHeight="1">
      <c r="A92" s="101"/>
      <c r="B92" s="54"/>
      <c r="C92" s="102"/>
      <c r="D92" s="101"/>
      <c r="E92" s="101"/>
      <c r="F92" s="101"/>
      <c r="G92" s="115"/>
      <c r="H92" s="101"/>
      <c r="I92" s="115"/>
      <c r="J92" s="115"/>
      <c r="K92" s="101"/>
      <c r="L92" s="115"/>
      <c r="M92" s="122"/>
      <c r="N92" s="53"/>
      <c r="O92" s="53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ht="12.75" customHeight="1">
      <c r="A93" s="101"/>
      <c r="B93" s="54"/>
      <c r="C93" s="102"/>
      <c r="D93" s="101"/>
      <c r="E93" s="101"/>
      <c r="F93" s="101"/>
      <c r="G93" s="101"/>
      <c r="H93" s="101"/>
      <c r="I93" s="101"/>
      <c r="J93" s="101"/>
      <c r="K93" s="101"/>
      <c r="L93" s="101"/>
      <c r="M93" s="53"/>
      <c r="N93" s="53"/>
      <c r="O93" s="53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ht="12.75" customHeight="1">
      <c r="A94" s="101"/>
      <c r="B94" s="54"/>
      <c r="C94" s="102"/>
      <c r="D94" s="101"/>
      <c r="E94" s="101"/>
      <c r="F94" s="101"/>
      <c r="G94" s="101"/>
      <c r="H94" s="101"/>
      <c r="I94" s="115"/>
      <c r="J94" s="101"/>
      <c r="K94" s="101"/>
      <c r="L94" s="101"/>
      <c r="M94" s="53"/>
      <c r="N94" s="53"/>
      <c r="O94" s="53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ht="12.75" customHeight="1">
      <c r="A95" s="101"/>
      <c r="B95" s="54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53"/>
      <c r="N95" s="53"/>
      <c r="O95" s="53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ht="12.75" customHeight="1">
      <c r="A96" s="101"/>
      <c r="B96" s="54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53"/>
      <c r="N96" s="53"/>
      <c r="O96" s="53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ht="12.75" customHeight="1">
      <c r="A97" s="101"/>
      <c r="B97" s="54"/>
      <c r="C97" s="102"/>
      <c r="D97" s="101"/>
      <c r="E97" s="101"/>
      <c r="F97" s="101"/>
      <c r="G97" s="101"/>
      <c r="H97" s="101"/>
      <c r="I97" s="101"/>
      <c r="J97" s="101"/>
      <c r="K97" s="101"/>
      <c r="L97" s="101"/>
      <c r="M97" s="53"/>
      <c r="N97" s="53"/>
      <c r="O97" s="53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ht="12.75" customHeight="1">
      <c r="A98" s="101"/>
      <c r="B98" s="54"/>
      <c r="C98" s="102"/>
      <c r="D98" s="101"/>
      <c r="E98" s="101"/>
      <c r="F98" s="101"/>
      <c r="G98" s="101"/>
      <c r="H98" s="101"/>
      <c r="I98" s="101"/>
      <c r="J98" s="101"/>
      <c r="K98" s="101"/>
      <c r="L98" s="101"/>
      <c r="M98" s="53"/>
      <c r="N98" s="53"/>
      <c r="O98" s="53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ht="12.75" customHeight="1">
      <c r="A99" s="101"/>
      <c r="B99" s="54"/>
      <c r="C99" s="102"/>
      <c r="D99" s="101"/>
      <c r="E99" s="101"/>
      <c r="F99" s="101"/>
      <c r="G99" s="101"/>
      <c r="H99" s="101"/>
      <c r="I99" s="101"/>
      <c r="J99" s="101"/>
      <c r="K99" s="101"/>
      <c r="L99" s="101"/>
      <c r="M99" s="53"/>
      <c r="N99" s="53"/>
      <c r="O99" s="53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ht="12.75" customHeight="1">
      <c r="A100" s="101"/>
      <c r="B100" s="54"/>
      <c r="C100" s="102"/>
      <c r="D100" s="101"/>
      <c r="E100" s="101"/>
      <c r="F100" s="101"/>
      <c r="G100" s="101"/>
      <c r="H100" s="101"/>
      <c r="I100" s="101"/>
      <c r="J100" s="101"/>
      <c r="K100" s="101"/>
      <c r="L100" s="101"/>
      <c r="M100" s="53"/>
      <c r="N100" s="53"/>
      <c r="O100" s="53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ht="12.75" customHeight="1">
      <c r="A101" s="101"/>
      <c r="B101" s="54"/>
      <c r="C101" s="102"/>
      <c r="D101" s="101"/>
      <c r="E101" s="101"/>
      <c r="F101" s="101"/>
      <c r="G101" s="101"/>
      <c r="H101" s="101"/>
      <c r="I101" s="101"/>
      <c r="J101" s="101"/>
      <c r="K101" s="101"/>
      <c r="L101" s="101"/>
      <c r="M101" s="53"/>
      <c r="N101" s="53"/>
      <c r="O101" s="53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ht="12.75" customHeight="1">
      <c r="A102" s="101"/>
      <c r="B102" s="54"/>
      <c r="C102" s="102"/>
      <c r="D102" s="101"/>
      <c r="E102" s="101"/>
      <c r="F102" s="101"/>
      <c r="G102" s="101"/>
      <c r="H102" s="101"/>
      <c r="I102" s="101"/>
      <c r="J102" s="101"/>
      <c r="K102" s="101"/>
      <c r="L102" s="101"/>
      <c r="M102" s="53"/>
      <c r="N102" s="53"/>
      <c r="O102" s="53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ht="12.75" customHeight="1">
      <c r="A103" s="101"/>
      <c r="B103" s="54"/>
      <c r="C103" s="102"/>
      <c r="D103" s="101"/>
      <c r="E103" s="101"/>
      <c r="F103" s="101"/>
      <c r="G103" s="101"/>
      <c r="H103" s="101"/>
      <c r="I103" s="101"/>
      <c r="J103" s="101"/>
      <c r="K103" s="101"/>
      <c r="L103" s="101"/>
      <c r="M103" s="53"/>
      <c r="N103" s="53"/>
      <c r="O103" s="53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ht="12.75" customHeight="1">
      <c r="A104" s="101"/>
      <c r="B104" s="54"/>
      <c r="C104" s="102"/>
      <c r="D104" s="101"/>
      <c r="E104" s="101"/>
      <c r="F104" s="101"/>
      <c r="G104" s="101"/>
      <c r="H104" s="101"/>
      <c r="I104" s="101"/>
      <c r="J104" s="101"/>
      <c r="K104" s="101"/>
      <c r="L104" s="101"/>
      <c r="M104" s="53"/>
      <c r="N104" s="53"/>
      <c r="O104" s="53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ht="12.75" customHeight="1">
      <c r="A105" s="101"/>
      <c r="B105" s="54"/>
      <c r="C105" s="102"/>
      <c r="D105" s="101"/>
      <c r="E105" s="101"/>
      <c r="F105" s="101"/>
      <c r="G105" s="101"/>
      <c r="H105" s="101"/>
      <c r="I105" s="101"/>
      <c r="J105" s="101"/>
      <c r="K105" s="101"/>
      <c r="L105" s="101"/>
      <c r="M105" s="53"/>
      <c r="N105" s="53"/>
      <c r="O105" s="53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ht="12.75" customHeight="1">
      <c r="A106" s="101"/>
      <c r="B106" s="54"/>
      <c r="C106" s="102"/>
      <c r="D106" s="101"/>
      <c r="E106" s="101"/>
      <c r="F106" s="101"/>
      <c r="G106" s="101"/>
      <c r="H106" s="101"/>
      <c r="I106" s="101"/>
      <c r="J106" s="101"/>
      <c r="K106" s="101"/>
      <c r="L106" s="101"/>
      <c r="M106" s="53"/>
      <c r="N106" s="53"/>
      <c r="O106" s="53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ht="12.75" customHeight="1">
      <c r="A107" s="101"/>
      <c r="B107" s="54"/>
      <c r="C107" s="102"/>
      <c r="D107" s="101"/>
      <c r="E107" s="101"/>
      <c r="F107" s="101"/>
      <c r="G107" s="101"/>
      <c r="H107" s="101"/>
      <c r="I107" s="101"/>
      <c r="J107" s="101"/>
      <c r="K107" s="101"/>
      <c r="L107" s="101"/>
      <c r="M107" s="53"/>
      <c r="N107" s="53"/>
      <c r="O107" s="53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ht="12.75" customHeight="1">
      <c r="A108" s="101"/>
      <c r="B108" s="54"/>
      <c r="C108" s="102"/>
      <c r="D108" s="101"/>
      <c r="E108" s="101"/>
      <c r="F108" s="101"/>
      <c r="G108" s="101"/>
      <c r="H108" s="101"/>
      <c r="I108" s="101"/>
      <c r="J108" s="101"/>
      <c r="K108" s="101"/>
      <c r="L108" s="101"/>
      <c r="M108" s="53"/>
      <c r="N108" s="53"/>
      <c r="O108" s="53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ht="12.75" customHeight="1">
      <c r="A109" s="101"/>
      <c r="B109" s="54"/>
      <c r="C109" s="102"/>
      <c r="D109" s="101"/>
      <c r="E109" s="101"/>
      <c r="F109" s="101"/>
      <c r="G109" s="101"/>
      <c r="H109" s="101"/>
      <c r="I109" s="101"/>
      <c r="J109" s="101"/>
      <c r="K109" s="101"/>
      <c r="L109" s="101"/>
      <c r="M109" s="53"/>
      <c r="N109" s="53"/>
      <c r="O109" s="53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ht="12.75" customHeight="1">
      <c r="A110" s="101"/>
      <c r="B110" s="54"/>
      <c r="C110" s="102"/>
      <c r="D110" s="101"/>
      <c r="E110" s="101"/>
      <c r="F110" s="101"/>
      <c r="G110" s="101"/>
      <c r="H110" s="101"/>
      <c r="I110" s="101"/>
      <c r="J110" s="101"/>
      <c r="K110" s="101"/>
      <c r="L110" s="101"/>
      <c r="M110" s="53"/>
      <c r="N110" s="53"/>
      <c r="O110" s="53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ht="12.75" customHeight="1">
      <c r="A111" s="101"/>
      <c r="B111" s="54"/>
      <c r="C111" s="102"/>
      <c r="D111" s="101"/>
      <c r="E111" s="101"/>
      <c r="F111" s="101"/>
      <c r="G111" s="101"/>
      <c r="H111" s="101"/>
      <c r="I111" s="101"/>
      <c r="J111" s="101"/>
      <c r="K111" s="101"/>
      <c r="L111" s="101"/>
      <c r="M111" s="53"/>
      <c r="N111" s="53"/>
      <c r="O111" s="53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ht="12.75" customHeight="1">
      <c r="A112" s="101"/>
      <c r="B112" s="54"/>
      <c r="C112" s="102"/>
      <c r="D112" s="101"/>
      <c r="E112" s="101"/>
      <c r="F112" s="101"/>
      <c r="G112" s="101"/>
      <c r="H112" s="101"/>
      <c r="I112" s="101"/>
      <c r="J112" s="101"/>
      <c r="K112" s="101"/>
      <c r="L112" s="101"/>
      <c r="M112" s="53"/>
      <c r="N112" s="53"/>
      <c r="O112" s="53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ht="12.75" customHeight="1">
      <c r="A113" s="101"/>
      <c r="B113" s="54"/>
      <c r="C113" s="102"/>
      <c r="D113" s="101"/>
      <c r="E113" s="101"/>
      <c r="F113" s="101"/>
      <c r="G113" s="101"/>
      <c r="H113" s="101"/>
      <c r="I113" s="101"/>
      <c r="J113" s="101"/>
      <c r="K113" s="101"/>
      <c r="L113" s="101"/>
      <c r="M113" s="53"/>
      <c r="N113" s="53"/>
      <c r="O113" s="53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ht="12.75" customHeight="1">
      <c r="A114" s="101"/>
      <c r="B114" s="54"/>
      <c r="C114" s="102"/>
      <c r="D114" s="101"/>
      <c r="E114" s="101"/>
      <c r="F114" s="101"/>
      <c r="G114" s="101"/>
      <c r="H114" s="101"/>
      <c r="I114" s="101"/>
      <c r="J114" s="101"/>
      <c r="K114" s="101"/>
      <c r="L114" s="101"/>
      <c r="M114" s="53"/>
      <c r="N114" s="53"/>
      <c r="O114" s="53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ht="12.75" customHeight="1">
      <c r="A115" s="101"/>
      <c r="B115" s="54"/>
      <c r="C115" s="102"/>
      <c r="D115" s="101"/>
      <c r="E115" s="101"/>
      <c r="F115" s="101"/>
      <c r="G115" s="101"/>
      <c r="H115" s="101"/>
      <c r="I115" s="101"/>
      <c r="J115" s="101"/>
      <c r="K115" s="101"/>
      <c r="L115" s="101"/>
      <c r="M115" s="53"/>
      <c r="N115" s="53"/>
      <c r="O115" s="53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ht="12.75" customHeight="1">
      <c r="A116" s="101"/>
      <c r="B116" s="54"/>
      <c r="C116" s="102"/>
      <c r="D116" s="101"/>
      <c r="E116" s="101"/>
      <c r="F116" s="101"/>
      <c r="G116" s="101"/>
      <c r="H116" s="101"/>
      <c r="I116" s="101"/>
      <c r="J116" s="101"/>
      <c r="K116" s="101"/>
      <c r="L116" s="101"/>
      <c r="M116" s="53"/>
      <c r="N116" s="53"/>
      <c r="O116" s="53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ht="12.75" customHeight="1">
      <c r="A117" s="101"/>
      <c r="B117" s="54"/>
      <c r="C117" s="102"/>
      <c r="D117" s="101"/>
      <c r="E117" s="101"/>
      <c r="F117" s="101"/>
      <c r="G117" s="101"/>
      <c r="H117" s="101"/>
      <c r="I117" s="101"/>
      <c r="J117" s="101"/>
      <c r="K117" s="101"/>
      <c r="L117" s="101"/>
      <c r="M117" s="53"/>
      <c r="N117" s="53"/>
      <c r="O117" s="53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ht="12.75" customHeight="1">
      <c r="A118" s="101"/>
      <c r="B118" s="54"/>
      <c r="C118" s="102"/>
      <c r="D118" s="101"/>
      <c r="E118" s="101"/>
      <c r="F118" s="101"/>
      <c r="G118" s="101"/>
      <c r="H118" s="101"/>
      <c r="I118" s="101"/>
      <c r="J118" s="101"/>
      <c r="K118" s="101"/>
      <c r="L118" s="101"/>
      <c r="M118" s="53"/>
      <c r="N118" s="53"/>
      <c r="O118" s="53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ht="12.75" customHeight="1">
      <c r="A119" s="101"/>
      <c r="B119" s="54"/>
      <c r="C119" s="102"/>
      <c r="D119" s="101"/>
      <c r="E119" s="101"/>
      <c r="F119" s="101"/>
      <c r="G119" s="101"/>
      <c r="H119" s="101"/>
      <c r="I119" s="101"/>
      <c r="J119" s="101"/>
      <c r="K119" s="101"/>
      <c r="L119" s="101"/>
      <c r="M119" s="53"/>
      <c r="N119" s="53"/>
      <c r="O119" s="53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ht="12.75" customHeight="1">
      <c r="A120" s="101"/>
      <c r="B120" s="54"/>
      <c r="C120" s="102"/>
      <c r="D120" s="101"/>
      <c r="E120" s="101"/>
      <c r="F120" s="101"/>
      <c r="G120" s="101"/>
      <c r="H120" s="101"/>
      <c r="I120" s="101"/>
      <c r="J120" s="101"/>
      <c r="K120" s="101"/>
      <c r="L120" s="101"/>
      <c r="M120" s="53"/>
      <c r="N120" s="53"/>
      <c r="O120" s="53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ht="12.75" customHeight="1">
      <c r="A121" s="101"/>
      <c r="B121" s="54"/>
      <c r="C121" s="102"/>
      <c r="D121" s="101"/>
      <c r="E121" s="101"/>
      <c r="F121" s="101"/>
      <c r="G121" s="101"/>
      <c r="H121" s="101"/>
      <c r="I121" s="101"/>
      <c r="J121" s="101"/>
      <c r="K121" s="101"/>
      <c r="L121" s="101"/>
      <c r="M121" s="53"/>
      <c r="N121" s="53"/>
      <c r="O121" s="53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ht="12.75" customHeight="1">
      <c r="A122" s="101"/>
      <c r="B122" s="54"/>
      <c r="C122" s="102"/>
      <c r="D122" s="101"/>
      <c r="E122" s="101"/>
      <c r="F122" s="101"/>
      <c r="G122" s="101"/>
      <c r="H122" s="101"/>
      <c r="I122" s="101"/>
      <c r="J122" s="101"/>
      <c r="K122" s="101"/>
      <c r="L122" s="101"/>
      <c r="M122" s="53"/>
      <c r="N122" s="53"/>
      <c r="O122" s="53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ht="12.75" customHeight="1">
      <c r="A123" s="101"/>
      <c r="B123" s="54"/>
      <c r="C123" s="102"/>
      <c r="D123" s="101"/>
      <c r="E123" s="101"/>
      <c r="F123" s="101"/>
      <c r="G123" s="101"/>
      <c r="H123" s="101"/>
      <c r="I123" s="101"/>
      <c r="J123" s="101"/>
      <c r="K123" s="101"/>
      <c r="L123" s="101"/>
      <c r="M123" s="53"/>
      <c r="N123" s="53"/>
      <c r="O123" s="53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ht="12.75" customHeight="1">
      <c r="A124" s="101"/>
      <c r="B124" s="54"/>
      <c r="C124" s="102"/>
      <c r="D124" s="101"/>
      <c r="E124" s="101"/>
      <c r="F124" s="101"/>
      <c r="G124" s="101"/>
      <c r="H124" s="101"/>
      <c r="I124" s="101"/>
      <c r="J124" s="101"/>
      <c r="K124" s="101"/>
      <c r="L124" s="101"/>
      <c r="M124" s="53"/>
      <c r="N124" s="53"/>
      <c r="O124" s="53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ht="12.75" customHeight="1">
      <c r="A125" s="101"/>
      <c r="B125" s="54"/>
      <c r="C125" s="102"/>
      <c r="D125" s="101"/>
      <c r="E125" s="101"/>
      <c r="F125" s="101"/>
      <c r="G125" s="101"/>
      <c r="H125" s="101"/>
      <c r="I125" s="101"/>
      <c r="J125" s="101"/>
      <c r="K125" s="101"/>
      <c r="L125" s="101"/>
      <c r="M125" s="53"/>
      <c r="N125" s="53"/>
      <c r="O125" s="53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ht="12.75" customHeight="1">
      <c r="A126" s="101"/>
      <c r="B126" s="54"/>
      <c r="C126" s="102"/>
      <c r="D126" s="101"/>
      <c r="E126" s="101"/>
      <c r="F126" s="101"/>
      <c r="G126" s="101"/>
      <c r="H126" s="101"/>
      <c r="I126" s="101"/>
      <c r="J126" s="101"/>
      <c r="K126" s="101"/>
      <c r="L126" s="101"/>
      <c r="M126" s="53"/>
      <c r="N126" s="53"/>
      <c r="O126" s="53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ht="12.75" customHeight="1">
      <c r="A127" s="101"/>
      <c r="B127" s="54"/>
      <c r="C127" s="102"/>
      <c r="D127" s="101"/>
      <c r="E127" s="101"/>
      <c r="F127" s="101"/>
      <c r="G127" s="101"/>
      <c r="H127" s="101"/>
      <c r="I127" s="101"/>
      <c r="J127" s="101"/>
      <c r="K127" s="101"/>
      <c r="L127" s="101"/>
      <c r="M127" s="53"/>
      <c r="N127" s="53"/>
      <c r="O127" s="53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ht="12.75" customHeight="1">
      <c r="A128" s="101"/>
      <c r="B128" s="54"/>
      <c r="C128" s="102"/>
      <c r="D128" s="101"/>
      <c r="E128" s="101"/>
      <c r="F128" s="101"/>
      <c r="G128" s="101"/>
      <c r="H128" s="101"/>
      <c r="I128" s="101"/>
      <c r="J128" s="101"/>
      <c r="K128" s="101"/>
      <c r="L128" s="101"/>
      <c r="M128" s="53"/>
      <c r="N128" s="53"/>
      <c r="O128" s="53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ht="12.75" customHeight="1">
      <c r="A129" s="101"/>
      <c r="B129" s="54"/>
      <c r="C129" s="102"/>
      <c r="D129" s="101"/>
      <c r="E129" s="101"/>
      <c r="F129" s="101"/>
      <c r="G129" s="101"/>
      <c r="H129" s="101"/>
      <c r="I129" s="101"/>
      <c r="J129" s="101"/>
      <c r="K129" s="101"/>
      <c r="L129" s="101"/>
      <c r="M129" s="53"/>
      <c r="N129" s="53"/>
      <c r="O129" s="53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ht="12.75" customHeight="1">
      <c r="A130" s="101"/>
      <c r="B130" s="54"/>
      <c r="C130" s="102"/>
      <c r="D130" s="101"/>
      <c r="E130" s="101"/>
      <c r="F130" s="101"/>
      <c r="G130" s="101"/>
      <c r="H130" s="101"/>
      <c r="I130" s="101"/>
      <c r="J130" s="101"/>
      <c r="K130" s="101"/>
      <c r="L130" s="101"/>
      <c r="M130" s="53"/>
      <c r="N130" s="53"/>
      <c r="O130" s="53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ht="12.75" customHeight="1">
      <c r="A131" s="101"/>
      <c r="B131" s="54"/>
      <c r="C131" s="102"/>
      <c r="D131" s="101"/>
      <c r="E131" s="101"/>
      <c r="F131" s="101"/>
      <c r="G131" s="101"/>
      <c r="H131" s="101"/>
      <c r="I131" s="101"/>
      <c r="J131" s="101"/>
      <c r="K131" s="101"/>
      <c r="L131" s="101"/>
      <c r="M131" s="53"/>
      <c r="N131" s="53"/>
      <c r="O131" s="53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ht="12.75" customHeight="1">
      <c r="A132" s="101"/>
      <c r="B132" s="54"/>
      <c r="C132" s="102"/>
      <c r="D132" s="101"/>
      <c r="E132" s="101"/>
      <c r="F132" s="101"/>
      <c r="G132" s="101"/>
      <c r="H132" s="101"/>
      <c r="I132" s="101"/>
      <c r="J132" s="101"/>
      <c r="K132" s="101"/>
      <c r="L132" s="101"/>
      <c r="M132" s="53"/>
      <c r="N132" s="53"/>
      <c r="O132" s="53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ht="12.75" customHeight="1">
      <c r="A133" s="101"/>
      <c r="B133" s="54"/>
      <c r="C133" s="102"/>
      <c r="D133" s="101"/>
      <c r="E133" s="101"/>
      <c r="F133" s="101"/>
      <c r="G133" s="101"/>
      <c r="H133" s="101"/>
      <c r="I133" s="101"/>
      <c r="J133" s="101"/>
      <c r="K133" s="101"/>
      <c r="L133" s="101"/>
      <c r="M133" s="53"/>
      <c r="N133" s="53"/>
      <c r="O133" s="53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ht="12.75" customHeight="1">
      <c r="A134" s="101"/>
      <c r="B134" s="54"/>
      <c r="C134" s="102"/>
      <c r="D134" s="101"/>
      <c r="E134" s="101"/>
      <c r="F134" s="101"/>
      <c r="G134" s="101"/>
      <c r="H134" s="101"/>
      <c r="I134" s="101"/>
      <c r="J134" s="101"/>
      <c r="K134" s="101"/>
      <c r="L134" s="101"/>
      <c r="M134" s="53"/>
      <c r="N134" s="53"/>
      <c r="O134" s="53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ht="12.75" customHeight="1">
      <c r="A135" s="101"/>
      <c r="B135" s="54"/>
      <c r="C135" s="102"/>
      <c r="D135" s="101"/>
      <c r="E135" s="101"/>
      <c r="F135" s="101"/>
      <c r="G135" s="101"/>
      <c r="H135" s="101"/>
      <c r="I135" s="101"/>
      <c r="J135" s="101"/>
      <c r="K135" s="101"/>
      <c r="L135" s="101"/>
      <c r="M135" s="53"/>
      <c r="N135" s="53"/>
      <c r="O135" s="53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ht="12.75" customHeight="1">
      <c r="A136" s="101"/>
      <c r="B136" s="54"/>
      <c r="C136" s="102"/>
      <c r="D136" s="101"/>
      <c r="E136" s="101"/>
      <c r="F136" s="101"/>
      <c r="G136" s="101"/>
      <c r="H136" s="101"/>
      <c r="I136" s="101"/>
      <c r="J136" s="101"/>
      <c r="K136" s="101"/>
      <c r="L136" s="101"/>
      <c r="M136" s="53"/>
      <c r="N136" s="53"/>
      <c r="O136" s="53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ht="12.75" customHeight="1">
      <c r="A137" s="101"/>
      <c r="B137" s="54"/>
      <c r="C137" s="102"/>
      <c r="D137" s="101"/>
      <c r="E137" s="101"/>
      <c r="F137" s="101"/>
      <c r="G137" s="101"/>
      <c r="H137" s="101"/>
      <c r="I137" s="101"/>
      <c r="J137" s="101"/>
      <c r="K137" s="101"/>
      <c r="L137" s="101"/>
      <c r="M137" s="53"/>
      <c r="N137" s="53"/>
      <c r="O137" s="53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ht="12.75" customHeight="1">
      <c r="A138" s="101"/>
      <c r="B138" s="54"/>
      <c r="C138" s="102"/>
      <c r="D138" s="101"/>
      <c r="E138" s="101"/>
      <c r="F138" s="101"/>
      <c r="G138" s="101"/>
      <c r="H138" s="101"/>
      <c r="I138" s="101"/>
      <c r="J138" s="101"/>
      <c r="K138" s="101"/>
      <c r="L138" s="101"/>
      <c r="M138" s="53"/>
      <c r="N138" s="53"/>
      <c r="O138" s="53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  <row r="139" ht="12.75" customHeight="1">
      <c r="A139" s="101"/>
      <c r="B139" s="54"/>
      <c r="C139" s="102"/>
      <c r="D139" s="101"/>
      <c r="E139" s="101"/>
      <c r="F139" s="101"/>
      <c r="G139" s="101"/>
      <c r="H139" s="101"/>
      <c r="I139" s="101"/>
      <c r="J139" s="101"/>
      <c r="K139" s="101"/>
      <c r="L139" s="101"/>
      <c r="M139" s="53"/>
      <c r="N139" s="53"/>
      <c r="O139" s="53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</row>
    <row r="140" ht="12.75" customHeight="1">
      <c r="A140" s="101"/>
      <c r="B140" s="54"/>
      <c r="C140" s="102"/>
      <c r="D140" s="101"/>
      <c r="E140" s="101"/>
      <c r="F140" s="101"/>
      <c r="G140" s="101"/>
      <c r="H140" s="101"/>
      <c r="I140" s="101"/>
      <c r="J140" s="101"/>
      <c r="K140" s="101"/>
      <c r="L140" s="101"/>
      <c r="M140" s="53"/>
      <c r="N140" s="53"/>
      <c r="O140" s="53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</row>
    <row r="141" ht="12.75" customHeight="1">
      <c r="A141" s="101"/>
      <c r="B141" s="54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53"/>
      <c r="N141" s="53"/>
      <c r="O141" s="53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</row>
    <row r="142" ht="12.75" customHeight="1">
      <c r="A142" s="101"/>
      <c r="B142" s="54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53"/>
      <c r="N142" s="53"/>
      <c r="O142" s="53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</row>
    <row r="143" ht="12.75" customHeight="1">
      <c r="A143" s="101"/>
      <c r="B143" s="54"/>
      <c r="C143" s="102"/>
      <c r="D143" s="101"/>
      <c r="E143" s="101"/>
      <c r="F143" s="101"/>
      <c r="G143" s="101"/>
      <c r="H143" s="101"/>
      <c r="I143" s="101"/>
      <c r="J143" s="101"/>
      <c r="K143" s="101"/>
      <c r="L143" s="101"/>
      <c r="M143" s="53"/>
      <c r="N143" s="53"/>
      <c r="O143" s="53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</row>
    <row r="144" ht="12.75" customHeight="1">
      <c r="A144" s="101"/>
      <c r="B144" s="54"/>
      <c r="C144" s="102"/>
      <c r="D144" s="101"/>
      <c r="E144" s="101"/>
      <c r="F144" s="101"/>
      <c r="G144" s="101"/>
      <c r="H144" s="101"/>
      <c r="I144" s="101"/>
      <c r="J144" s="101"/>
      <c r="K144" s="101"/>
      <c r="L144" s="101"/>
      <c r="M144" s="53"/>
      <c r="N144" s="53"/>
      <c r="O144" s="53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</row>
    <row r="145" ht="12.75" customHeight="1">
      <c r="A145" s="101"/>
      <c r="B145" s="54"/>
      <c r="C145" s="102"/>
      <c r="D145" s="101"/>
      <c r="E145" s="101"/>
      <c r="F145" s="101"/>
      <c r="G145" s="101"/>
      <c r="H145" s="101"/>
      <c r="I145" s="101"/>
      <c r="J145" s="101"/>
      <c r="K145" s="101"/>
      <c r="L145" s="101"/>
      <c r="M145" s="53"/>
      <c r="N145" s="53"/>
      <c r="O145" s="53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</row>
    <row r="146" ht="12.75" customHeight="1">
      <c r="A146" s="101"/>
      <c r="B146" s="54"/>
      <c r="C146" s="102"/>
      <c r="D146" s="101"/>
      <c r="E146" s="101"/>
      <c r="F146" s="101"/>
      <c r="G146" s="101"/>
      <c r="H146" s="101"/>
      <c r="I146" s="101"/>
      <c r="J146" s="101"/>
      <c r="K146" s="101"/>
      <c r="L146" s="101"/>
      <c r="M146" s="53"/>
      <c r="N146" s="53"/>
      <c r="O146" s="53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</row>
    <row r="147" ht="12.75" customHeight="1">
      <c r="A147" s="101"/>
      <c r="B147" s="54"/>
      <c r="C147" s="102"/>
      <c r="D147" s="101"/>
      <c r="E147" s="101"/>
      <c r="F147" s="101"/>
      <c r="G147" s="101"/>
      <c r="H147" s="101"/>
      <c r="I147" s="101"/>
      <c r="J147" s="101"/>
      <c r="K147" s="101"/>
      <c r="L147" s="101"/>
      <c r="M147" s="53"/>
      <c r="N147" s="53"/>
      <c r="O147" s="53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</row>
    <row r="148" ht="12.75" customHeight="1">
      <c r="A148" s="101"/>
      <c r="B148" s="54"/>
      <c r="C148" s="102"/>
      <c r="D148" s="101"/>
      <c r="E148" s="101"/>
      <c r="F148" s="101"/>
      <c r="G148" s="101"/>
      <c r="H148" s="101"/>
      <c r="I148" s="101"/>
      <c r="J148" s="101"/>
      <c r="K148" s="101"/>
      <c r="L148" s="101"/>
      <c r="M148" s="53"/>
      <c r="N148" s="53"/>
      <c r="O148" s="53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</row>
    <row r="149" ht="12.75" customHeight="1">
      <c r="A149" s="101"/>
      <c r="B149" s="54"/>
      <c r="C149" s="102"/>
      <c r="D149" s="101"/>
      <c r="E149" s="101"/>
      <c r="F149" s="101"/>
      <c r="G149" s="101"/>
      <c r="H149" s="101"/>
      <c r="I149" s="101"/>
      <c r="J149" s="101"/>
      <c r="K149" s="101"/>
      <c r="L149" s="101"/>
      <c r="M149" s="53"/>
      <c r="N149" s="53"/>
      <c r="O149" s="53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</row>
    <row r="150" ht="12.75" customHeight="1">
      <c r="A150" s="101"/>
      <c r="B150" s="54"/>
      <c r="C150" s="102"/>
      <c r="D150" s="101"/>
      <c r="E150" s="101"/>
      <c r="F150" s="101"/>
      <c r="G150" s="101"/>
      <c r="H150" s="101"/>
      <c r="I150" s="101"/>
      <c r="J150" s="101"/>
      <c r="K150" s="101"/>
      <c r="L150" s="101"/>
      <c r="M150" s="53"/>
      <c r="N150" s="53"/>
      <c r="O150" s="53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</row>
    <row r="151" ht="12.75" customHeight="1">
      <c r="A151" s="101"/>
      <c r="B151" s="54"/>
      <c r="C151" s="102"/>
      <c r="D151" s="101"/>
      <c r="E151" s="101"/>
      <c r="F151" s="101"/>
      <c r="G151" s="101"/>
      <c r="H151" s="101"/>
      <c r="I151" s="101"/>
      <c r="J151" s="101"/>
      <c r="K151" s="101"/>
      <c r="L151" s="101"/>
      <c r="M151" s="53"/>
      <c r="N151" s="53"/>
      <c r="O151" s="53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</row>
    <row r="152" ht="12.75" customHeight="1">
      <c r="A152" s="101"/>
      <c r="B152" s="54"/>
      <c r="C152" s="102"/>
      <c r="D152" s="101"/>
      <c r="E152" s="101"/>
      <c r="F152" s="101"/>
      <c r="G152" s="101"/>
      <c r="H152" s="101"/>
      <c r="I152" s="101"/>
      <c r="J152" s="101"/>
      <c r="K152" s="101"/>
      <c r="L152" s="101"/>
      <c r="M152" s="53"/>
      <c r="N152" s="53"/>
      <c r="O152" s="53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</row>
    <row r="153" ht="12.75" customHeight="1">
      <c r="A153" s="101"/>
      <c r="B153" s="54"/>
      <c r="C153" s="102"/>
      <c r="D153" s="101"/>
      <c r="E153" s="101"/>
      <c r="F153" s="101"/>
      <c r="G153" s="101"/>
      <c r="H153" s="101"/>
      <c r="I153" s="101"/>
      <c r="J153" s="101"/>
      <c r="K153" s="101"/>
      <c r="L153" s="101"/>
      <c r="M153" s="53"/>
      <c r="N153" s="53"/>
      <c r="O153" s="53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</row>
    <row r="154" ht="12.75" customHeight="1">
      <c r="A154" s="101"/>
      <c r="B154" s="54"/>
      <c r="C154" s="102"/>
      <c r="D154" s="101"/>
      <c r="E154" s="101"/>
      <c r="F154" s="101"/>
      <c r="G154" s="101"/>
      <c r="H154" s="101"/>
      <c r="I154" s="101"/>
      <c r="J154" s="101"/>
      <c r="K154" s="101"/>
      <c r="L154" s="101"/>
      <c r="M154" s="53"/>
      <c r="N154" s="53"/>
      <c r="O154" s="53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</row>
    <row r="155" ht="12.75" customHeight="1">
      <c r="A155" s="101"/>
      <c r="B155" s="54"/>
      <c r="C155" s="102"/>
      <c r="D155" s="101"/>
      <c r="E155" s="101"/>
      <c r="F155" s="101"/>
      <c r="G155" s="101"/>
      <c r="H155" s="101"/>
      <c r="I155" s="101"/>
      <c r="J155" s="101"/>
      <c r="K155" s="101"/>
      <c r="L155" s="101"/>
      <c r="M155" s="53"/>
      <c r="N155" s="53"/>
      <c r="O155" s="53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</row>
    <row r="156" ht="12.75" customHeight="1">
      <c r="A156" s="101"/>
      <c r="B156" s="54"/>
      <c r="C156" s="102"/>
      <c r="D156" s="101"/>
      <c r="E156" s="101"/>
      <c r="F156" s="101"/>
      <c r="G156" s="101"/>
      <c r="H156" s="101"/>
      <c r="I156" s="101"/>
      <c r="J156" s="101"/>
      <c r="K156" s="101"/>
      <c r="L156" s="101"/>
      <c r="M156" s="53"/>
      <c r="N156" s="53"/>
      <c r="O156" s="53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</row>
    <row r="157" ht="12.75" customHeight="1">
      <c r="A157" s="101"/>
      <c r="B157" s="54"/>
      <c r="C157" s="102"/>
      <c r="D157" s="101"/>
      <c r="E157" s="101"/>
      <c r="F157" s="101"/>
      <c r="G157" s="101"/>
      <c r="H157" s="101"/>
      <c r="I157" s="101"/>
      <c r="J157" s="101"/>
      <c r="K157" s="101"/>
      <c r="L157" s="101"/>
      <c r="M157" s="53"/>
      <c r="N157" s="53"/>
      <c r="O157" s="53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</row>
    <row r="158" ht="12.75" customHeight="1">
      <c r="A158" s="101"/>
      <c r="B158" s="54"/>
      <c r="C158" s="102"/>
      <c r="D158" s="101"/>
      <c r="E158" s="101"/>
      <c r="F158" s="101"/>
      <c r="G158" s="101"/>
      <c r="H158" s="101"/>
      <c r="I158" s="101"/>
      <c r="J158" s="101"/>
      <c r="K158" s="101"/>
      <c r="L158" s="101"/>
      <c r="M158" s="53"/>
      <c r="N158" s="53"/>
      <c r="O158" s="53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</row>
    <row r="159" ht="12.75" customHeight="1">
      <c r="A159" s="101"/>
      <c r="B159" s="54"/>
      <c r="C159" s="102"/>
      <c r="D159" s="101"/>
      <c r="E159" s="101"/>
      <c r="F159" s="101"/>
      <c r="G159" s="101"/>
      <c r="H159" s="101"/>
      <c r="I159" s="101"/>
      <c r="J159" s="101"/>
      <c r="K159" s="101"/>
      <c r="L159" s="101"/>
      <c r="M159" s="53"/>
      <c r="N159" s="53"/>
      <c r="O159" s="53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</row>
    <row r="160" ht="12.75" customHeight="1">
      <c r="A160" s="101"/>
      <c r="B160" s="54"/>
      <c r="C160" s="102"/>
      <c r="D160" s="101"/>
      <c r="E160" s="101"/>
      <c r="F160" s="101"/>
      <c r="G160" s="101"/>
      <c r="H160" s="101"/>
      <c r="I160" s="101"/>
      <c r="J160" s="101"/>
      <c r="K160" s="101"/>
      <c r="L160" s="101"/>
      <c r="M160" s="53"/>
      <c r="N160" s="53"/>
      <c r="O160" s="53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</row>
    <row r="161" ht="12.75" customHeight="1">
      <c r="A161" s="101"/>
      <c r="B161" s="54"/>
      <c r="C161" s="102"/>
      <c r="D161" s="101"/>
      <c r="E161" s="101"/>
      <c r="F161" s="101"/>
      <c r="G161" s="101"/>
      <c r="H161" s="101"/>
      <c r="I161" s="101"/>
      <c r="J161" s="101"/>
      <c r="K161" s="101"/>
      <c r="L161" s="101"/>
      <c r="M161" s="53"/>
      <c r="N161" s="53"/>
      <c r="O161" s="53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</row>
    <row r="162" ht="12.75" customHeight="1">
      <c r="A162" s="101"/>
      <c r="B162" s="54"/>
      <c r="C162" s="102"/>
      <c r="D162" s="101"/>
      <c r="E162" s="101"/>
      <c r="F162" s="101"/>
      <c r="G162" s="101"/>
      <c r="H162" s="101"/>
      <c r="I162" s="101"/>
      <c r="J162" s="101"/>
      <c r="K162" s="101"/>
      <c r="L162" s="101"/>
      <c r="M162" s="53"/>
      <c r="N162" s="53"/>
      <c r="O162" s="53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</row>
    <row r="163" ht="12.75" customHeight="1">
      <c r="A163" s="101"/>
      <c r="B163" s="54"/>
      <c r="C163" s="102"/>
      <c r="D163" s="101"/>
      <c r="E163" s="101"/>
      <c r="F163" s="101"/>
      <c r="G163" s="101"/>
      <c r="H163" s="101"/>
      <c r="I163" s="101"/>
      <c r="J163" s="101"/>
      <c r="K163" s="101"/>
      <c r="L163" s="101"/>
      <c r="M163" s="53"/>
      <c r="N163" s="53"/>
      <c r="O163" s="53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</row>
    <row r="164" ht="12.75" customHeight="1">
      <c r="A164" s="101"/>
      <c r="B164" s="54"/>
      <c r="C164" s="102"/>
      <c r="D164" s="101"/>
      <c r="E164" s="101"/>
      <c r="F164" s="101"/>
      <c r="G164" s="101"/>
      <c r="H164" s="101"/>
      <c r="I164" s="101"/>
      <c r="J164" s="101"/>
      <c r="K164" s="101"/>
      <c r="L164" s="101"/>
      <c r="M164" s="53"/>
      <c r="N164" s="53"/>
      <c r="O164" s="53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</row>
    <row r="165" ht="12.75" customHeight="1">
      <c r="A165" s="101"/>
      <c r="B165" s="54"/>
      <c r="C165" s="102"/>
      <c r="D165" s="101"/>
      <c r="E165" s="101"/>
      <c r="F165" s="101"/>
      <c r="G165" s="101"/>
      <c r="H165" s="101"/>
      <c r="I165" s="101"/>
      <c r="J165" s="101"/>
      <c r="K165" s="101"/>
      <c r="L165" s="101"/>
      <c r="M165" s="53"/>
      <c r="N165" s="53"/>
      <c r="O165" s="53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</row>
    <row r="166" ht="12.75" customHeight="1">
      <c r="A166" s="101"/>
      <c r="B166" s="54"/>
      <c r="C166" s="102"/>
      <c r="D166" s="101"/>
      <c r="E166" s="101"/>
      <c r="F166" s="101"/>
      <c r="G166" s="101"/>
      <c r="H166" s="101"/>
      <c r="I166" s="101"/>
      <c r="J166" s="101"/>
      <c r="K166" s="101"/>
      <c r="L166" s="101"/>
      <c r="M166" s="53"/>
      <c r="N166" s="53"/>
      <c r="O166" s="53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</row>
    <row r="167" ht="12.75" customHeight="1">
      <c r="A167" s="101"/>
      <c r="B167" s="54"/>
      <c r="C167" s="102"/>
      <c r="D167" s="101"/>
      <c r="E167" s="101"/>
      <c r="F167" s="101"/>
      <c r="G167" s="101"/>
      <c r="H167" s="101"/>
      <c r="I167" s="101"/>
      <c r="J167" s="101"/>
      <c r="K167" s="101"/>
      <c r="L167" s="101"/>
      <c r="M167" s="53"/>
      <c r="N167" s="53"/>
      <c r="O167" s="53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</row>
    <row r="168" ht="12.75" customHeight="1">
      <c r="A168" s="101"/>
      <c r="B168" s="54"/>
      <c r="C168" s="102"/>
      <c r="D168" s="101"/>
      <c r="E168" s="101"/>
      <c r="F168" s="101"/>
      <c r="G168" s="101"/>
      <c r="H168" s="101"/>
      <c r="I168" s="101"/>
      <c r="J168" s="101"/>
      <c r="K168" s="101"/>
      <c r="L168" s="101"/>
      <c r="M168" s="53"/>
      <c r="N168" s="53"/>
      <c r="O168" s="53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</row>
    <row r="169" ht="12.75" customHeight="1">
      <c r="A169" s="101"/>
      <c r="B169" s="54"/>
      <c r="C169" s="102"/>
      <c r="D169" s="101"/>
      <c r="E169" s="101"/>
      <c r="F169" s="101"/>
      <c r="G169" s="101"/>
      <c r="H169" s="101"/>
      <c r="I169" s="101"/>
      <c r="J169" s="101"/>
      <c r="K169" s="101"/>
      <c r="L169" s="101"/>
      <c r="M169" s="53"/>
      <c r="N169" s="53"/>
      <c r="O169" s="53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</row>
    <row r="170" ht="12.75" customHeight="1">
      <c r="A170" s="101"/>
      <c r="B170" s="54"/>
      <c r="C170" s="102"/>
      <c r="D170" s="101"/>
      <c r="E170" s="101"/>
      <c r="F170" s="101"/>
      <c r="G170" s="101"/>
      <c r="H170" s="101"/>
      <c r="I170" s="101"/>
      <c r="J170" s="101"/>
      <c r="K170" s="101"/>
      <c r="L170" s="101"/>
      <c r="M170" s="53"/>
      <c r="N170" s="53"/>
      <c r="O170" s="53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</row>
    <row r="171" ht="12.75" customHeight="1">
      <c r="A171" s="101"/>
      <c r="B171" s="54"/>
      <c r="C171" s="102"/>
      <c r="D171" s="101"/>
      <c r="E171" s="101"/>
      <c r="F171" s="101"/>
      <c r="G171" s="101"/>
      <c r="H171" s="101"/>
      <c r="I171" s="101"/>
      <c r="J171" s="101"/>
      <c r="K171" s="101"/>
      <c r="L171" s="101"/>
      <c r="M171" s="53"/>
      <c r="N171" s="53"/>
      <c r="O171" s="53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</row>
    <row r="172" ht="12.75" customHeight="1">
      <c r="A172" s="101"/>
      <c r="B172" s="54"/>
      <c r="C172" s="102"/>
      <c r="D172" s="101"/>
      <c r="E172" s="101"/>
      <c r="F172" s="101"/>
      <c r="G172" s="101"/>
      <c r="H172" s="101"/>
      <c r="I172" s="101"/>
      <c r="J172" s="101"/>
      <c r="K172" s="101"/>
      <c r="L172" s="101"/>
      <c r="M172" s="53"/>
      <c r="N172" s="53"/>
      <c r="O172" s="53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</row>
    <row r="173" ht="12.75" customHeight="1">
      <c r="A173" s="101"/>
      <c r="B173" s="54"/>
      <c r="C173" s="102"/>
      <c r="D173" s="101"/>
      <c r="E173" s="101"/>
      <c r="F173" s="101"/>
      <c r="G173" s="101"/>
      <c r="H173" s="101"/>
      <c r="I173" s="101"/>
      <c r="J173" s="101"/>
      <c r="K173" s="101"/>
      <c r="L173" s="101"/>
      <c r="M173" s="53"/>
      <c r="N173" s="53"/>
      <c r="O173" s="53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</row>
    <row r="174" ht="12.75" customHeight="1">
      <c r="A174" s="101"/>
      <c r="B174" s="54"/>
      <c r="C174" s="102"/>
      <c r="D174" s="101"/>
      <c r="E174" s="101"/>
      <c r="F174" s="101"/>
      <c r="G174" s="101"/>
      <c r="H174" s="101"/>
      <c r="I174" s="101"/>
      <c r="J174" s="101"/>
      <c r="K174" s="101"/>
      <c r="L174" s="101"/>
      <c r="M174" s="53"/>
      <c r="N174" s="53"/>
      <c r="O174" s="53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</row>
    <row r="175" ht="12.75" customHeight="1">
      <c r="A175" s="101"/>
      <c r="B175" s="54"/>
      <c r="C175" s="102"/>
      <c r="D175" s="101"/>
      <c r="E175" s="101"/>
      <c r="F175" s="101"/>
      <c r="G175" s="101"/>
      <c r="H175" s="101"/>
      <c r="I175" s="101"/>
      <c r="J175" s="101"/>
      <c r="K175" s="101"/>
      <c r="L175" s="101"/>
      <c r="M175" s="53"/>
      <c r="N175" s="53"/>
      <c r="O175" s="53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</row>
    <row r="176" ht="12.75" customHeight="1">
      <c r="A176" s="101"/>
      <c r="B176" s="54"/>
      <c r="C176" s="102"/>
      <c r="D176" s="101"/>
      <c r="E176" s="101"/>
      <c r="F176" s="101"/>
      <c r="G176" s="101"/>
      <c r="H176" s="101"/>
      <c r="I176" s="101"/>
      <c r="J176" s="101"/>
      <c r="K176" s="101"/>
      <c r="L176" s="101"/>
      <c r="M176" s="53"/>
      <c r="N176" s="53"/>
      <c r="O176" s="53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</row>
    <row r="177" ht="12.75" customHeight="1">
      <c r="A177" s="101"/>
      <c r="B177" s="54"/>
      <c r="C177" s="102"/>
      <c r="D177" s="101"/>
      <c r="E177" s="101"/>
      <c r="F177" s="101"/>
      <c r="G177" s="101"/>
      <c r="H177" s="101"/>
      <c r="I177" s="101"/>
      <c r="J177" s="101"/>
      <c r="K177" s="101"/>
      <c r="L177" s="101"/>
      <c r="M177" s="53"/>
      <c r="N177" s="53"/>
      <c r="O177" s="53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</row>
    <row r="178" ht="12.75" customHeight="1">
      <c r="A178" s="101"/>
      <c r="B178" s="54"/>
      <c r="C178" s="102"/>
      <c r="D178" s="101"/>
      <c r="E178" s="101"/>
      <c r="F178" s="101"/>
      <c r="G178" s="101"/>
      <c r="H178" s="101"/>
      <c r="I178" s="101"/>
      <c r="J178" s="101"/>
      <c r="K178" s="101"/>
      <c r="L178" s="101"/>
      <c r="M178" s="53"/>
      <c r="N178" s="53"/>
      <c r="O178" s="53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</row>
    <row r="179" ht="12.75" customHeight="1">
      <c r="A179" s="101"/>
      <c r="B179" s="54"/>
      <c r="C179" s="102"/>
      <c r="D179" s="101"/>
      <c r="E179" s="101"/>
      <c r="F179" s="101"/>
      <c r="G179" s="101"/>
      <c r="H179" s="101"/>
      <c r="I179" s="101"/>
      <c r="J179" s="101"/>
      <c r="K179" s="101"/>
      <c r="L179" s="101"/>
      <c r="M179" s="53"/>
      <c r="N179" s="53"/>
      <c r="O179" s="53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</row>
    <row r="180" ht="12.75" customHeight="1">
      <c r="A180" s="101"/>
      <c r="B180" s="54"/>
      <c r="C180" s="102"/>
      <c r="D180" s="101"/>
      <c r="E180" s="101"/>
      <c r="F180" s="101"/>
      <c r="G180" s="101"/>
      <c r="H180" s="101"/>
      <c r="I180" s="101"/>
      <c r="J180" s="101"/>
      <c r="K180" s="101"/>
      <c r="L180" s="101"/>
      <c r="M180" s="53"/>
      <c r="N180" s="53"/>
      <c r="O180" s="53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</row>
    <row r="181" ht="12.75" customHeight="1">
      <c r="A181" s="101"/>
      <c r="B181" s="54"/>
      <c r="C181" s="102"/>
      <c r="D181" s="101"/>
      <c r="E181" s="101"/>
      <c r="F181" s="101"/>
      <c r="G181" s="101"/>
      <c r="H181" s="101"/>
      <c r="I181" s="101"/>
      <c r="J181" s="101"/>
      <c r="K181" s="101"/>
      <c r="L181" s="101"/>
      <c r="M181" s="53"/>
      <c r="N181" s="53"/>
      <c r="O181" s="53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</row>
    <row r="182" ht="12.75" customHeight="1">
      <c r="A182" s="101"/>
      <c r="B182" s="54"/>
      <c r="C182" s="102"/>
      <c r="D182" s="101"/>
      <c r="E182" s="101"/>
      <c r="F182" s="101"/>
      <c r="G182" s="101"/>
      <c r="H182" s="101"/>
      <c r="I182" s="101"/>
      <c r="J182" s="101"/>
      <c r="K182" s="101"/>
      <c r="L182" s="101"/>
      <c r="M182" s="53"/>
      <c r="N182" s="53"/>
      <c r="O182" s="53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</row>
    <row r="183" ht="12.75" customHeight="1">
      <c r="A183" s="101"/>
      <c r="B183" s="54"/>
      <c r="C183" s="102"/>
      <c r="D183" s="101"/>
      <c r="E183" s="101"/>
      <c r="F183" s="101"/>
      <c r="G183" s="101"/>
      <c r="H183" s="101"/>
      <c r="I183" s="101"/>
      <c r="J183" s="101"/>
      <c r="K183" s="101"/>
      <c r="L183" s="101"/>
      <c r="M183" s="53"/>
      <c r="N183" s="53"/>
      <c r="O183" s="53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</row>
    <row r="184" ht="12.75" customHeight="1">
      <c r="A184" s="101"/>
      <c r="B184" s="54"/>
      <c r="C184" s="102"/>
      <c r="D184" s="101"/>
      <c r="E184" s="101"/>
      <c r="F184" s="101"/>
      <c r="G184" s="101"/>
      <c r="H184" s="101"/>
      <c r="I184" s="101"/>
      <c r="J184" s="101"/>
      <c r="K184" s="101"/>
      <c r="L184" s="101"/>
      <c r="M184" s="53"/>
      <c r="N184" s="53"/>
      <c r="O184" s="53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</row>
    <row r="185" ht="12.75" customHeight="1">
      <c r="A185" s="101"/>
      <c r="B185" s="54"/>
      <c r="C185" s="102"/>
      <c r="D185" s="101"/>
      <c r="E185" s="101"/>
      <c r="F185" s="101"/>
      <c r="G185" s="101"/>
      <c r="H185" s="101"/>
      <c r="I185" s="101"/>
      <c r="J185" s="101"/>
      <c r="K185" s="101"/>
      <c r="L185" s="101"/>
      <c r="M185" s="53"/>
      <c r="N185" s="53"/>
      <c r="O185" s="53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</row>
    <row r="186" ht="12.75" customHeight="1">
      <c r="A186" s="101"/>
      <c r="B186" s="54"/>
      <c r="C186" s="102"/>
      <c r="D186" s="101"/>
      <c r="E186" s="101"/>
      <c r="F186" s="101"/>
      <c r="G186" s="101"/>
      <c r="H186" s="101"/>
      <c r="I186" s="101"/>
      <c r="J186" s="101"/>
      <c r="K186" s="101"/>
      <c r="L186" s="101"/>
      <c r="M186" s="53"/>
      <c r="N186" s="53"/>
      <c r="O186" s="53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</row>
    <row r="187" ht="12.75" customHeight="1">
      <c r="A187" s="101"/>
      <c r="B187" s="54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53"/>
      <c r="N187" s="53"/>
      <c r="O187" s="53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</row>
    <row r="188" ht="12.75" customHeight="1">
      <c r="A188" s="101"/>
      <c r="B188" s="54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53"/>
      <c r="N188" s="53"/>
      <c r="O188" s="53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</row>
    <row r="189" ht="12.75" customHeight="1">
      <c r="A189" s="101"/>
      <c r="B189" s="54"/>
      <c r="C189" s="102"/>
      <c r="D189" s="101"/>
      <c r="E189" s="101"/>
      <c r="F189" s="101"/>
      <c r="G189" s="101"/>
      <c r="H189" s="101"/>
      <c r="I189" s="101"/>
      <c r="J189" s="101"/>
      <c r="K189" s="101"/>
      <c r="L189" s="101"/>
      <c r="M189" s="53"/>
      <c r="N189" s="53"/>
      <c r="O189" s="53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</row>
    <row r="190" ht="12.75" customHeight="1">
      <c r="A190" s="101"/>
      <c r="B190" s="54"/>
      <c r="C190" s="102"/>
      <c r="D190" s="101"/>
      <c r="E190" s="101"/>
      <c r="F190" s="101"/>
      <c r="G190" s="101"/>
      <c r="H190" s="101"/>
      <c r="I190" s="101"/>
      <c r="J190" s="101"/>
      <c r="K190" s="101"/>
      <c r="L190" s="101"/>
      <c r="M190" s="53"/>
      <c r="N190" s="53"/>
      <c r="O190" s="53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</row>
    <row r="191" ht="12.75" customHeight="1">
      <c r="A191" s="101"/>
      <c r="B191" s="54"/>
      <c r="C191" s="102"/>
      <c r="D191" s="101"/>
      <c r="E191" s="101"/>
      <c r="F191" s="101"/>
      <c r="G191" s="101"/>
      <c r="H191" s="101"/>
      <c r="I191" s="101"/>
      <c r="J191" s="101"/>
      <c r="K191" s="101"/>
      <c r="L191" s="101"/>
      <c r="M191" s="53"/>
      <c r="N191" s="53"/>
      <c r="O191" s="53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</row>
    <row r="192" ht="12.75" customHeight="1">
      <c r="A192" s="101"/>
      <c r="B192" s="54"/>
      <c r="C192" s="102"/>
      <c r="D192" s="101"/>
      <c r="E192" s="101"/>
      <c r="F192" s="101"/>
      <c r="G192" s="101"/>
      <c r="H192" s="101"/>
      <c r="I192" s="101"/>
      <c r="J192" s="101"/>
      <c r="K192" s="101"/>
      <c r="L192" s="101"/>
      <c r="M192" s="53"/>
      <c r="N192" s="53"/>
      <c r="O192" s="53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</row>
    <row r="193" ht="12.75" customHeight="1">
      <c r="A193" s="101"/>
      <c r="B193" s="54"/>
      <c r="C193" s="102"/>
      <c r="D193" s="101"/>
      <c r="E193" s="101"/>
      <c r="F193" s="101"/>
      <c r="G193" s="101"/>
      <c r="H193" s="101"/>
      <c r="I193" s="101"/>
      <c r="J193" s="101"/>
      <c r="K193" s="101"/>
      <c r="L193" s="101"/>
      <c r="M193" s="53"/>
      <c r="N193" s="53"/>
      <c r="O193" s="53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</row>
    <row r="194" ht="12.75" customHeight="1">
      <c r="A194" s="101"/>
      <c r="B194" s="54"/>
      <c r="C194" s="102"/>
      <c r="D194" s="101"/>
      <c r="E194" s="101"/>
      <c r="F194" s="101"/>
      <c r="G194" s="101"/>
      <c r="H194" s="101"/>
      <c r="I194" s="101"/>
      <c r="J194" s="101"/>
      <c r="K194" s="101"/>
      <c r="L194" s="101"/>
      <c r="M194" s="53"/>
      <c r="N194" s="53"/>
      <c r="O194" s="53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</row>
    <row r="195" ht="12.75" customHeight="1">
      <c r="A195" s="101"/>
      <c r="B195" s="54"/>
      <c r="C195" s="102"/>
      <c r="D195" s="101"/>
      <c r="E195" s="101"/>
      <c r="F195" s="101"/>
      <c r="G195" s="101"/>
      <c r="H195" s="101"/>
      <c r="I195" s="101"/>
      <c r="J195" s="101"/>
      <c r="K195" s="101"/>
      <c r="L195" s="101"/>
      <c r="M195" s="53"/>
      <c r="N195" s="53"/>
      <c r="O195" s="53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</row>
    <row r="196" ht="12.75" customHeight="1">
      <c r="A196" s="101"/>
      <c r="B196" s="54"/>
      <c r="C196" s="102"/>
      <c r="D196" s="101"/>
      <c r="E196" s="101"/>
      <c r="F196" s="101"/>
      <c r="G196" s="101"/>
      <c r="H196" s="101"/>
      <c r="I196" s="101"/>
      <c r="J196" s="101"/>
      <c r="K196" s="101"/>
      <c r="L196" s="101"/>
      <c r="M196" s="53"/>
      <c r="N196" s="53"/>
      <c r="O196" s="53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</row>
    <row r="197" ht="12.75" customHeight="1">
      <c r="A197" s="101"/>
      <c r="B197" s="54"/>
      <c r="C197" s="102"/>
      <c r="D197" s="101"/>
      <c r="E197" s="101"/>
      <c r="F197" s="101"/>
      <c r="G197" s="101"/>
      <c r="H197" s="101"/>
      <c r="I197" s="101"/>
      <c r="J197" s="101"/>
      <c r="K197" s="101"/>
      <c r="L197" s="101"/>
      <c r="M197" s="53"/>
      <c r="N197" s="53"/>
      <c r="O197" s="53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</row>
    <row r="198" ht="12.75" customHeight="1">
      <c r="A198" s="101"/>
      <c r="B198" s="54"/>
      <c r="C198" s="102"/>
      <c r="D198" s="101"/>
      <c r="E198" s="101"/>
      <c r="F198" s="101"/>
      <c r="G198" s="101"/>
      <c r="H198" s="101"/>
      <c r="I198" s="101"/>
      <c r="J198" s="101"/>
      <c r="K198" s="101"/>
      <c r="L198" s="101"/>
      <c r="M198" s="53"/>
      <c r="N198" s="53"/>
      <c r="O198" s="53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</row>
    <row r="199" ht="12.75" customHeight="1">
      <c r="A199" s="101"/>
      <c r="B199" s="54"/>
      <c r="C199" s="102"/>
      <c r="D199" s="101"/>
      <c r="E199" s="101"/>
      <c r="F199" s="101"/>
      <c r="G199" s="101"/>
      <c r="H199" s="101"/>
      <c r="I199" s="101"/>
      <c r="J199" s="101"/>
      <c r="K199" s="101"/>
      <c r="L199" s="101"/>
      <c r="M199" s="53"/>
      <c r="N199" s="53"/>
      <c r="O199" s="53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</row>
    <row r="200" ht="12.75" customHeight="1">
      <c r="A200" s="101"/>
      <c r="B200" s="54"/>
      <c r="C200" s="102"/>
      <c r="D200" s="101"/>
      <c r="E200" s="101"/>
      <c r="F200" s="101"/>
      <c r="G200" s="101"/>
      <c r="H200" s="101"/>
      <c r="I200" s="101"/>
      <c r="J200" s="101"/>
      <c r="K200" s="101"/>
      <c r="L200" s="101"/>
      <c r="M200" s="53"/>
      <c r="N200" s="53"/>
      <c r="O200" s="53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</row>
    <row r="201" ht="12.75" customHeight="1">
      <c r="A201" s="101"/>
      <c r="B201" s="54"/>
      <c r="C201" s="102"/>
      <c r="D201" s="101"/>
      <c r="E201" s="101"/>
      <c r="F201" s="101"/>
      <c r="G201" s="101"/>
      <c r="H201" s="101"/>
      <c r="I201" s="101"/>
      <c r="J201" s="101"/>
      <c r="K201" s="101"/>
      <c r="L201" s="101"/>
      <c r="M201" s="53"/>
      <c r="N201" s="53"/>
      <c r="O201" s="53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</row>
    <row r="202" ht="12.75" customHeight="1">
      <c r="A202" s="101"/>
      <c r="B202" s="54"/>
      <c r="C202" s="102"/>
      <c r="D202" s="101"/>
      <c r="E202" s="101"/>
      <c r="F202" s="101"/>
      <c r="G202" s="101"/>
      <c r="H202" s="101"/>
      <c r="I202" s="101"/>
      <c r="J202" s="101"/>
      <c r="K202" s="101"/>
      <c r="L202" s="101"/>
      <c r="M202" s="53"/>
      <c r="N202" s="53"/>
      <c r="O202" s="53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</row>
    <row r="203" ht="12.75" customHeight="1">
      <c r="A203" s="101"/>
      <c r="B203" s="54"/>
      <c r="C203" s="102"/>
      <c r="D203" s="101"/>
      <c r="E203" s="101"/>
      <c r="F203" s="101"/>
      <c r="G203" s="101"/>
      <c r="H203" s="101"/>
      <c r="I203" s="101"/>
      <c r="J203" s="101"/>
      <c r="K203" s="101"/>
      <c r="L203" s="101"/>
      <c r="M203" s="53"/>
      <c r="N203" s="53"/>
      <c r="O203" s="53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</row>
    <row r="204" ht="12.75" customHeight="1">
      <c r="A204" s="101"/>
      <c r="B204" s="54"/>
      <c r="C204" s="102"/>
      <c r="D204" s="101"/>
      <c r="E204" s="101"/>
      <c r="F204" s="101"/>
      <c r="G204" s="101"/>
      <c r="H204" s="101"/>
      <c r="I204" s="101"/>
      <c r="J204" s="101"/>
      <c r="K204" s="101"/>
      <c r="L204" s="101"/>
      <c r="M204" s="53"/>
      <c r="N204" s="53"/>
      <c r="O204" s="53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</row>
    <row r="205" ht="12.75" customHeight="1">
      <c r="A205" s="101"/>
      <c r="B205" s="54"/>
      <c r="C205" s="102"/>
      <c r="D205" s="101"/>
      <c r="E205" s="101"/>
      <c r="F205" s="101"/>
      <c r="G205" s="101"/>
      <c r="H205" s="101"/>
      <c r="I205" s="101"/>
      <c r="J205" s="101"/>
      <c r="K205" s="101"/>
      <c r="L205" s="101"/>
      <c r="M205" s="53"/>
      <c r="N205" s="53"/>
      <c r="O205" s="53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</row>
    <row r="206" ht="12.75" customHeight="1">
      <c r="A206" s="101"/>
      <c r="B206" s="54"/>
      <c r="C206" s="102"/>
      <c r="D206" s="101"/>
      <c r="E206" s="101"/>
      <c r="F206" s="101"/>
      <c r="G206" s="101"/>
      <c r="H206" s="101"/>
      <c r="I206" s="101"/>
      <c r="J206" s="101"/>
      <c r="K206" s="101"/>
      <c r="L206" s="101"/>
      <c r="M206" s="53"/>
      <c r="N206" s="53"/>
      <c r="O206" s="53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</row>
    <row r="207" ht="12.75" customHeight="1">
      <c r="A207" s="101"/>
      <c r="B207" s="54"/>
      <c r="C207" s="102"/>
      <c r="D207" s="101"/>
      <c r="E207" s="101"/>
      <c r="F207" s="101"/>
      <c r="G207" s="101"/>
      <c r="H207" s="101"/>
      <c r="I207" s="101"/>
      <c r="J207" s="101"/>
      <c r="K207" s="101"/>
      <c r="L207" s="101"/>
      <c r="M207" s="53"/>
      <c r="N207" s="53"/>
      <c r="O207" s="53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</row>
    <row r="208" ht="12.75" customHeight="1">
      <c r="A208" s="101"/>
      <c r="B208" s="54"/>
      <c r="C208" s="102"/>
      <c r="D208" s="101"/>
      <c r="E208" s="101"/>
      <c r="F208" s="101"/>
      <c r="G208" s="101"/>
      <c r="H208" s="101"/>
      <c r="I208" s="101"/>
      <c r="J208" s="101"/>
      <c r="K208" s="101"/>
      <c r="L208" s="101"/>
      <c r="M208" s="53"/>
      <c r="N208" s="53"/>
      <c r="O208" s="53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</row>
    <row r="209" ht="12.75" customHeight="1">
      <c r="A209" s="101"/>
      <c r="B209" s="54"/>
      <c r="C209" s="102"/>
      <c r="D209" s="101"/>
      <c r="E209" s="101"/>
      <c r="F209" s="101"/>
      <c r="G209" s="101"/>
      <c r="H209" s="101"/>
      <c r="I209" s="101"/>
      <c r="J209" s="101"/>
      <c r="K209" s="101"/>
      <c r="L209" s="101"/>
      <c r="M209" s="53"/>
      <c r="N209" s="53"/>
      <c r="O209" s="53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</row>
    <row r="210" ht="12.75" customHeight="1">
      <c r="A210" s="101"/>
      <c r="B210" s="54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53"/>
      <c r="N210" s="53"/>
      <c r="O210" s="53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</row>
    <row r="211" ht="12.75" customHeight="1">
      <c r="A211" s="101"/>
      <c r="B211" s="54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53"/>
      <c r="N211" s="53"/>
      <c r="O211" s="53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</row>
    <row r="212" ht="12.75" customHeight="1">
      <c r="A212" s="101"/>
      <c r="B212" s="54"/>
      <c r="C212" s="102"/>
      <c r="D212" s="101"/>
      <c r="E212" s="101"/>
      <c r="F212" s="101"/>
      <c r="G212" s="101"/>
      <c r="H212" s="101"/>
      <c r="I212" s="101"/>
      <c r="J212" s="101"/>
      <c r="K212" s="101"/>
      <c r="L212" s="101"/>
      <c r="M212" s="53"/>
      <c r="N212" s="53"/>
      <c r="O212" s="53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</row>
    <row r="213" ht="12.75" customHeight="1">
      <c r="A213" s="101"/>
      <c r="B213" s="54"/>
      <c r="C213" s="102"/>
      <c r="D213" s="101"/>
      <c r="E213" s="101"/>
      <c r="F213" s="101"/>
      <c r="G213" s="101"/>
      <c r="H213" s="101"/>
      <c r="I213" s="101"/>
      <c r="J213" s="101"/>
      <c r="K213" s="101"/>
      <c r="L213" s="101"/>
      <c r="M213" s="53"/>
      <c r="N213" s="53"/>
      <c r="O213" s="53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</row>
    <row r="214" ht="12.75" customHeight="1">
      <c r="A214" s="101"/>
      <c r="B214" s="54"/>
      <c r="C214" s="102"/>
      <c r="D214" s="101"/>
      <c r="E214" s="101"/>
      <c r="F214" s="101"/>
      <c r="G214" s="101"/>
      <c r="H214" s="101"/>
      <c r="I214" s="101"/>
      <c r="J214" s="101"/>
      <c r="K214" s="101"/>
      <c r="L214" s="101"/>
      <c r="M214" s="53"/>
      <c r="N214" s="53"/>
      <c r="O214" s="53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</row>
    <row r="215" ht="12.75" customHeight="1">
      <c r="A215" s="101"/>
      <c r="B215" s="54"/>
      <c r="C215" s="102"/>
      <c r="D215" s="101"/>
      <c r="E215" s="101"/>
      <c r="F215" s="101"/>
      <c r="G215" s="101"/>
      <c r="H215" s="101"/>
      <c r="I215" s="101"/>
      <c r="J215" s="101"/>
      <c r="K215" s="101"/>
      <c r="L215" s="101"/>
      <c r="M215" s="53"/>
      <c r="N215" s="53"/>
      <c r="O215" s="53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</row>
    <row r="216" ht="12.75" customHeight="1">
      <c r="A216" s="101"/>
      <c r="B216" s="54"/>
      <c r="C216" s="102"/>
      <c r="D216" s="101"/>
      <c r="E216" s="101"/>
      <c r="F216" s="101"/>
      <c r="G216" s="101"/>
      <c r="H216" s="101"/>
      <c r="I216" s="101"/>
      <c r="J216" s="101"/>
      <c r="K216" s="101"/>
      <c r="L216" s="101"/>
      <c r="M216" s="53"/>
      <c r="N216" s="53"/>
      <c r="O216" s="53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</row>
    <row r="217" ht="12.75" customHeight="1">
      <c r="A217" s="101"/>
      <c r="B217" s="54"/>
      <c r="C217" s="102"/>
      <c r="D217" s="101"/>
      <c r="E217" s="101"/>
      <c r="F217" s="101"/>
      <c r="G217" s="101"/>
      <c r="H217" s="101"/>
      <c r="I217" s="101"/>
      <c r="J217" s="101"/>
      <c r="K217" s="101"/>
      <c r="L217" s="101"/>
      <c r="M217" s="53"/>
      <c r="N217" s="53"/>
      <c r="O217" s="53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</row>
    <row r="218" ht="12.75" customHeight="1">
      <c r="A218" s="101"/>
      <c r="B218" s="54"/>
      <c r="C218" s="102"/>
      <c r="D218" s="101"/>
      <c r="E218" s="101"/>
      <c r="F218" s="101"/>
      <c r="G218" s="101"/>
      <c r="H218" s="101"/>
      <c r="I218" s="101"/>
      <c r="J218" s="101"/>
      <c r="K218" s="101"/>
      <c r="L218" s="101"/>
      <c r="M218" s="53"/>
      <c r="N218" s="53"/>
      <c r="O218" s="53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</row>
    <row r="219" ht="12.75" customHeight="1">
      <c r="A219" s="101"/>
      <c r="B219" s="54"/>
      <c r="C219" s="102"/>
      <c r="D219" s="101"/>
      <c r="E219" s="101"/>
      <c r="F219" s="101"/>
      <c r="G219" s="101"/>
      <c r="H219" s="101"/>
      <c r="I219" s="101"/>
      <c r="J219" s="101"/>
      <c r="K219" s="101"/>
      <c r="L219" s="101"/>
      <c r="M219" s="53"/>
      <c r="N219" s="53"/>
      <c r="O219" s="53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</row>
    <row r="220" ht="12.75" customHeight="1">
      <c r="A220" s="101"/>
      <c r="B220" s="54"/>
      <c r="C220" s="102"/>
      <c r="D220" s="101"/>
      <c r="E220" s="101"/>
      <c r="F220" s="101"/>
      <c r="G220" s="101"/>
      <c r="H220" s="101"/>
      <c r="I220" s="101"/>
      <c r="J220" s="101"/>
      <c r="K220" s="101"/>
      <c r="L220" s="101"/>
      <c r="M220" s="53"/>
      <c r="N220" s="53"/>
      <c r="O220" s="53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</row>
    <row r="221" ht="12.75" customHeight="1">
      <c r="A221" s="101"/>
      <c r="B221" s="54"/>
      <c r="C221" s="102"/>
      <c r="D221" s="101"/>
      <c r="E221" s="101"/>
      <c r="F221" s="101"/>
      <c r="G221" s="101"/>
      <c r="H221" s="101"/>
      <c r="I221" s="101"/>
      <c r="J221" s="101"/>
      <c r="K221" s="101"/>
      <c r="L221" s="101"/>
      <c r="M221" s="53"/>
      <c r="N221" s="53"/>
      <c r="O221" s="53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</row>
    <row r="222" ht="12.75" customHeight="1">
      <c r="A222" s="101"/>
      <c r="B222" s="54"/>
      <c r="C222" s="102"/>
      <c r="D222" s="101"/>
      <c r="E222" s="101"/>
      <c r="F222" s="101"/>
      <c r="G222" s="101"/>
      <c r="H222" s="101"/>
      <c r="I222" s="101"/>
      <c r="J222" s="101"/>
      <c r="K222" s="101"/>
      <c r="L222" s="101"/>
      <c r="M222" s="53"/>
      <c r="N222" s="53"/>
      <c r="O222" s="53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</row>
    <row r="223" ht="12.75" customHeight="1">
      <c r="A223" s="101"/>
      <c r="B223" s="54"/>
      <c r="C223" s="102"/>
      <c r="D223" s="101"/>
      <c r="E223" s="101"/>
      <c r="F223" s="101"/>
      <c r="G223" s="101"/>
      <c r="H223" s="101"/>
      <c r="I223" s="101"/>
      <c r="J223" s="101"/>
      <c r="K223" s="101"/>
      <c r="L223" s="101"/>
      <c r="M223" s="53"/>
      <c r="N223" s="53"/>
      <c r="O223" s="53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</row>
    <row r="224" ht="12.75" customHeight="1">
      <c r="A224" s="101"/>
      <c r="B224" s="54"/>
      <c r="C224" s="102"/>
      <c r="D224" s="101"/>
      <c r="E224" s="101"/>
      <c r="F224" s="101"/>
      <c r="G224" s="101"/>
      <c r="H224" s="101"/>
      <c r="I224" s="101"/>
      <c r="J224" s="101"/>
      <c r="K224" s="101"/>
      <c r="L224" s="101"/>
      <c r="M224" s="53"/>
      <c r="N224" s="53"/>
      <c r="O224" s="53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</row>
    <row r="225" ht="12.75" customHeight="1">
      <c r="A225" s="101"/>
      <c r="B225" s="54"/>
      <c r="C225" s="102"/>
      <c r="D225" s="101"/>
      <c r="E225" s="101"/>
      <c r="F225" s="101"/>
      <c r="G225" s="101"/>
      <c r="H225" s="101"/>
      <c r="I225" s="101"/>
      <c r="J225" s="101"/>
      <c r="K225" s="101"/>
      <c r="L225" s="101"/>
      <c r="M225" s="53"/>
      <c r="N225" s="53"/>
      <c r="O225" s="53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</row>
    <row r="226" ht="12.75" customHeight="1">
      <c r="A226" s="101"/>
      <c r="B226" s="54"/>
      <c r="C226" s="102"/>
      <c r="D226" s="101"/>
      <c r="E226" s="101"/>
      <c r="F226" s="101"/>
      <c r="G226" s="101"/>
      <c r="H226" s="101"/>
      <c r="I226" s="101"/>
      <c r="J226" s="101"/>
      <c r="K226" s="101"/>
      <c r="L226" s="101"/>
      <c r="M226" s="53"/>
      <c r="N226" s="53"/>
      <c r="O226" s="53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</row>
    <row r="227" ht="12.75" customHeight="1">
      <c r="A227" s="101"/>
      <c r="B227" s="54"/>
      <c r="C227" s="102"/>
      <c r="D227" s="101"/>
      <c r="E227" s="101"/>
      <c r="F227" s="101"/>
      <c r="G227" s="101"/>
      <c r="H227" s="101"/>
      <c r="I227" s="101"/>
      <c r="J227" s="101"/>
      <c r="K227" s="101"/>
      <c r="L227" s="101"/>
      <c r="M227" s="53"/>
      <c r="N227" s="53"/>
      <c r="O227" s="53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</row>
    <row r="228" ht="12.75" customHeight="1">
      <c r="A228" s="101"/>
      <c r="B228" s="54"/>
      <c r="C228" s="102"/>
      <c r="D228" s="101"/>
      <c r="E228" s="101"/>
      <c r="F228" s="101"/>
      <c r="G228" s="101"/>
      <c r="H228" s="101"/>
      <c r="I228" s="101"/>
      <c r="J228" s="101"/>
      <c r="K228" s="101"/>
      <c r="L228" s="101"/>
      <c r="M228" s="53"/>
      <c r="N228" s="53"/>
      <c r="O228" s="53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</row>
    <row r="229" ht="12.75" customHeight="1">
      <c r="A229" s="101"/>
      <c r="B229" s="54"/>
      <c r="C229" s="102"/>
      <c r="D229" s="101"/>
      <c r="E229" s="101"/>
      <c r="F229" s="101"/>
      <c r="G229" s="101"/>
      <c r="H229" s="101"/>
      <c r="I229" s="101"/>
      <c r="J229" s="101"/>
      <c r="K229" s="101"/>
      <c r="L229" s="101"/>
      <c r="M229" s="53"/>
      <c r="N229" s="53"/>
      <c r="O229" s="53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</row>
    <row r="230" ht="12.75" customHeight="1">
      <c r="A230" s="101"/>
      <c r="B230" s="54"/>
      <c r="C230" s="102"/>
      <c r="D230" s="101"/>
      <c r="E230" s="101"/>
      <c r="F230" s="101"/>
      <c r="G230" s="101"/>
      <c r="H230" s="101"/>
      <c r="I230" s="101"/>
      <c r="J230" s="101"/>
      <c r="K230" s="101"/>
      <c r="L230" s="101"/>
      <c r="M230" s="53"/>
      <c r="N230" s="53"/>
      <c r="O230" s="53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</row>
    <row r="231" ht="12.75" customHeight="1">
      <c r="A231" s="101"/>
      <c r="B231" s="54"/>
      <c r="C231" s="102"/>
      <c r="D231" s="101"/>
      <c r="E231" s="101"/>
      <c r="F231" s="101"/>
      <c r="G231" s="101"/>
      <c r="H231" s="101"/>
      <c r="I231" s="101"/>
      <c r="J231" s="101"/>
      <c r="K231" s="101"/>
      <c r="L231" s="101"/>
      <c r="M231" s="53"/>
      <c r="N231" s="53"/>
      <c r="O231" s="53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</row>
    <row r="232" ht="12.75" customHeight="1">
      <c r="A232" s="101"/>
      <c r="B232" s="54"/>
      <c r="C232" s="102"/>
      <c r="D232" s="101"/>
      <c r="E232" s="101"/>
      <c r="F232" s="101"/>
      <c r="G232" s="101"/>
      <c r="H232" s="101"/>
      <c r="I232" s="101"/>
      <c r="J232" s="101"/>
      <c r="K232" s="101"/>
      <c r="L232" s="101"/>
      <c r="M232" s="53"/>
      <c r="N232" s="53"/>
      <c r="O232" s="53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</row>
    <row r="233" ht="12.75" customHeight="1">
      <c r="A233" s="101"/>
      <c r="B233" s="54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53"/>
      <c r="N233" s="53"/>
      <c r="O233" s="53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</row>
    <row r="234" ht="12.75" customHeight="1">
      <c r="A234" s="101"/>
      <c r="B234" s="54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53"/>
      <c r="N234" s="53"/>
      <c r="O234" s="53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</row>
    <row r="235" ht="12.75" customHeight="1">
      <c r="A235" s="101"/>
      <c r="B235" s="54"/>
      <c r="C235" s="102"/>
      <c r="D235" s="101"/>
      <c r="E235" s="101"/>
      <c r="F235" s="101"/>
      <c r="G235" s="101"/>
      <c r="H235" s="101"/>
      <c r="I235" s="101"/>
      <c r="J235" s="101"/>
      <c r="K235" s="101"/>
      <c r="L235" s="101"/>
      <c r="M235" s="53"/>
      <c r="N235" s="53"/>
      <c r="O235" s="53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</row>
    <row r="236" ht="12.75" customHeight="1">
      <c r="A236" s="101"/>
      <c r="B236" s="54"/>
      <c r="C236" s="102"/>
      <c r="D236" s="101"/>
      <c r="E236" s="101"/>
      <c r="F236" s="101"/>
      <c r="G236" s="101"/>
      <c r="H236" s="101"/>
      <c r="I236" s="101"/>
      <c r="J236" s="101"/>
      <c r="K236" s="101"/>
      <c r="L236" s="101"/>
      <c r="M236" s="53"/>
      <c r="N236" s="53"/>
      <c r="O236" s="53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</row>
    <row r="237" ht="12.75" customHeight="1">
      <c r="A237" s="101"/>
      <c r="B237" s="54"/>
      <c r="C237" s="102"/>
      <c r="D237" s="101"/>
      <c r="E237" s="101"/>
      <c r="F237" s="101"/>
      <c r="G237" s="101"/>
      <c r="H237" s="101"/>
      <c r="I237" s="101"/>
      <c r="J237" s="101"/>
      <c r="K237" s="101"/>
      <c r="L237" s="101"/>
      <c r="M237" s="53"/>
      <c r="N237" s="53"/>
      <c r="O237" s="53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</row>
    <row r="238" ht="12.75" customHeight="1">
      <c r="A238" s="101"/>
      <c r="B238" s="54"/>
      <c r="C238" s="102"/>
      <c r="D238" s="101"/>
      <c r="E238" s="101"/>
      <c r="F238" s="101"/>
      <c r="G238" s="101"/>
      <c r="H238" s="101"/>
      <c r="I238" s="101"/>
      <c r="J238" s="101"/>
      <c r="K238" s="101"/>
      <c r="L238" s="101"/>
      <c r="M238" s="53"/>
      <c r="N238" s="53"/>
      <c r="O238" s="53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</row>
    <row r="239" ht="12.75" customHeight="1">
      <c r="A239" s="101"/>
      <c r="B239" s="54"/>
      <c r="C239" s="102"/>
      <c r="D239" s="101"/>
      <c r="E239" s="101"/>
      <c r="F239" s="101"/>
      <c r="G239" s="101"/>
      <c r="H239" s="101"/>
      <c r="I239" s="101"/>
      <c r="J239" s="101"/>
      <c r="K239" s="101"/>
      <c r="L239" s="101"/>
      <c r="M239" s="53"/>
      <c r="N239" s="53"/>
      <c r="O239" s="53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</row>
    <row r="240" ht="12.75" customHeight="1">
      <c r="A240" s="101"/>
      <c r="B240" s="54"/>
      <c r="C240" s="102"/>
      <c r="D240" s="101"/>
      <c r="E240" s="101"/>
      <c r="F240" s="101"/>
      <c r="G240" s="101"/>
      <c r="H240" s="101"/>
      <c r="I240" s="101"/>
      <c r="J240" s="101"/>
      <c r="K240" s="101"/>
      <c r="L240" s="101"/>
      <c r="M240" s="53"/>
      <c r="N240" s="53"/>
      <c r="O240" s="53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</row>
    <row r="241" ht="12.75" customHeight="1">
      <c r="A241" s="101"/>
      <c r="B241" s="54"/>
      <c r="C241" s="102"/>
      <c r="D241" s="101"/>
      <c r="E241" s="101"/>
      <c r="F241" s="101"/>
      <c r="G241" s="101"/>
      <c r="H241" s="101"/>
      <c r="I241" s="101"/>
      <c r="J241" s="101"/>
      <c r="K241" s="101"/>
      <c r="L241" s="101"/>
      <c r="M241" s="53"/>
      <c r="N241" s="53"/>
      <c r="O241" s="53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</row>
    <row r="242" ht="12.75" customHeight="1">
      <c r="A242" s="101"/>
      <c r="B242" s="54"/>
      <c r="C242" s="102"/>
      <c r="D242" s="101"/>
      <c r="E242" s="101"/>
      <c r="F242" s="101"/>
      <c r="G242" s="101"/>
      <c r="H242" s="101"/>
      <c r="I242" s="101"/>
      <c r="J242" s="101"/>
      <c r="K242" s="101"/>
      <c r="L242" s="101"/>
      <c r="M242" s="53"/>
      <c r="N242" s="53"/>
      <c r="O242" s="53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</row>
    <row r="243" ht="12.75" customHeight="1">
      <c r="A243" s="101"/>
      <c r="B243" s="54"/>
      <c r="C243" s="102"/>
      <c r="D243" s="101"/>
      <c r="E243" s="101"/>
      <c r="F243" s="101"/>
      <c r="G243" s="101"/>
      <c r="H243" s="101"/>
      <c r="I243" s="101"/>
      <c r="J243" s="101"/>
      <c r="K243" s="101"/>
      <c r="L243" s="101"/>
      <c r="M243" s="53"/>
      <c r="N243" s="53"/>
      <c r="O243" s="53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</row>
    <row r="244" ht="12.75" customHeight="1">
      <c r="A244" s="101"/>
      <c r="B244" s="54"/>
      <c r="C244" s="102"/>
      <c r="D244" s="101"/>
      <c r="E244" s="101"/>
      <c r="F244" s="101"/>
      <c r="G244" s="101"/>
      <c r="H244" s="101"/>
      <c r="I244" s="101"/>
      <c r="J244" s="101"/>
      <c r="K244" s="101"/>
      <c r="L244" s="101"/>
      <c r="M244" s="53"/>
      <c r="N244" s="53"/>
      <c r="O244" s="53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</row>
    <row r="245" ht="12.75" customHeight="1">
      <c r="A245" s="101"/>
      <c r="B245" s="54"/>
      <c r="C245" s="102"/>
      <c r="D245" s="101"/>
      <c r="E245" s="101"/>
      <c r="F245" s="101"/>
      <c r="G245" s="101"/>
      <c r="H245" s="101"/>
      <c r="I245" s="101"/>
      <c r="J245" s="101"/>
      <c r="K245" s="101"/>
      <c r="L245" s="101"/>
      <c r="M245" s="53"/>
      <c r="N245" s="53"/>
      <c r="O245" s="53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</row>
    <row r="246" ht="12.75" customHeight="1">
      <c r="A246" s="101"/>
      <c r="B246" s="54"/>
      <c r="C246" s="102"/>
      <c r="D246" s="101"/>
      <c r="E246" s="101"/>
      <c r="F246" s="101"/>
      <c r="G246" s="101"/>
      <c r="H246" s="101"/>
      <c r="I246" s="101"/>
      <c r="J246" s="101"/>
      <c r="K246" s="101"/>
      <c r="L246" s="101"/>
      <c r="M246" s="53"/>
      <c r="N246" s="53"/>
      <c r="O246" s="53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</row>
    <row r="247" ht="12.75" customHeight="1">
      <c r="A247" s="101"/>
      <c r="B247" s="54"/>
      <c r="C247" s="102"/>
      <c r="D247" s="101"/>
      <c r="E247" s="101"/>
      <c r="F247" s="101"/>
      <c r="G247" s="101"/>
      <c r="H247" s="101"/>
      <c r="I247" s="101"/>
      <c r="J247" s="101"/>
      <c r="K247" s="101"/>
      <c r="L247" s="101"/>
      <c r="M247" s="53"/>
      <c r="N247" s="53"/>
      <c r="O247" s="53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</row>
    <row r="248" ht="12.75" customHeight="1">
      <c r="A248" s="101"/>
      <c r="B248" s="54"/>
      <c r="C248" s="102"/>
      <c r="D248" s="101"/>
      <c r="E248" s="101"/>
      <c r="F248" s="101"/>
      <c r="G248" s="101"/>
      <c r="H248" s="101"/>
      <c r="I248" s="101"/>
      <c r="J248" s="101"/>
      <c r="K248" s="101"/>
      <c r="L248" s="101"/>
      <c r="M248" s="53"/>
      <c r="N248" s="53"/>
      <c r="O248" s="53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</row>
    <row r="249" ht="12.75" customHeight="1">
      <c r="A249" s="101"/>
      <c r="B249" s="54"/>
      <c r="C249" s="102"/>
      <c r="D249" s="101"/>
      <c r="E249" s="101"/>
      <c r="F249" s="101"/>
      <c r="G249" s="101"/>
      <c r="H249" s="101"/>
      <c r="I249" s="101"/>
      <c r="J249" s="101"/>
      <c r="K249" s="101"/>
      <c r="L249" s="101"/>
      <c r="M249" s="53"/>
      <c r="N249" s="53"/>
      <c r="O249" s="53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</row>
    <row r="250" ht="12.75" customHeight="1">
      <c r="A250" s="101"/>
      <c r="B250" s="54"/>
      <c r="C250" s="102"/>
      <c r="D250" s="101"/>
      <c r="E250" s="101"/>
      <c r="F250" s="101"/>
      <c r="G250" s="101"/>
      <c r="H250" s="101"/>
      <c r="I250" s="101"/>
      <c r="J250" s="101"/>
      <c r="K250" s="101"/>
      <c r="L250" s="101"/>
      <c r="M250" s="53"/>
      <c r="N250" s="53"/>
      <c r="O250" s="53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</row>
    <row r="251" ht="12.75" customHeight="1">
      <c r="A251" s="101"/>
      <c r="B251" s="54"/>
      <c r="C251" s="102"/>
      <c r="D251" s="101"/>
      <c r="E251" s="101"/>
      <c r="F251" s="101"/>
      <c r="G251" s="101"/>
      <c r="H251" s="101"/>
      <c r="I251" s="101"/>
      <c r="J251" s="101"/>
      <c r="K251" s="101"/>
      <c r="L251" s="101"/>
      <c r="M251" s="53"/>
      <c r="N251" s="53"/>
      <c r="O251" s="53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</row>
    <row r="252" ht="12.75" customHeight="1">
      <c r="A252" s="101"/>
      <c r="B252" s="54"/>
      <c r="C252" s="102"/>
      <c r="D252" s="101"/>
      <c r="E252" s="101"/>
      <c r="F252" s="101"/>
      <c r="G252" s="101"/>
      <c r="H252" s="101"/>
      <c r="I252" s="101"/>
      <c r="J252" s="101"/>
      <c r="K252" s="101"/>
      <c r="L252" s="101"/>
      <c r="M252" s="53"/>
      <c r="N252" s="53"/>
      <c r="O252" s="53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</row>
    <row r="253" ht="12.75" customHeight="1">
      <c r="A253" s="101"/>
      <c r="B253" s="54"/>
      <c r="C253" s="102"/>
      <c r="D253" s="101"/>
      <c r="E253" s="101"/>
      <c r="F253" s="101"/>
      <c r="G253" s="101"/>
      <c r="H253" s="101"/>
      <c r="I253" s="101"/>
      <c r="J253" s="101"/>
      <c r="K253" s="101"/>
      <c r="L253" s="101"/>
      <c r="M253" s="53"/>
      <c r="N253" s="53"/>
      <c r="O253" s="53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</row>
    <row r="254" ht="12.75" customHeight="1">
      <c r="A254" s="101"/>
      <c r="B254" s="54"/>
      <c r="C254" s="102"/>
      <c r="D254" s="101"/>
      <c r="E254" s="101"/>
      <c r="F254" s="101"/>
      <c r="G254" s="101"/>
      <c r="H254" s="101"/>
      <c r="I254" s="101"/>
      <c r="J254" s="101"/>
      <c r="K254" s="101"/>
      <c r="L254" s="101"/>
      <c r="M254" s="53"/>
      <c r="N254" s="53"/>
      <c r="O254" s="53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</row>
    <row r="255" ht="12.75" customHeight="1">
      <c r="A255" s="101"/>
      <c r="B255" s="54"/>
      <c r="C255" s="102"/>
      <c r="D255" s="101"/>
      <c r="E255" s="101"/>
      <c r="F255" s="101"/>
      <c r="G255" s="101"/>
      <c r="H255" s="101"/>
      <c r="I255" s="101"/>
      <c r="J255" s="101"/>
      <c r="K255" s="101"/>
      <c r="L255" s="101"/>
      <c r="M255" s="53"/>
      <c r="N255" s="53"/>
      <c r="O255" s="53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</row>
    <row r="256" ht="12.75" customHeight="1">
      <c r="A256" s="101"/>
      <c r="B256" s="54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53"/>
      <c r="N256" s="53"/>
      <c r="O256" s="53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</row>
    <row r="257" ht="12.75" customHeight="1">
      <c r="A257" s="101"/>
      <c r="B257" s="54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53"/>
      <c r="N257" s="53"/>
      <c r="O257" s="53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</row>
    <row r="258" ht="12.75" customHeight="1">
      <c r="A258" s="101"/>
      <c r="B258" s="54"/>
      <c r="C258" s="102"/>
      <c r="D258" s="101"/>
      <c r="E258" s="101"/>
      <c r="F258" s="101"/>
      <c r="G258" s="101"/>
      <c r="H258" s="101"/>
      <c r="I258" s="101"/>
      <c r="J258" s="101"/>
      <c r="K258" s="101"/>
      <c r="L258" s="101"/>
      <c r="M258" s="53"/>
      <c r="N258" s="53"/>
      <c r="O258" s="53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</row>
    <row r="259" ht="12.75" customHeight="1">
      <c r="A259" s="101"/>
      <c r="B259" s="54"/>
      <c r="C259" s="102"/>
      <c r="D259" s="101"/>
      <c r="E259" s="101"/>
      <c r="F259" s="101"/>
      <c r="G259" s="101"/>
      <c r="H259" s="101"/>
      <c r="I259" s="101"/>
      <c r="J259" s="101"/>
      <c r="K259" s="101"/>
      <c r="L259" s="101"/>
      <c r="M259" s="53"/>
      <c r="N259" s="53"/>
      <c r="O259" s="53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</row>
    <row r="260" ht="12.75" customHeight="1">
      <c r="A260" s="101"/>
      <c r="B260" s="54"/>
      <c r="C260" s="102"/>
      <c r="D260" s="101"/>
      <c r="E260" s="101"/>
      <c r="F260" s="101"/>
      <c r="G260" s="101"/>
      <c r="H260" s="101"/>
      <c r="I260" s="101"/>
      <c r="J260" s="101"/>
      <c r="K260" s="101"/>
      <c r="L260" s="101"/>
      <c r="M260" s="53"/>
      <c r="N260" s="53"/>
      <c r="O260" s="53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</row>
    <row r="261" ht="12.75" customHeight="1">
      <c r="A261" s="101"/>
      <c r="B261" s="54"/>
      <c r="C261" s="102"/>
      <c r="D261" s="101"/>
      <c r="E261" s="101"/>
      <c r="F261" s="101"/>
      <c r="G261" s="101"/>
      <c r="H261" s="101"/>
      <c r="I261" s="101"/>
      <c r="J261" s="101"/>
      <c r="K261" s="101"/>
      <c r="L261" s="101"/>
      <c r="M261" s="53"/>
      <c r="N261" s="53"/>
      <c r="O261" s="53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</row>
    <row r="262" ht="12.75" customHeight="1">
      <c r="A262" s="101"/>
      <c r="B262" s="54"/>
      <c r="C262" s="102"/>
      <c r="D262" s="101"/>
      <c r="E262" s="101"/>
      <c r="F262" s="101"/>
      <c r="G262" s="101"/>
      <c r="H262" s="101"/>
      <c r="I262" s="101"/>
      <c r="J262" s="101"/>
      <c r="K262" s="101"/>
      <c r="L262" s="101"/>
      <c r="M262" s="53"/>
      <c r="N262" s="53"/>
      <c r="O262" s="53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</row>
    <row r="263" ht="12.75" customHeight="1">
      <c r="A263" s="101"/>
      <c r="B263" s="54"/>
      <c r="C263" s="102"/>
      <c r="D263" s="101"/>
      <c r="E263" s="101"/>
      <c r="F263" s="101"/>
      <c r="G263" s="101"/>
      <c r="H263" s="101"/>
      <c r="I263" s="101"/>
      <c r="J263" s="101"/>
      <c r="K263" s="101"/>
      <c r="L263" s="101"/>
      <c r="M263" s="53"/>
      <c r="N263" s="53"/>
      <c r="O263" s="53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</row>
    <row r="264" ht="12.75" customHeight="1">
      <c r="A264" s="101"/>
      <c r="B264" s="54"/>
      <c r="C264" s="102"/>
      <c r="D264" s="101"/>
      <c r="E264" s="101"/>
      <c r="F264" s="101"/>
      <c r="G264" s="101"/>
      <c r="H264" s="101"/>
      <c r="I264" s="101"/>
      <c r="J264" s="101"/>
      <c r="K264" s="101"/>
      <c r="L264" s="101"/>
      <c r="M264" s="53"/>
      <c r="N264" s="53"/>
      <c r="O264" s="53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</row>
    <row r="265" ht="12.75" customHeight="1">
      <c r="A265" s="101"/>
      <c r="B265" s="54"/>
      <c r="C265" s="102"/>
      <c r="D265" s="101"/>
      <c r="E265" s="101"/>
      <c r="F265" s="101"/>
      <c r="G265" s="101"/>
      <c r="H265" s="101"/>
      <c r="I265" s="101"/>
      <c r="J265" s="101"/>
      <c r="K265" s="101"/>
      <c r="L265" s="101"/>
      <c r="M265" s="53"/>
      <c r="N265" s="53"/>
      <c r="O265" s="53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</row>
    <row r="266" ht="12.75" customHeight="1">
      <c r="A266" s="101"/>
      <c r="B266" s="54"/>
      <c r="C266" s="102"/>
      <c r="D266" s="101"/>
      <c r="E266" s="101"/>
      <c r="F266" s="101"/>
      <c r="G266" s="101"/>
      <c r="H266" s="101"/>
      <c r="I266" s="101"/>
      <c r="J266" s="101"/>
      <c r="K266" s="101"/>
      <c r="L266" s="101"/>
      <c r="M266" s="53"/>
      <c r="N266" s="53"/>
      <c r="O266" s="53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</row>
    <row r="267" ht="12.75" customHeight="1">
      <c r="A267" s="101"/>
      <c r="B267" s="54"/>
      <c r="C267" s="102"/>
      <c r="D267" s="101"/>
      <c r="E267" s="101"/>
      <c r="F267" s="101"/>
      <c r="G267" s="101"/>
      <c r="H267" s="101"/>
      <c r="I267" s="101"/>
      <c r="J267" s="101"/>
      <c r="K267" s="101"/>
      <c r="L267" s="101"/>
      <c r="M267" s="53"/>
      <c r="N267" s="53"/>
      <c r="O267" s="53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</row>
    <row r="268" ht="12.75" customHeight="1">
      <c r="A268" s="101"/>
      <c r="B268" s="54"/>
      <c r="C268" s="102"/>
      <c r="D268" s="101"/>
      <c r="E268" s="101"/>
      <c r="F268" s="101"/>
      <c r="G268" s="101"/>
      <c r="H268" s="101"/>
      <c r="I268" s="101"/>
      <c r="J268" s="101"/>
      <c r="K268" s="101"/>
      <c r="L268" s="101"/>
      <c r="M268" s="53"/>
      <c r="N268" s="53"/>
      <c r="O268" s="53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</row>
    <row r="269" ht="12.75" customHeight="1">
      <c r="A269" s="101"/>
      <c r="B269" s="54"/>
      <c r="C269" s="102"/>
      <c r="D269" s="101"/>
      <c r="E269" s="101"/>
      <c r="F269" s="101"/>
      <c r="G269" s="101"/>
      <c r="H269" s="101"/>
      <c r="I269" s="101"/>
      <c r="J269" s="101"/>
      <c r="K269" s="101"/>
      <c r="L269" s="101"/>
      <c r="M269" s="53"/>
      <c r="N269" s="53"/>
      <c r="O269" s="53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</row>
    <row r="270" ht="12.75" customHeight="1">
      <c r="A270" s="101"/>
      <c r="B270" s="54"/>
      <c r="C270" s="102"/>
      <c r="D270" s="101"/>
      <c r="E270" s="101"/>
      <c r="F270" s="101"/>
      <c r="G270" s="101"/>
      <c r="H270" s="101"/>
      <c r="I270" s="101"/>
      <c r="J270" s="101"/>
      <c r="K270" s="101"/>
      <c r="L270" s="101"/>
      <c r="M270" s="53"/>
      <c r="N270" s="53"/>
      <c r="O270" s="53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</row>
    <row r="271" ht="12.75" customHeight="1">
      <c r="A271" s="101"/>
      <c r="B271" s="54"/>
      <c r="C271" s="102"/>
      <c r="D271" s="101"/>
      <c r="E271" s="101"/>
      <c r="F271" s="101"/>
      <c r="G271" s="101"/>
      <c r="H271" s="101"/>
      <c r="I271" s="101"/>
      <c r="J271" s="101"/>
      <c r="K271" s="101"/>
      <c r="L271" s="101"/>
      <c r="M271" s="53"/>
      <c r="N271" s="53"/>
      <c r="O271" s="53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</row>
    <row r="272" ht="12.75" customHeight="1">
      <c r="A272" s="101"/>
      <c r="B272" s="54"/>
      <c r="C272" s="102"/>
      <c r="D272" s="101"/>
      <c r="E272" s="101"/>
      <c r="F272" s="101"/>
      <c r="G272" s="101"/>
      <c r="H272" s="101"/>
      <c r="I272" s="101"/>
      <c r="J272" s="101"/>
      <c r="K272" s="101"/>
      <c r="L272" s="101"/>
      <c r="M272" s="53"/>
      <c r="N272" s="53"/>
      <c r="O272" s="53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</row>
    <row r="273" ht="12.75" customHeight="1">
      <c r="A273" s="101"/>
      <c r="B273" s="54"/>
      <c r="C273" s="102"/>
      <c r="D273" s="101"/>
      <c r="E273" s="101"/>
      <c r="F273" s="101"/>
      <c r="G273" s="101"/>
      <c r="H273" s="101"/>
      <c r="I273" s="101"/>
      <c r="J273" s="101"/>
      <c r="K273" s="101"/>
      <c r="L273" s="101"/>
      <c r="M273" s="53"/>
      <c r="N273" s="53"/>
      <c r="O273" s="53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</row>
    <row r="274" ht="12.75" customHeight="1">
      <c r="A274" s="101"/>
      <c r="B274" s="54"/>
      <c r="C274" s="102"/>
      <c r="D274" s="101"/>
      <c r="E274" s="101"/>
      <c r="F274" s="101"/>
      <c r="G274" s="101"/>
      <c r="H274" s="101"/>
      <c r="I274" s="101"/>
      <c r="J274" s="101"/>
      <c r="K274" s="101"/>
      <c r="L274" s="101"/>
      <c r="M274" s="53"/>
      <c r="N274" s="53"/>
      <c r="O274" s="53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</row>
    <row r="275" ht="12.75" customHeight="1">
      <c r="A275" s="101"/>
      <c r="B275" s="54"/>
      <c r="C275" s="102"/>
      <c r="D275" s="101"/>
      <c r="E275" s="101"/>
      <c r="F275" s="101"/>
      <c r="G275" s="101"/>
      <c r="H275" s="101"/>
      <c r="I275" s="101"/>
      <c r="J275" s="101"/>
      <c r="K275" s="101"/>
      <c r="L275" s="101"/>
      <c r="M275" s="53"/>
      <c r="N275" s="53"/>
      <c r="O275" s="53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</row>
    <row r="276" ht="12.75" customHeight="1">
      <c r="A276" s="101"/>
      <c r="B276" s="54"/>
      <c r="C276" s="102"/>
      <c r="D276" s="101"/>
      <c r="E276" s="101"/>
      <c r="F276" s="101"/>
      <c r="G276" s="101"/>
      <c r="H276" s="101"/>
      <c r="I276" s="101"/>
      <c r="J276" s="101"/>
      <c r="K276" s="101"/>
      <c r="L276" s="101"/>
      <c r="M276" s="53"/>
      <c r="N276" s="53"/>
      <c r="O276" s="53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</row>
    <row r="277" ht="12.75" customHeight="1">
      <c r="A277" s="101"/>
      <c r="B277" s="54"/>
      <c r="C277" s="102"/>
      <c r="D277" s="101"/>
      <c r="E277" s="101"/>
      <c r="F277" s="101"/>
      <c r="G277" s="101"/>
      <c r="H277" s="101"/>
      <c r="I277" s="101"/>
      <c r="J277" s="101"/>
      <c r="K277" s="101"/>
      <c r="L277" s="101"/>
      <c r="M277" s="53"/>
      <c r="N277" s="53"/>
      <c r="O277" s="53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</row>
    <row r="278" ht="12.75" customHeight="1">
      <c r="A278" s="101"/>
      <c r="B278" s="54"/>
      <c r="C278" s="102"/>
      <c r="D278" s="101"/>
      <c r="E278" s="101"/>
      <c r="F278" s="101"/>
      <c r="G278" s="101"/>
      <c r="H278" s="101"/>
      <c r="I278" s="101"/>
      <c r="J278" s="101"/>
      <c r="K278" s="101"/>
      <c r="L278" s="101"/>
      <c r="M278" s="53"/>
      <c r="N278" s="53"/>
      <c r="O278" s="53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</row>
    <row r="279" ht="12.75" customHeight="1">
      <c r="A279" s="101"/>
      <c r="B279" s="54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53"/>
      <c r="N279" s="53"/>
      <c r="O279" s="53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</row>
    <row r="280" ht="12.75" customHeight="1">
      <c r="A280" s="101"/>
      <c r="B280" s="54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53"/>
      <c r="N280" s="53"/>
      <c r="O280" s="53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</row>
    <row r="281" ht="12.75" customHeight="1">
      <c r="A281" s="101"/>
      <c r="B281" s="54"/>
      <c r="C281" s="102"/>
      <c r="D281" s="101"/>
      <c r="E281" s="101"/>
      <c r="F281" s="101"/>
      <c r="G281" s="101"/>
      <c r="H281" s="101"/>
      <c r="I281" s="101"/>
      <c r="J281" s="101"/>
      <c r="K281" s="101"/>
      <c r="L281" s="101"/>
      <c r="M281" s="53"/>
      <c r="N281" s="53"/>
      <c r="O281" s="53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</row>
    <row r="282" ht="12.75" customHeight="1">
      <c r="A282" s="101"/>
      <c r="B282" s="54"/>
      <c r="C282" s="102"/>
      <c r="D282" s="101"/>
      <c r="E282" s="101"/>
      <c r="F282" s="101"/>
      <c r="G282" s="101"/>
      <c r="H282" s="101"/>
      <c r="I282" s="101"/>
      <c r="J282" s="101"/>
      <c r="K282" s="101"/>
      <c r="L282" s="101"/>
      <c r="M282" s="53"/>
      <c r="N282" s="53"/>
      <c r="O282" s="53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</row>
    <row r="283" ht="12.75" customHeight="1">
      <c r="A283" s="101"/>
      <c r="B283" s="54"/>
      <c r="C283" s="102"/>
      <c r="D283" s="101"/>
      <c r="E283" s="101"/>
      <c r="F283" s="101"/>
      <c r="G283" s="101"/>
      <c r="H283" s="101"/>
      <c r="I283" s="101"/>
      <c r="J283" s="101"/>
      <c r="K283" s="101"/>
      <c r="L283" s="101"/>
      <c r="M283" s="53"/>
      <c r="N283" s="53"/>
      <c r="O283" s="53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</row>
    <row r="284" ht="12.75" customHeight="1">
      <c r="A284" s="101"/>
      <c r="B284" s="54"/>
      <c r="C284" s="102"/>
      <c r="D284" s="101"/>
      <c r="E284" s="101"/>
      <c r="F284" s="101"/>
      <c r="G284" s="101"/>
      <c r="H284" s="101"/>
      <c r="I284" s="101"/>
      <c r="J284" s="101"/>
      <c r="K284" s="101"/>
      <c r="L284" s="101"/>
      <c r="M284" s="53"/>
      <c r="N284" s="53"/>
      <c r="O284" s="53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</row>
    <row r="285" ht="12.75" customHeight="1">
      <c r="A285" s="101"/>
      <c r="B285" s="54"/>
      <c r="C285" s="102"/>
      <c r="D285" s="101"/>
      <c r="E285" s="101"/>
      <c r="F285" s="101"/>
      <c r="G285" s="101"/>
      <c r="H285" s="101"/>
      <c r="I285" s="101"/>
      <c r="J285" s="101"/>
      <c r="K285" s="101"/>
      <c r="L285" s="101"/>
      <c r="M285" s="53"/>
      <c r="N285" s="53"/>
      <c r="O285" s="53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</row>
    <row r="286" ht="12.75" customHeight="1">
      <c r="A286" s="101"/>
      <c r="B286" s="54"/>
      <c r="C286" s="102"/>
      <c r="D286" s="101"/>
      <c r="E286" s="101"/>
      <c r="F286" s="101"/>
      <c r="G286" s="101"/>
      <c r="H286" s="101"/>
      <c r="I286" s="101"/>
      <c r="J286" s="101"/>
      <c r="K286" s="101"/>
      <c r="L286" s="101"/>
      <c r="M286" s="53"/>
      <c r="N286" s="53"/>
      <c r="O286" s="53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</row>
    <row r="287" ht="12.75" customHeight="1">
      <c r="A287" s="101"/>
      <c r="B287" s="54"/>
      <c r="C287" s="102"/>
      <c r="D287" s="101"/>
      <c r="E287" s="101"/>
      <c r="F287" s="101"/>
      <c r="G287" s="101"/>
      <c r="H287" s="101"/>
      <c r="I287" s="101"/>
      <c r="J287" s="101"/>
      <c r="K287" s="101"/>
      <c r="L287" s="101"/>
      <c r="M287" s="53"/>
      <c r="N287" s="53"/>
      <c r="O287" s="53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</row>
    <row r="288" ht="12.75" customHeight="1">
      <c r="A288" s="101"/>
      <c r="B288" s="54"/>
      <c r="C288" s="102"/>
      <c r="D288" s="101"/>
      <c r="E288" s="101"/>
      <c r="F288" s="101"/>
      <c r="G288" s="101"/>
      <c r="H288" s="101"/>
      <c r="I288" s="101"/>
      <c r="J288" s="101"/>
      <c r="K288" s="101"/>
      <c r="L288" s="101"/>
      <c r="M288" s="53"/>
      <c r="N288" s="53"/>
      <c r="O288" s="53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</row>
    <row r="289" ht="12.75" customHeight="1">
      <c r="A289" s="101"/>
      <c r="B289" s="54"/>
      <c r="C289" s="102"/>
      <c r="D289" s="101"/>
      <c r="E289" s="101"/>
      <c r="F289" s="101"/>
      <c r="G289" s="101"/>
      <c r="H289" s="101"/>
      <c r="I289" s="101"/>
      <c r="J289" s="101"/>
      <c r="K289" s="101"/>
      <c r="L289" s="101"/>
      <c r="M289" s="53"/>
      <c r="N289" s="53"/>
      <c r="O289" s="53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</row>
    <row r="290" ht="12.75" customHeight="1">
      <c r="A290" s="101"/>
      <c r="B290" s="54"/>
      <c r="C290" s="102"/>
      <c r="D290" s="101"/>
      <c r="E290" s="101"/>
      <c r="F290" s="101"/>
      <c r="G290" s="101"/>
      <c r="H290" s="101"/>
      <c r="I290" s="101"/>
      <c r="J290" s="101"/>
      <c r="K290" s="101"/>
      <c r="L290" s="101"/>
      <c r="M290" s="53"/>
      <c r="N290" s="53"/>
      <c r="O290" s="53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</row>
    <row r="291" ht="12.75" customHeight="1">
      <c r="A291" s="101"/>
      <c r="B291" s="54"/>
      <c r="C291" s="102"/>
      <c r="D291" s="101"/>
      <c r="E291" s="101"/>
      <c r="F291" s="101"/>
      <c r="G291" s="101"/>
      <c r="H291" s="101"/>
      <c r="I291" s="101"/>
      <c r="J291" s="101"/>
      <c r="K291" s="101"/>
      <c r="L291" s="101"/>
      <c r="M291" s="53"/>
      <c r="N291" s="53"/>
      <c r="O291" s="53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</row>
    <row r="292" ht="12.75" customHeight="1">
      <c r="A292" s="101"/>
      <c r="B292" s="54"/>
      <c r="C292" s="102"/>
      <c r="D292" s="101"/>
      <c r="E292" s="101"/>
      <c r="F292" s="101"/>
      <c r="G292" s="101"/>
      <c r="H292" s="101"/>
      <c r="I292" s="101"/>
      <c r="J292" s="101"/>
      <c r="K292" s="101"/>
      <c r="L292" s="101"/>
      <c r="M292" s="53"/>
      <c r="N292" s="53"/>
      <c r="O292" s="53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</row>
    <row r="293" ht="12.75" customHeight="1">
      <c r="A293" s="101"/>
      <c r="B293" s="54"/>
      <c r="C293" s="102"/>
      <c r="D293" s="101"/>
      <c r="E293" s="101"/>
      <c r="F293" s="101"/>
      <c r="G293" s="101"/>
      <c r="H293" s="101"/>
      <c r="I293" s="101"/>
      <c r="J293" s="101"/>
      <c r="K293" s="101"/>
      <c r="L293" s="101"/>
      <c r="M293" s="53"/>
      <c r="N293" s="53"/>
      <c r="O293" s="53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</row>
    <row r="294" ht="12.75" customHeight="1">
      <c r="A294" s="101"/>
      <c r="B294" s="54"/>
      <c r="C294" s="102"/>
      <c r="D294" s="101"/>
      <c r="E294" s="101"/>
      <c r="F294" s="101"/>
      <c r="G294" s="101"/>
      <c r="H294" s="101"/>
      <c r="I294" s="101"/>
      <c r="J294" s="101"/>
      <c r="K294" s="101"/>
      <c r="L294" s="101"/>
      <c r="M294" s="53"/>
      <c r="N294" s="53"/>
      <c r="O294" s="53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</row>
    <row r="295" ht="12.75" customHeight="1">
      <c r="A295" s="101"/>
      <c r="B295" s="54"/>
      <c r="C295" s="102"/>
      <c r="D295" s="101"/>
      <c r="E295" s="101"/>
      <c r="F295" s="101"/>
      <c r="G295" s="101"/>
      <c r="H295" s="101"/>
      <c r="I295" s="101"/>
      <c r="J295" s="101"/>
      <c r="K295" s="101"/>
      <c r="L295" s="101"/>
      <c r="M295" s="53"/>
      <c r="N295" s="53"/>
      <c r="O295" s="53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</row>
    <row r="296" ht="12.75" customHeight="1">
      <c r="A296" s="101"/>
      <c r="B296" s="54"/>
      <c r="C296" s="102"/>
      <c r="D296" s="101"/>
      <c r="E296" s="101"/>
      <c r="F296" s="101"/>
      <c r="G296" s="101"/>
      <c r="H296" s="101"/>
      <c r="I296" s="101"/>
      <c r="J296" s="101"/>
      <c r="K296" s="101"/>
      <c r="L296" s="101"/>
      <c r="M296" s="53"/>
      <c r="N296" s="53"/>
      <c r="O296" s="53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</row>
    <row r="297" ht="12.75" customHeight="1">
      <c r="A297" s="101"/>
      <c r="B297" s="54"/>
      <c r="C297" s="102"/>
      <c r="D297" s="101"/>
      <c r="E297" s="101"/>
      <c r="F297" s="101"/>
      <c r="G297" s="101"/>
      <c r="H297" s="101"/>
      <c r="I297" s="101"/>
      <c r="J297" s="101"/>
      <c r="K297" s="101"/>
      <c r="L297" s="101"/>
      <c r="M297" s="53"/>
      <c r="N297" s="53"/>
      <c r="O297" s="53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</row>
    <row r="298" ht="12.75" customHeight="1">
      <c r="A298" s="101"/>
      <c r="B298" s="54"/>
      <c r="C298" s="102"/>
      <c r="D298" s="101"/>
      <c r="E298" s="101"/>
      <c r="F298" s="101"/>
      <c r="G298" s="101"/>
      <c r="H298" s="101"/>
      <c r="I298" s="101"/>
      <c r="J298" s="101"/>
      <c r="K298" s="101"/>
      <c r="L298" s="101"/>
      <c r="M298" s="53"/>
      <c r="N298" s="53"/>
      <c r="O298" s="53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</row>
    <row r="299" ht="12.75" customHeight="1">
      <c r="A299" s="101"/>
      <c r="B299" s="54"/>
      <c r="C299" s="102"/>
      <c r="D299" s="101"/>
      <c r="E299" s="101"/>
      <c r="F299" s="101"/>
      <c r="G299" s="101"/>
      <c r="H299" s="101"/>
      <c r="I299" s="101"/>
      <c r="J299" s="101"/>
      <c r="K299" s="101"/>
      <c r="L299" s="101"/>
      <c r="M299" s="53"/>
      <c r="N299" s="53"/>
      <c r="O299" s="53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</row>
    <row r="300" ht="12.75" customHeight="1">
      <c r="A300" s="101"/>
      <c r="B300" s="54"/>
      <c r="C300" s="102"/>
      <c r="D300" s="101"/>
      <c r="E300" s="101"/>
      <c r="F300" s="101"/>
      <c r="G300" s="101"/>
      <c r="H300" s="101"/>
      <c r="I300" s="101"/>
      <c r="J300" s="101"/>
      <c r="K300" s="101"/>
      <c r="L300" s="101"/>
      <c r="M300" s="53"/>
      <c r="N300" s="53"/>
      <c r="O300" s="53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</row>
    <row r="301" ht="12.75" customHeight="1">
      <c r="A301" s="101"/>
      <c r="B301" s="54"/>
      <c r="C301" s="102"/>
      <c r="D301" s="101"/>
      <c r="E301" s="101"/>
      <c r="F301" s="101"/>
      <c r="G301" s="101"/>
      <c r="H301" s="101"/>
      <c r="I301" s="101"/>
      <c r="J301" s="101"/>
      <c r="K301" s="101"/>
      <c r="L301" s="101"/>
      <c r="M301" s="53"/>
      <c r="N301" s="53"/>
      <c r="O301" s="53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</row>
    <row r="302" ht="12.75" customHeight="1">
      <c r="A302" s="101"/>
      <c r="B302" s="54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53"/>
      <c r="N302" s="53"/>
      <c r="O302" s="53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</row>
    <row r="303" ht="12.75" customHeight="1">
      <c r="A303" s="101"/>
      <c r="B303" s="54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53"/>
      <c r="N303" s="53"/>
      <c r="O303" s="53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</row>
    <row r="304" ht="12.75" customHeight="1">
      <c r="A304" s="101"/>
      <c r="B304" s="54"/>
      <c r="C304" s="102"/>
      <c r="D304" s="101"/>
      <c r="E304" s="101"/>
      <c r="F304" s="101"/>
      <c r="G304" s="101"/>
      <c r="H304" s="101"/>
      <c r="I304" s="101"/>
      <c r="J304" s="101"/>
      <c r="K304" s="101"/>
      <c r="L304" s="101"/>
      <c r="M304" s="53"/>
      <c r="N304" s="53"/>
      <c r="O304" s="53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</row>
    <row r="305" ht="12.75" customHeight="1">
      <c r="A305" s="101"/>
      <c r="B305" s="54"/>
      <c r="C305" s="102"/>
      <c r="D305" s="101"/>
      <c r="E305" s="101"/>
      <c r="F305" s="101"/>
      <c r="G305" s="101"/>
      <c r="H305" s="101"/>
      <c r="I305" s="101"/>
      <c r="J305" s="101"/>
      <c r="K305" s="101"/>
      <c r="L305" s="101"/>
      <c r="M305" s="53"/>
      <c r="N305" s="53"/>
      <c r="O305" s="53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</row>
    <row r="306" ht="12.75" customHeight="1">
      <c r="A306" s="101"/>
      <c r="B306" s="54"/>
      <c r="C306" s="102"/>
      <c r="D306" s="101"/>
      <c r="E306" s="101"/>
      <c r="F306" s="101"/>
      <c r="G306" s="101"/>
      <c r="H306" s="101"/>
      <c r="I306" s="101"/>
      <c r="J306" s="101"/>
      <c r="K306" s="101"/>
      <c r="L306" s="101"/>
      <c r="M306" s="53"/>
      <c r="N306" s="53"/>
      <c r="O306" s="53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</row>
    <row r="307" ht="12.75" customHeight="1">
      <c r="A307" s="101"/>
      <c r="B307" s="54"/>
      <c r="C307" s="102"/>
      <c r="D307" s="101"/>
      <c r="E307" s="101"/>
      <c r="F307" s="101"/>
      <c r="G307" s="101"/>
      <c r="H307" s="101"/>
      <c r="I307" s="101"/>
      <c r="J307" s="101"/>
      <c r="K307" s="101"/>
      <c r="L307" s="101"/>
      <c r="M307" s="53"/>
      <c r="N307" s="53"/>
      <c r="O307" s="53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</row>
    <row r="308" ht="12.75" customHeight="1">
      <c r="A308" s="101"/>
      <c r="B308" s="54"/>
      <c r="C308" s="102"/>
      <c r="D308" s="101"/>
      <c r="E308" s="101"/>
      <c r="F308" s="101"/>
      <c r="G308" s="101"/>
      <c r="H308" s="101"/>
      <c r="I308" s="101"/>
      <c r="J308" s="101"/>
      <c r="K308" s="101"/>
      <c r="L308" s="101"/>
      <c r="M308" s="53"/>
      <c r="N308" s="53"/>
      <c r="O308" s="53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</row>
    <row r="309" ht="12.75" customHeight="1">
      <c r="A309" s="101"/>
      <c r="B309" s="54"/>
      <c r="C309" s="102"/>
      <c r="D309" s="101"/>
      <c r="E309" s="101"/>
      <c r="F309" s="101"/>
      <c r="G309" s="101"/>
      <c r="H309" s="101"/>
      <c r="I309" s="101"/>
      <c r="J309" s="101"/>
      <c r="K309" s="101"/>
      <c r="L309" s="101"/>
      <c r="M309" s="53"/>
      <c r="N309" s="53"/>
      <c r="O309" s="53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</row>
    <row r="310" ht="12.75" customHeight="1">
      <c r="A310" s="101"/>
      <c r="B310" s="54"/>
      <c r="C310" s="102"/>
      <c r="D310" s="101"/>
      <c r="E310" s="101"/>
      <c r="F310" s="101"/>
      <c r="G310" s="101"/>
      <c r="H310" s="101"/>
      <c r="I310" s="101"/>
      <c r="J310" s="101"/>
      <c r="K310" s="101"/>
      <c r="L310" s="101"/>
      <c r="M310" s="53"/>
      <c r="N310" s="53"/>
      <c r="O310" s="53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</row>
    <row r="311" ht="12.75" customHeight="1">
      <c r="A311" s="101"/>
      <c r="B311" s="54"/>
      <c r="C311" s="102"/>
      <c r="D311" s="101"/>
      <c r="E311" s="101"/>
      <c r="F311" s="101"/>
      <c r="G311" s="101"/>
      <c r="H311" s="101"/>
      <c r="I311" s="101"/>
      <c r="J311" s="101"/>
      <c r="K311" s="101"/>
      <c r="L311" s="101"/>
      <c r="M311" s="53"/>
      <c r="N311" s="53"/>
      <c r="O311" s="53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</row>
    <row r="312" ht="12.75" customHeight="1">
      <c r="A312" s="101"/>
      <c r="B312" s="54"/>
      <c r="C312" s="102"/>
      <c r="D312" s="101"/>
      <c r="E312" s="101"/>
      <c r="F312" s="101"/>
      <c r="G312" s="101"/>
      <c r="H312" s="101"/>
      <c r="I312" s="101"/>
      <c r="J312" s="101"/>
      <c r="K312" s="101"/>
      <c r="L312" s="101"/>
      <c r="M312" s="53"/>
      <c r="N312" s="53"/>
      <c r="O312" s="53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</row>
    <row r="313" ht="12.75" customHeight="1">
      <c r="A313" s="101"/>
      <c r="B313" s="54"/>
      <c r="C313" s="102"/>
      <c r="D313" s="101"/>
      <c r="E313" s="101"/>
      <c r="F313" s="101"/>
      <c r="G313" s="101"/>
      <c r="H313" s="101"/>
      <c r="I313" s="101"/>
      <c r="J313" s="101"/>
      <c r="K313" s="101"/>
      <c r="L313" s="101"/>
      <c r="M313" s="53"/>
      <c r="N313" s="53"/>
      <c r="O313" s="53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</row>
    <row r="314" ht="12.75" customHeight="1">
      <c r="A314" s="101"/>
      <c r="B314" s="54"/>
      <c r="C314" s="102"/>
      <c r="D314" s="101"/>
      <c r="E314" s="101"/>
      <c r="F314" s="101"/>
      <c r="G314" s="101"/>
      <c r="H314" s="101"/>
      <c r="I314" s="101"/>
      <c r="J314" s="101"/>
      <c r="K314" s="101"/>
      <c r="L314" s="101"/>
      <c r="M314" s="53"/>
      <c r="N314" s="53"/>
      <c r="O314" s="53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</row>
    <row r="315" ht="12.75" customHeight="1">
      <c r="A315" s="101"/>
      <c r="B315" s="54"/>
      <c r="C315" s="102"/>
      <c r="D315" s="101"/>
      <c r="E315" s="101"/>
      <c r="F315" s="101"/>
      <c r="G315" s="101"/>
      <c r="H315" s="101"/>
      <c r="I315" s="101"/>
      <c r="J315" s="101"/>
      <c r="K315" s="101"/>
      <c r="L315" s="101"/>
      <c r="M315" s="53"/>
      <c r="N315" s="53"/>
      <c r="O315" s="53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</row>
    <row r="316" ht="12.75" customHeight="1">
      <c r="A316" s="101"/>
      <c r="B316" s="54"/>
      <c r="C316" s="102"/>
      <c r="D316" s="101"/>
      <c r="E316" s="101"/>
      <c r="F316" s="101"/>
      <c r="G316" s="101"/>
      <c r="H316" s="101"/>
      <c r="I316" s="101"/>
      <c r="J316" s="101"/>
      <c r="K316" s="101"/>
      <c r="L316" s="101"/>
      <c r="M316" s="53"/>
      <c r="N316" s="53"/>
      <c r="O316" s="53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</row>
    <row r="317" ht="12.75" customHeight="1">
      <c r="A317" s="101"/>
      <c r="B317" s="54"/>
      <c r="C317" s="102"/>
      <c r="D317" s="101"/>
      <c r="E317" s="101"/>
      <c r="F317" s="101"/>
      <c r="G317" s="101"/>
      <c r="H317" s="101"/>
      <c r="I317" s="101"/>
      <c r="J317" s="101"/>
      <c r="K317" s="101"/>
      <c r="L317" s="101"/>
      <c r="M317" s="53"/>
      <c r="N317" s="53"/>
      <c r="O317" s="53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</row>
    <row r="318" ht="12.75" customHeight="1">
      <c r="A318" s="101"/>
      <c r="B318" s="54"/>
      <c r="C318" s="102"/>
      <c r="D318" s="101"/>
      <c r="E318" s="101"/>
      <c r="F318" s="101"/>
      <c r="G318" s="101"/>
      <c r="H318" s="101"/>
      <c r="I318" s="101"/>
      <c r="J318" s="101"/>
      <c r="K318" s="101"/>
      <c r="L318" s="101"/>
      <c r="M318" s="53"/>
      <c r="N318" s="53"/>
      <c r="O318" s="53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</row>
    <row r="319" ht="12.75" customHeight="1">
      <c r="A319" s="101"/>
      <c r="B319" s="54"/>
      <c r="C319" s="102"/>
      <c r="D319" s="101"/>
      <c r="E319" s="101"/>
      <c r="F319" s="101"/>
      <c r="G319" s="101"/>
      <c r="H319" s="101"/>
      <c r="I319" s="101"/>
      <c r="J319" s="101"/>
      <c r="K319" s="101"/>
      <c r="L319" s="101"/>
      <c r="M319" s="53"/>
      <c r="N319" s="53"/>
      <c r="O319" s="53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</row>
    <row r="320" ht="12.75" customHeight="1">
      <c r="A320" s="101"/>
      <c r="B320" s="54"/>
      <c r="C320" s="102"/>
      <c r="D320" s="101"/>
      <c r="E320" s="101"/>
      <c r="F320" s="101"/>
      <c r="G320" s="101"/>
      <c r="H320" s="101"/>
      <c r="I320" s="101"/>
      <c r="J320" s="101"/>
      <c r="K320" s="101"/>
      <c r="L320" s="101"/>
      <c r="M320" s="53"/>
      <c r="N320" s="53"/>
      <c r="O320" s="53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</row>
    <row r="321" ht="12.75" customHeight="1">
      <c r="A321" s="101"/>
      <c r="B321" s="54"/>
      <c r="C321" s="102"/>
      <c r="D321" s="101"/>
      <c r="E321" s="101"/>
      <c r="F321" s="101"/>
      <c r="G321" s="101"/>
      <c r="H321" s="101"/>
      <c r="I321" s="101"/>
      <c r="J321" s="101"/>
      <c r="K321" s="101"/>
      <c r="L321" s="101"/>
      <c r="M321" s="53"/>
      <c r="N321" s="53"/>
      <c r="O321" s="53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</row>
    <row r="322" ht="12.75" customHeight="1">
      <c r="A322" s="101"/>
      <c r="B322" s="54"/>
      <c r="C322" s="102"/>
      <c r="D322" s="101"/>
      <c r="E322" s="101"/>
      <c r="F322" s="101"/>
      <c r="G322" s="101"/>
      <c r="H322" s="101"/>
      <c r="I322" s="101"/>
      <c r="J322" s="101"/>
      <c r="K322" s="101"/>
      <c r="L322" s="101"/>
      <c r="M322" s="53"/>
      <c r="N322" s="53"/>
      <c r="O322" s="53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</row>
    <row r="323" ht="12.75" customHeight="1">
      <c r="A323" s="101"/>
      <c r="B323" s="54"/>
      <c r="C323" s="102"/>
      <c r="D323" s="101"/>
      <c r="E323" s="101"/>
      <c r="F323" s="101"/>
      <c r="G323" s="101"/>
      <c r="H323" s="101"/>
      <c r="I323" s="101"/>
      <c r="J323" s="101"/>
      <c r="K323" s="101"/>
      <c r="L323" s="101"/>
      <c r="M323" s="53"/>
      <c r="N323" s="53"/>
      <c r="O323" s="53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</row>
    <row r="324" ht="12.75" customHeight="1">
      <c r="A324" s="101"/>
      <c r="B324" s="54"/>
      <c r="C324" s="102"/>
      <c r="D324" s="101"/>
      <c r="E324" s="101"/>
      <c r="F324" s="101"/>
      <c r="G324" s="101"/>
      <c r="H324" s="101"/>
      <c r="I324" s="101"/>
      <c r="J324" s="101"/>
      <c r="K324" s="101"/>
      <c r="L324" s="101"/>
      <c r="M324" s="53"/>
      <c r="N324" s="53"/>
      <c r="O324" s="53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</row>
    <row r="325" ht="12.75" customHeight="1">
      <c r="A325" s="101"/>
      <c r="B325" s="54"/>
      <c r="C325" s="102"/>
      <c r="D325" s="101"/>
      <c r="E325" s="101"/>
      <c r="F325" s="101"/>
      <c r="G325" s="101"/>
      <c r="H325" s="101"/>
      <c r="I325" s="101"/>
      <c r="J325" s="101"/>
      <c r="K325" s="101"/>
      <c r="L325" s="101"/>
      <c r="M325" s="53"/>
      <c r="N325" s="53"/>
      <c r="O325" s="53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</row>
    <row r="326" ht="12.75" customHeight="1">
      <c r="A326" s="101"/>
      <c r="B326" s="54"/>
      <c r="C326" s="102"/>
      <c r="D326" s="101"/>
      <c r="E326" s="101"/>
      <c r="F326" s="101"/>
      <c r="G326" s="101"/>
      <c r="H326" s="101"/>
      <c r="I326" s="101"/>
      <c r="J326" s="101"/>
      <c r="K326" s="101"/>
      <c r="L326" s="101"/>
      <c r="M326" s="53"/>
      <c r="N326" s="53"/>
      <c r="O326" s="53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</row>
    <row r="327" ht="12.75" customHeight="1">
      <c r="A327" s="101"/>
      <c r="B327" s="54"/>
      <c r="C327" s="102"/>
      <c r="D327" s="101"/>
      <c r="E327" s="101"/>
      <c r="F327" s="101"/>
      <c r="G327" s="101"/>
      <c r="H327" s="101"/>
      <c r="I327" s="101"/>
      <c r="J327" s="101"/>
      <c r="K327" s="101"/>
      <c r="L327" s="101"/>
      <c r="M327" s="53"/>
      <c r="N327" s="53"/>
      <c r="O327" s="53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</row>
    <row r="328" ht="12.75" customHeight="1">
      <c r="A328" s="101"/>
      <c r="B328" s="54"/>
      <c r="C328" s="102"/>
      <c r="D328" s="101"/>
      <c r="E328" s="101"/>
      <c r="F328" s="101"/>
      <c r="G328" s="101"/>
      <c r="H328" s="101"/>
      <c r="I328" s="101"/>
      <c r="J328" s="101"/>
      <c r="K328" s="101"/>
      <c r="L328" s="101"/>
      <c r="M328" s="53"/>
      <c r="N328" s="53"/>
      <c r="O328" s="53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</row>
    <row r="329" ht="12.75" customHeight="1">
      <c r="A329" s="101"/>
      <c r="B329" s="54"/>
      <c r="C329" s="102"/>
      <c r="D329" s="101"/>
      <c r="E329" s="101"/>
      <c r="F329" s="101"/>
      <c r="G329" s="101"/>
      <c r="H329" s="101"/>
      <c r="I329" s="101"/>
      <c r="J329" s="101"/>
      <c r="K329" s="101"/>
      <c r="L329" s="101"/>
      <c r="M329" s="53"/>
      <c r="N329" s="53"/>
      <c r="O329" s="53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</row>
    <row r="330" ht="12.75" customHeight="1">
      <c r="A330" s="101"/>
      <c r="B330" s="54"/>
      <c r="C330" s="102"/>
      <c r="D330" s="101"/>
      <c r="E330" s="101"/>
      <c r="F330" s="101"/>
      <c r="G330" s="101"/>
      <c r="H330" s="101"/>
      <c r="I330" s="101"/>
      <c r="J330" s="101"/>
      <c r="K330" s="101"/>
      <c r="L330" s="101"/>
      <c r="M330" s="53"/>
      <c r="N330" s="53"/>
      <c r="O330" s="53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</row>
    <row r="331" ht="12.75" customHeight="1">
      <c r="A331" s="101"/>
      <c r="B331" s="54"/>
      <c r="C331" s="102"/>
      <c r="D331" s="101"/>
      <c r="E331" s="101"/>
      <c r="F331" s="101"/>
      <c r="G331" s="101"/>
      <c r="H331" s="101"/>
      <c r="I331" s="101"/>
      <c r="J331" s="101"/>
      <c r="K331" s="101"/>
      <c r="L331" s="101"/>
      <c r="M331" s="53"/>
      <c r="N331" s="53"/>
      <c r="O331" s="53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</row>
    <row r="332" ht="12.75" customHeight="1">
      <c r="A332" s="101"/>
      <c r="B332" s="54"/>
      <c r="C332" s="102"/>
      <c r="D332" s="101"/>
      <c r="E332" s="101"/>
      <c r="F332" s="101"/>
      <c r="G332" s="101"/>
      <c r="H332" s="101"/>
      <c r="I332" s="101"/>
      <c r="J332" s="101"/>
      <c r="K332" s="101"/>
      <c r="L332" s="101"/>
      <c r="M332" s="53"/>
      <c r="N332" s="53"/>
      <c r="O332" s="53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</row>
    <row r="333" ht="12.75" customHeight="1">
      <c r="A333" s="101"/>
      <c r="B333" s="54"/>
      <c r="C333" s="102"/>
      <c r="D333" s="101"/>
      <c r="E333" s="101"/>
      <c r="F333" s="101"/>
      <c r="G333" s="101"/>
      <c r="H333" s="101"/>
      <c r="I333" s="101"/>
      <c r="J333" s="101"/>
      <c r="K333" s="101"/>
      <c r="L333" s="101"/>
      <c r="M333" s="53"/>
      <c r="N333" s="53"/>
      <c r="O333" s="53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</row>
    <row r="334" ht="12.75" customHeight="1">
      <c r="A334" s="101"/>
      <c r="B334" s="54"/>
      <c r="C334" s="102"/>
      <c r="D334" s="101"/>
      <c r="E334" s="101"/>
      <c r="F334" s="101"/>
      <c r="G334" s="101"/>
      <c r="H334" s="101"/>
      <c r="I334" s="101"/>
      <c r="J334" s="101"/>
      <c r="K334" s="101"/>
      <c r="L334" s="101"/>
      <c r="M334" s="53"/>
      <c r="N334" s="53"/>
      <c r="O334" s="53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</row>
    <row r="335" ht="12.75" customHeight="1">
      <c r="A335" s="101"/>
      <c r="B335" s="54"/>
      <c r="C335" s="102"/>
      <c r="D335" s="101"/>
      <c r="E335" s="101"/>
      <c r="F335" s="101"/>
      <c r="G335" s="101"/>
      <c r="H335" s="101"/>
      <c r="I335" s="101"/>
      <c r="J335" s="101"/>
      <c r="K335" s="101"/>
      <c r="L335" s="101"/>
      <c r="M335" s="53"/>
      <c r="N335" s="53"/>
      <c r="O335" s="53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</row>
    <row r="336" ht="12.75" customHeight="1">
      <c r="A336" s="101"/>
      <c r="B336" s="54"/>
      <c r="C336" s="102"/>
      <c r="D336" s="101"/>
      <c r="E336" s="101"/>
      <c r="F336" s="101"/>
      <c r="G336" s="101"/>
      <c r="H336" s="101"/>
      <c r="I336" s="101"/>
      <c r="J336" s="101"/>
      <c r="K336" s="101"/>
      <c r="L336" s="101"/>
      <c r="M336" s="53"/>
      <c r="N336" s="53"/>
      <c r="O336" s="53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</row>
    <row r="337" ht="12.75" customHeight="1">
      <c r="A337" s="101"/>
      <c r="B337" s="54"/>
      <c r="C337" s="102"/>
      <c r="D337" s="101"/>
      <c r="E337" s="101"/>
      <c r="F337" s="101"/>
      <c r="G337" s="101"/>
      <c r="H337" s="101"/>
      <c r="I337" s="101"/>
      <c r="J337" s="101"/>
      <c r="K337" s="101"/>
      <c r="L337" s="101"/>
      <c r="M337" s="53"/>
      <c r="N337" s="53"/>
      <c r="O337" s="53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</row>
    <row r="338" ht="12.75" customHeight="1">
      <c r="A338" s="101"/>
      <c r="B338" s="54"/>
      <c r="C338" s="102"/>
      <c r="D338" s="101"/>
      <c r="E338" s="101"/>
      <c r="F338" s="101"/>
      <c r="G338" s="101"/>
      <c r="H338" s="101"/>
      <c r="I338" s="101"/>
      <c r="J338" s="101"/>
      <c r="K338" s="101"/>
      <c r="L338" s="101"/>
      <c r="M338" s="53"/>
      <c r="N338" s="53"/>
      <c r="O338" s="53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</row>
    <row r="339" ht="12.75" customHeight="1">
      <c r="A339" s="101"/>
      <c r="B339" s="54"/>
      <c r="C339" s="102"/>
      <c r="D339" s="101"/>
      <c r="E339" s="101"/>
      <c r="F339" s="101"/>
      <c r="G339" s="101"/>
      <c r="H339" s="101"/>
      <c r="I339" s="101"/>
      <c r="J339" s="101"/>
      <c r="K339" s="101"/>
      <c r="L339" s="101"/>
      <c r="M339" s="53"/>
      <c r="N339" s="53"/>
      <c r="O339" s="53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</row>
    <row r="340" ht="12.75" customHeight="1">
      <c r="A340" s="101"/>
      <c r="B340" s="54"/>
      <c r="C340" s="102"/>
      <c r="D340" s="101"/>
      <c r="E340" s="101"/>
      <c r="F340" s="101"/>
      <c r="G340" s="101"/>
      <c r="H340" s="101"/>
      <c r="I340" s="101"/>
      <c r="J340" s="101"/>
      <c r="K340" s="101"/>
      <c r="L340" s="101"/>
      <c r="M340" s="53"/>
      <c r="N340" s="53"/>
      <c r="O340" s="53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</row>
    <row r="341" ht="12.75" customHeight="1">
      <c r="A341" s="101"/>
      <c r="B341" s="54"/>
      <c r="C341" s="102"/>
      <c r="D341" s="101"/>
      <c r="E341" s="101"/>
      <c r="F341" s="101"/>
      <c r="G341" s="101"/>
      <c r="H341" s="101"/>
      <c r="I341" s="101"/>
      <c r="J341" s="101"/>
      <c r="K341" s="101"/>
      <c r="L341" s="101"/>
      <c r="M341" s="53"/>
      <c r="N341" s="53"/>
      <c r="O341" s="53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</row>
    <row r="342" ht="12.75" customHeight="1">
      <c r="A342" s="101"/>
      <c r="B342" s="54"/>
      <c r="C342" s="102"/>
      <c r="D342" s="101"/>
      <c r="E342" s="101"/>
      <c r="F342" s="101"/>
      <c r="G342" s="101"/>
      <c r="H342" s="101"/>
      <c r="I342" s="101"/>
      <c r="J342" s="101"/>
      <c r="K342" s="101"/>
      <c r="L342" s="101"/>
      <c r="M342" s="53"/>
      <c r="N342" s="53"/>
      <c r="O342" s="53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</row>
    <row r="343" ht="12.75" customHeight="1">
      <c r="A343" s="101"/>
      <c r="B343" s="54"/>
      <c r="C343" s="102"/>
      <c r="D343" s="101"/>
      <c r="E343" s="101"/>
      <c r="F343" s="101"/>
      <c r="G343" s="101"/>
      <c r="H343" s="101"/>
      <c r="I343" s="101"/>
      <c r="J343" s="101"/>
      <c r="K343" s="101"/>
      <c r="L343" s="101"/>
      <c r="M343" s="53"/>
      <c r="N343" s="53"/>
      <c r="O343" s="53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</row>
    <row r="344" ht="12.75" customHeight="1">
      <c r="A344" s="101"/>
      <c r="B344" s="54"/>
      <c r="C344" s="102"/>
      <c r="D344" s="101"/>
      <c r="E344" s="101"/>
      <c r="F344" s="101"/>
      <c r="G344" s="101"/>
      <c r="H344" s="101"/>
      <c r="I344" s="101"/>
      <c r="J344" s="101"/>
      <c r="K344" s="101"/>
      <c r="L344" s="101"/>
      <c r="M344" s="53"/>
      <c r="N344" s="53"/>
      <c r="O344" s="53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</row>
    <row r="345" ht="12.75" customHeight="1">
      <c r="A345" s="101"/>
      <c r="B345" s="54"/>
      <c r="C345" s="102"/>
      <c r="D345" s="101"/>
      <c r="E345" s="101"/>
      <c r="F345" s="101"/>
      <c r="G345" s="101"/>
      <c r="H345" s="101"/>
      <c r="I345" s="101"/>
      <c r="J345" s="101"/>
      <c r="K345" s="101"/>
      <c r="L345" s="101"/>
      <c r="M345" s="53"/>
      <c r="N345" s="53"/>
      <c r="O345" s="53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</row>
    <row r="346" ht="12.75" customHeight="1">
      <c r="A346" s="101"/>
      <c r="B346" s="54"/>
      <c r="C346" s="102"/>
      <c r="D346" s="101"/>
      <c r="E346" s="101"/>
      <c r="F346" s="101"/>
      <c r="G346" s="101"/>
      <c r="H346" s="101"/>
      <c r="I346" s="101"/>
      <c r="J346" s="101"/>
      <c r="K346" s="101"/>
      <c r="L346" s="101"/>
      <c r="M346" s="53"/>
      <c r="N346" s="53"/>
      <c r="O346" s="53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</row>
    <row r="347" ht="12.75" customHeight="1">
      <c r="A347" s="101"/>
      <c r="B347" s="54"/>
      <c r="C347" s="102"/>
      <c r="D347" s="101"/>
      <c r="E347" s="101"/>
      <c r="F347" s="101"/>
      <c r="G347" s="101"/>
      <c r="H347" s="101"/>
      <c r="I347" s="101"/>
      <c r="J347" s="101"/>
      <c r="K347" s="101"/>
      <c r="L347" s="101"/>
      <c r="M347" s="53"/>
      <c r="N347" s="53"/>
      <c r="O347" s="53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</row>
    <row r="348" ht="12.75" customHeight="1">
      <c r="A348" s="101"/>
      <c r="B348" s="54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53"/>
      <c r="N348" s="53"/>
      <c r="O348" s="53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</row>
    <row r="349" ht="12.75" customHeight="1">
      <c r="A349" s="101"/>
      <c r="B349" s="54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53"/>
      <c r="N349" s="53"/>
      <c r="O349" s="53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</row>
    <row r="350" ht="12.75" customHeight="1">
      <c r="A350" s="101"/>
      <c r="B350" s="54"/>
      <c r="C350" s="102"/>
      <c r="D350" s="101"/>
      <c r="E350" s="101"/>
      <c r="F350" s="101"/>
      <c r="G350" s="101"/>
      <c r="H350" s="101"/>
      <c r="I350" s="101"/>
      <c r="J350" s="101"/>
      <c r="K350" s="101"/>
      <c r="L350" s="101"/>
      <c r="M350" s="53"/>
      <c r="N350" s="53"/>
      <c r="O350" s="53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</row>
    <row r="351" ht="12.75" customHeight="1">
      <c r="A351" s="101"/>
      <c r="B351" s="54"/>
      <c r="C351" s="102"/>
      <c r="D351" s="101"/>
      <c r="E351" s="101"/>
      <c r="F351" s="101"/>
      <c r="G351" s="101"/>
      <c r="H351" s="101"/>
      <c r="I351" s="101"/>
      <c r="J351" s="101"/>
      <c r="K351" s="101"/>
      <c r="L351" s="101"/>
      <c r="M351" s="53"/>
      <c r="N351" s="53"/>
      <c r="O351" s="53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</row>
    <row r="352" ht="12.75" customHeight="1">
      <c r="A352" s="101"/>
      <c r="B352" s="54"/>
      <c r="C352" s="102"/>
      <c r="D352" s="101"/>
      <c r="E352" s="101"/>
      <c r="F352" s="101"/>
      <c r="G352" s="101"/>
      <c r="H352" s="101"/>
      <c r="I352" s="101"/>
      <c r="J352" s="101"/>
      <c r="K352" s="101"/>
      <c r="L352" s="101"/>
      <c r="M352" s="53"/>
      <c r="N352" s="53"/>
      <c r="O352" s="53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</row>
    <row r="353" ht="12.75" customHeight="1">
      <c r="A353" s="101"/>
      <c r="B353" s="54"/>
      <c r="C353" s="102"/>
      <c r="D353" s="101"/>
      <c r="E353" s="101"/>
      <c r="F353" s="101"/>
      <c r="G353" s="101"/>
      <c r="H353" s="101"/>
      <c r="I353" s="101"/>
      <c r="J353" s="101"/>
      <c r="K353" s="101"/>
      <c r="L353" s="101"/>
      <c r="M353" s="53"/>
      <c r="N353" s="53"/>
      <c r="O353" s="53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</row>
    <row r="354" ht="12.75" customHeight="1">
      <c r="A354" s="101"/>
      <c r="B354" s="54"/>
      <c r="C354" s="102"/>
      <c r="D354" s="101"/>
      <c r="E354" s="101"/>
      <c r="F354" s="101"/>
      <c r="G354" s="101"/>
      <c r="H354" s="101"/>
      <c r="I354" s="101"/>
      <c r="J354" s="101"/>
      <c r="K354" s="101"/>
      <c r="L354" s="101"/>
      <c r="M354" s="53"/>
      <c r="N354" s="53"/>
      <c r="O354" s="53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</row>
    <row r="355" ht="12.75" customHeight="1">
      <c r="A355" s="101"/>
      <c r="B355" s="54"/>
      <c r="C355" s="102"/>
      <c r="D355" s="101"/>
      <c r="E355" s="101"/>
      <c r="F355" s="101"/>
      <c r="G355" s="101"/>
      <c r="H355" s="101"/>
      <c r="I355" s="101"/>
      <c r="J355" s="101"/>
      <c r="K355" s="101"/>
      <c r="L355" s="101"/>
      <c r="M355" s="53"/>
      <c r="N355" s="53"/>
      <c r="O355" s="53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</row>
    <row r="356" ht="12.75" customHeight="1">
      <c r="A356" s="101"/>
      <c r="B356" s="54"/>
      <c r="C356" s="102"/>
      <c r="D356" s="101"/>
      <c r="E356" s="101"/>
      <c r="F356" s="101"/>
      <c r="G356" s="101"/>
      <c r="H356" s="101"/>
      <c r="I356" s="101"/>
      <c r="J356" s="101"/>
      <c r="K356" s="101"/>
      <c r="L356" s="101"/>
      <c r="M356" s="53"/>
      <c r="N356" s="53"/>
      <c r="O356" s="53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</row>
    <row r="357" ht="12.75" customHeight="1">
      <c r="A357" s="101"/>
      <c r="B357" s="54"/>
      <c r="C357" s="102"/>
      <c r="D357" s="101"/>
      <c r="E357" s="101"/>
      <c r="F357" s="101"/>
      <c r="G357" s="101"/>
      <c r="H357" s="101"/>
      <c r="I357" s="101"/>
      <c r="J357" s="101"/>
      <c r="K357" s="101"/>
      <c r="L357" s="101"/>
      <c r="M357" s="53"/>
      <c r="N357" s="53"/>
      <c r="O357" s="53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</row>
    <row r="358" ht="12.75" customHeight="1">
      <c r="A358" s="101"/>
      <c r="B358" s="54"/>
      <c r="C358" s="102"/>
      <c r="D358" s="101"/>
      <c r="E358" s="101"/>
      <c r="F358" s="101"/>
      <c r="G358" s="101"/>
      <c r="H358" s="101"/>
      <c r="I358" s="101"/>
      <c r="J358" s="101"/>
      <c r="K358" s="101"/>
      <c r="L358" s="101"/>
      <c r="M358" s="53"/>
      <c r="N358" s="53"/>
      <c r="O358" s="53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</row>
    <row r="359" ht="12.75" customHeight="1">
      <c r="A359" s="101"/>
      <c r="B359" s="54"/>
      <c r="C359" s="102"/>
      <c r="D359" s="101"/>
      <c r="E359" s="101"/>
      <c r="F359" s="101"/>
      <c r="G359" s="101"/>
      <c r="H359" s="101"/>
      <c r="I359" s="101"/>
      <c r="J359" s="101"/>
      <c r="K359" s="101"/>
      <c r="L359" s="101"/>
      <c r="M359" s="53"/>
      <c r="N359" s="53"/>
      <c r="O359" s="53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</row>
    <row r="360" ht="12.75" customHeight="1">
      <c r="A360" s="101"/>
      <c r="B360" s="54"/>
      <c r="C360" s="102"/>
      <c r="D360" s="101"/>
      <c r="E360" s="101"/>
      <c r="F360" s="101"/>
      <c r="G360" s="101"/>
      <c r="H360" s="101"/>
      <c r="I360" s="101"/>
      <c r="J360" s="101"/>
      <c r="K360" s="101"/>
      <c r="L360" s="101"/>
      <c r="M360" s="53"/>
      <c r="N360" s="53"/>
      <c r="O360" s="53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</row>
    <row r="361" ht="12.75" customHeight="1">
      <c r="A361" s="101"/>
      <c r="B361" s="54"/>
      <c r="C361" s="102"/>
      <c r="D361" s="101"/>
      <c r="E361" s="101"/>
      <c r="F361" s="101"/>
      <c r="G361" s="101"/>
      <c r="H361" s="101"/>
      <c r="I361" s="101"/>
      <c r="J361" s="101"/>
      <c r="K361" s="101"/>
      <c r="L361" s="101"/>
      <c r="M361" s="53"/>
      <c r="N361" s="53"/>
      <c r="O361" s="53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</row>
    <row r="362" ht="12.75" customHeight="1">
      <c r="A362" s="101"/>
      <c r="B362" s="54"/>
      <c r="C362" s="102"/>
      <c r="D362" s="101"/>
      <c r="E362" s="101"/>
      <c r="F362" s="101"/>
      <c r="G362" s="101"/>
      <c r="H362" s="101"/>
      <c r="I362" s="101"/>
      <c r="J362" s="101"/>
      <c r="K362" s="101"/>
      <c r="L362" s="101"/>
      <c r="M362" s="53"/>
      <c r="N362" s="53"/>
      <c r="O362" s="53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</row>
    <row r="363" ht="12.75" customHeight="1">
      <c r="A363" s="101"/>
      <c r="B363" s="54"/>
      <c r="C363" s="102"/>
      <c r="D363" s="101"/>
      <c r="E363" s="101"/>
      <c r="F363" s="101"/>
      <c r="G363" s="101"/>
      <c r="H363" s="101"/>
      <c r="I363" s="101"/>
      <c r="J363" s="101"/>
      <c r="K363" s="101"/>
      <c r="L363" s="101"/>
      <c r="M363" s="53"/>
      <c r="N363" s="53"/>
      <c r="O363" s="53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</row>
    <row r="364" ht="12.75" customHeight="1">
      <c r="A364" s="101"/>
      <c r="B364" s="54"/>
      <c r="C364" s="102"/>
      <c r="D364" s="101"/>
      <c r="E364" s="101"/>
      <c r="F364" s="101"/>
      <c r="G364" s="101"/>
      <c r="H364" s="101"/>
      <c r="I364" s="101"/>
      <c r="J364" s="101"/>
      <c r="K364" s="101"/>
      <c r="L364" s="101"/>
      <c r="M364" s="53"/>
      <c r="N364" s="53"/>
      <c r="O364" s="53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</row>
    <row r="365" ht="12.75" customHeight="1">
      <c r="A365" s="101"/>
      <c r="B365" s="54"/>
      <c r="C365" s="102"/>
      <c r="D365" s="101"/>
      <c r="E365" s="101"/>
      <c r="F365" s="101"/>
      <c r="G365" s="101"/>
      <c r="H365" s="101"/>
      <c r="I365" s="101"/>
      <c r="J365" s="101"/>
      <c r="K365" s="101"/>
      <c r="L365" s="101"/>
      <c r="M365" s="53"/>
      <c r="N365" s="53"/>
      <c r="O365" s="53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</row>
    <row r="366" ht="12.75" customHeight="1">
      <c r="A366" s="101"/>
      <c r="B366" s="54"/>
      <c r="C366" s="102"/>
      <c r="D366" s="101"/>
      <c r="E366" s="101"/>
      <c r="F366" s="101"/>
      <c r="G366" s="101"/>
      <c r="H366" s="101"/>
      <c r="I366" s="101"/>
      <c r="J366" s="101"/>
      <c r="K366" s="101"/>
      <c r="L366" s="101"/>
      <c r="M366" s="53"/>
      <c r="N366" s="53"/>
      <c r="O366" s="53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</row>
    <row r="367" ht="12.75" customHeight="1">
      <c r="A367" s="101"/>
      <c r="B367" s="54"/>
      <c r="C367" s="102"/>
      <c r="D367" s="101"/>
      <c r="E367" s="101"/>
      <c r="F367" s="101"/>
      <c r="G367" s="101"/>
      <c r="H367" s="101"/>
      <c r="I367" s="101"/>
      <c r="J367" s="101"/>
      <c r="K367" s="101"/>
      <c r="L367" s="101"/>
      <c r="M367" s="53"/>
      <c r="N367" s="53"/>
      <c r="O367" s="53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</row>
    <row r="368" ht="12.75" customHeight="1">
      <c r="A368" s="101"/>
      <c r="B368" s="54"/>
      <c r="C368" s="102"/>
      <c r="D368" s="101"/>
      <c r="E368" s="101"/>
      <c r="F368" s="101"/>
      <c r="G368" s="101"/>
      <c r="H368" s="101"/>
      <c r="I368" s="101"/>
      <c r="J368" s="101"/>
      <c r="K368" s="101"/>
      <c r="L368" s="101"/>
      <c r="M368" s="53"/>
      <c r="N368" s="53"/>
      <c r="O368" s="53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</row>
    <row r="369" ht="12.75" customHeight="1">
      <c r="A369" s="101"/>
      <c r="B369" s="54"/>
      <c r="C369" s="102"/>
      <c r="D369" s="101"/>
      <c r="E369" s="101"/>
      <c r="F369" s="101"/>
      <c r="G369" s="101"/>
      <c r="H369" s="101"/>
      <c r="I369" s="101"/>
      <c r="J369" s="101"/>
      <c r="K369" s="101"/>
      <c r="L369" s="101"/>
      <c r="M369" s="53"/>
      <c r="N369" s="53"/>
      <c r="O369" s="53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</row>
    <row r="370" ht="12.75" customHeight="1">
      <c r="A370" s="101"/>
      <c r="B370" s="54"/>
      <c r="C370" s="102"/>
      <c r="D370" s="101"/>
      <c r="E370" s="101"/>
      <c r="F370" s="101"/>
      <c r="G370" s="101"/>
      <c r="H370" s="101"/>
      <c r="I370" s="101"/>
      <c r="J370" s="101"/>
      <c r="K370" s="101"/>
      <c r="L370" s="101"/>
      <c r="M370" s="53"/>
      <c r="N370" s="53"/>
      <c r="O370" s="53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</row>
    <row r="371" ht="12.75" customHeight="1">
      <c r="A371" s="101"/>
      <c r="B371" s="54"/>
      <c r="C371" s="102"/>
      <c r="D371" s="101"/>
      <c r="E371" s="101"/>
      <c r="F371" s="101"/>
      <c r="G371" s="101"/>
      <c r="H371" s="101"/>
      <c r="I371" s="101"/>
      <c r="J371" s="101"/>
      <c r="K371" s="101"/>
      <c r="L371" s="101"/>
      <c r="M371" s="53"/>
      <c r="N371" s="53"/>
      <c r="O371" s="53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</row>
    <row r="372" ht="12.75" customHeight="1">
      <c r="A372" s="101"/>
      <c r="B372" s="54"/>
      <c r="C372" s="102"/>
      <c r="D372" s="101"/>
      <c r="E372" s="101"/>
      <c r="F372" s="101"/>
      <c r="G372" s="101"/>
      <c r="H372" s="101"/>
      <c r="I372" s="101"/>
      <c r="J372" s="101"/>
      <c r="K372" s="101"/>
      <c r="L372" s="101"/>
      <c r="M372" s="53"/>
      <c r="N372" s="53"/>
      <c r="O372" s="53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</row>
    <row r="373" ht="12.75" customHeight="1">
      <c r="A373" s="101"/>
      <c r="B373" s="54"/>
      <c r="C373" s="102"/>
      <c r="D373" s="101"/>
      <c r="E373" s="101"/>
      <c r="F373" s="101"/>
      <c r="G373" s="101"/>
      <c r="H373" s="101"/>
      <c r="I373" s="101"/>
      <c r="J373" s="101"/>
      <c r="K373" s="101"/>
      <c r="L373" s="101"/>
      <c r="M373" s="53"/>
      <c r="N373" s="53"/>
      <c r="O373" s="53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</row>
    <row r="374" ht="12.75" customHeight="1">
      <c r="A374" s="101"/>
      <c r="B374" s="54"/>
      <c r="C374" s="102"/>
      <c r="D374" s="101"/>
      <c r="E374" s="101"/>
      <c r="F374" s="101"/>
      <c r="G374" s="101"/>
      <c r="H374" s="101"/>
      <c r="I374" s="101"/>
      <c r="J374" s="101"/>
      <c r="K374" s="101"/>
      <c r="L374" s="101"/>
      <c r="M374" s="53"/>
      <c r="N374" s="53"/>
      <c r="O374" s="53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</row>
    <row r="375" ht="12.75" customHeight="1">
      <c r="A375" s="101"/>
      <c r="B375" s="54"/>
      <c r="C375" s="102"/>
      <c r="D375" s="101"/>
      <c r="E375" s="101"/>
      <c r="F375" s="101"/>
      <c r="G375" s="101"/>
      <c r="H375" s="101"/>
      <c r="I375" s="101"/>
      <c r="J375" s="101"/>
      <c r="K375" s="101"/>
      <c r="L375" s="101"/>
      <c r="M375" s="53"/>
      <c r="N375" s="53"/>
      <c r="O375" s="53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</row>
    <row r="376" ht="12.75" customHeight="1">
      <c r="A376" s="101"/>
      <c r="B376" s="54"/>
      <c r="C376" s="102"/>
      <c r="D376" s="101"/>
      <c r="E376" s="101"/>
      <c r="F376" s="101"/>
      <c r="G376" s="101"/>
      <c r="H376" s="101"/>
      <c r="I376" s="101"/>
      <c r="J376" s="101"/>
      <c r="K376" s="101"/>
      <c r="L376" s="101"/>
      <c r="M376" s="53"/>
      <c r="N376" s="53"/>
      <c r="O376" s="53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</row>
    <row r="377" ht="12.75" customHeight="1">
      <c r="A377" s="101"/>
      <c r="B377" s="54"/>
      <c r="C377" s="102"/>
      <c r="D377" s="101"/>
      <c r="E377" s="101"/>
      <c r="F377" s="101"/>
      <c r="G377" s="101"/>
      <c r="H377" s="101"/>
      <c r="I377" s="101"/>
      <c r="J377" s="101"/>
      <c r="K377" s="101"/>
      <c r="L377" s="101"/>
      <c r="M377" s="53"/>
      <c r="N377" s="53"/>
      <c r="O377" s="53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</row>
    <row r="378" ht="12.75" customHeight="1">
      <c r="A378" s="101"/>
      <c r="B378" s="54"/>
      <c r="C378" s="102"/>
      <c r="D378" s="101"/>
      <c r="E378" s="101"/>
      <c r="F378" s="101"/>
      <c r="G378" s="101"/>
      <c r="H378" s="101"/>
      <c r="I378" s="101"/>
      <c r="J378" s="101"/>
      <c r="K378" s="101"/>
      <c r="L378" s="101"/>
      <c r="M378" s="53"/>
      <c r="N378" s="53"/>
      <c r="O378" s="53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</row>
    <row r="379" ht="12.75" customHeight="1">
      <c r="A379" s="101"/>
      <c r="B379" s="54"/>
      <c r="C379" s="102"/>
      <c r="D379" s="101"/>
      <c r="E379" s="101"/>
      <c r="F379" s="101"/>
      <c r="G379" s="101"/>
      <c r="H379" s="101"/>
      <c r="I379" s="101"/>
      <c r="J379" s="101"/>
      <c r="K379" s="101"/>
      <c r="L379" s="101"/>
      <c r="M379" s="53"/>
      <c r="N379" s="53"/>
      <c r="O379" s="53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</row>
    <row r="380" ht="12.75" customHeight="1">
      <c r="A380" s="101"/>
      <c r="B380" s="54"/>
      <c r="C380" s="102"/>
      <c r="D380" s="101"/>
      <c r="E380" s="101"/>
      <c r="F380" s="101"/>
      <c r="G380" s="101"/>
      <c r="H380" s="101"/>
      <c r="I380" s="101"/>
      <c r="J380" s="101"/>
      <c r="K380" s="101"/>
      <c r="L380" s="101"/>
      <c r="M380" s="53"/>
      <c r="N380" s="53"/>
      <c r="O380" s="53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</row>
    <row r="381" ht="12.75" customHeight="1">
      <c r="A381" s="101"/>
      <c r="B381" s="54"/>
      <c r="C381" s="102"/>
      <c r="D381" s="101"/>
      <c r="E381" s="101"/>
      <c r="F381" s="101"/>
      <c r="G381" s="101"/>
      <c r="H381" s="101"/>
      <c r="I381" s="101"/>
      <c r="J381" s="101"/>
      <c r="K381" s="101"/>
      <c r="L381" s="101"/>
      <c r="M381" s="53"/>
      <c r="N381" s="53"/>
      <c r="O381" s="53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</row>
    <row r="382" ht="12.75" customHeight="1">
      <c r="A382" s="101"/>
      <c r="B382" s="54"/>
      <c r="C382" s="102"/>
      <c r="D382" s="101"/>
      <c r="E382" s="101"/>
      <c r="F382" s="101"/>
      <c r="G382" s="101"/>
      <c r="H382" s="101"/>
      <c r="I382" s="101"/>
      <c r="J382" s="101"/>
      <c r="K382" s="101"/>
      <c r="L382" s="101"/>
      <c r="M382" s="53"/>
      <c r="N382" s="53"/>
      <c r="O382" s="53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</row>
    <row r="383" ht="12.75" customHeight="1">
      <c r="A383" s="101"/>
      <c r="B383" s="54"/>
      <c r="C383" s="102"/>
      <c r="D383" s="101"/>
      <c r="E383" s="101"/>
      <c r="F383" s="101"/>
      <c r="G383" s="101"/>
      <c r="H383" s="101"/>
      <c r="I383" s="101"/>
      <c r="J383" s="101"/>
      <c r="K383" s="101"/>
      <c r="L383" s="101"/>
      <c r="M383" s="53"/>
      <c r="N383" s="53"/>
      <c r="O383" s="53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</row>
    <row r="384" ht="12.75" customHeight="1">
      <c r="A384" s="101"/>
      <c r="B384" s="54"/>
      <c r="C384" s="102"/>
      <c r="D384" s="101"/>
      <c r="E384" s="101"/>
      <c r="F384" s="101"/>
      <c r="G384" s="101"/>
      <c r="H384" s="101"/>
      <c r="I384" s="101"/>
      <c r="J384" s="101"/>
      <c r="K384" s="101"/>
      <c r="L384" s="101"/>
      <c r="M384" s="53"/>
      <c r="N384" s="53"/>
      <c r="O384" s="53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</row>
    <row r="385" ht="12.75" customHeight="1">
      <c r="A385" s="101"/>
      <c r="B385" s="54"/>
      <c r="C385" s="102"/>
      <c r="D385" s="101"/>
      <c r="E385" s="101"/>
      <c r="F385" s="101"/>
      <c r="G385" s="101"/>
      <c r="H385" s="101"/>
      <c r="I385" s="101"/>
      <c r="J385" s="101"/>
      <c r="K385" s="101"/>
      <c r="L385" s="101"/>
      <c r="M385" s="53"/>
      <c r="N385" s="53"/>
      <c r="O385" s="53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</row>
    <row r="386" ht="12.75" customHeight="1">
      <c r="A386" s="101"/>
      <c r="B386" s="54"/>
      <c r="C386" s="102"/>
      <c r="D386" s="101"/>
      <c r="E386" s="101"/>
      <c r="F386" s="101"/>
      <c r="G386" s="101"/>
      <c r="H386" s="101"/>
      <c r="I386" s="101"/>
      <c r="J386" s="101"/>
      <c r="K386" s="101"/>
      <c r="L386" s="101"/>
      <c r="M386" s="53"/>
      <c r="N386" s="53"/>
      <c r="O386" s="53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</row>
    <row r="387" ht="12.75" customHeight="1">
      <c r="A387" s="101"/>
      <c r="B387" s="54"/>
      <c r="C387" s="102"/>
      <c r="D387" s="101"/>
      <c r="E387" s="101"/>
      <c r="F387" s="101"/>
      <c r="G387" s="101"/>
      <c r="H387" s="101"/>
      <c r="I387" s="101"/>
      <c r="J387" s="101"/>
      <c r="K387" s="101"/>
      <c r="L387" s="101"/>
      <c r="M387" s="53"/>
      <c r="N387" s="53"/>
      <c r="O387" s="53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</row>
    <row r="388" ht="12.75" customHeight="1">
      <c r="A388" s="101"/>
      <c r="B388" s="54"/>
      <c r="C388" s="102"/>
      <c r="D388" s="101"/>
      <c r="E388" s="101"/>
      <c r="F388" s="101"/>
      <c r="G388" s="101"/>
      <c r="H388" s="101"/>
      <c r="I388" s="101"/>
      <c r="J388" s="101"/>
      <c r="K388" s="101"/>
      <c r="L388" s="101"/>
      <c r="M388" s="53"/>
      <c r="N388" s="53"/>
      <c r="O388" s="53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</row>
    <row r="389" ht="12.75" customHeight="1">
      <c r="A389" s="101"/>
      <c r="B389" s="54"/>
      <c r="C389" s="102"/>
      <c r="D389" s="101"/>
      <c r="E389" s="101"/>
      <c r="F389" s="101"/>
      <c r="G389" s="101"/>
      <c r="H389" s="101"/>
      <c r="I389" s="101"/>
      <c r="J389" s="101"/>
      <c r="K389" s="101"/>
      <c r="L389" s="101"/>
      <c r="M389" s="53"/>
      <c r="N389" s="53"/>
      <c r="O389" s="53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</row>
    <row r="390" ht="12.75" customHeight="1">
      <c r="A390" s="101"/>
      <c r="B390" s="54"/>
      <c r="C390" s="102"/>
      <c r="D390" s="101"/>
      <c r="E390" s="101"/>
      <c r="F390" s="101"/>
      <c r="G390" s="101"/>
      <c r="H390" s="101"/>
      <c r="I390" s="101"/>
      <c r="J390" s="101"/>
      <c r="K390" s="101"/>
      <c r="L390" s="101"/>
      <c r="M390" s="53"/>
      <c r="N390" s="53"/>
      <c r="O390" s="53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</row>
    <row r="391" ht="12.75" customHeight="1">
      <c r="A391" s="101"/>
      <c r="B391" s="54"/>
      <c r="C391" s="102"/>
      <c r="D391" s="101"/>
      <c r="E391" s="101"/>
      <c r="F391" s="101"/>
      <c r="G391" s="101"/>
      <c r="H391" s="101"/>
      <c r="I391" s="101"/>
      <c r="J391" s="101"/>
      <c r="K391" s="101"/>
      <c r="L391" s="101"/>
      <c r="M391" s="53"/>
      <c r="N391" s="53"/>
      <c r="O391" s="53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</row>
    <row r="392" ht="12.75" customHeight="1">
      <c r="A392" s="101"/>
      <c r="B392" s="54"/>
      <c r="C392" s="102"/>
      <c r="D392" s="101"/>
      <c r="E392" s="101"/>
      <c r="F392" s="101"/>
      <c r="G392" s="101"/>
      <c r="H392" s="101"/>
      <c r="I392" s="101"/>
      <c r="J392" s="101"/>
      <c r="K392" s="101"/>
      <c r="L392" s="101"/>
      <c r="M392" s="53"/>
      <c r="N392" s="53"/>
      <c r="O392" s="53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</row>
    <row r="393" ht="12.75" customHeight="1">
      <c r="A393" s="101"/>
      <c r="B393" s="54"/>
      <c r="C393" s="102"/>
      <c r="D393" s="101"/>
      <c r="E393" s="101"/>
      <c r="F393" s="101"/>
      <c r="G393" s="101"/>
      <c r="H393" s="101"/>
      <c r="I393" s="101"/>
      <c r="J393" s="101"/>
      <c r="K393" s="101"/>
      <c r="L393" s="101"/>
      <c r="M393" s="53"/>
      <c r="N393" s="53"/>
      <c r="O393" s="53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</row>
    <row r="394" ht="12.75" customHeight="1">
      <c r="A394" s="101"/>
      <c r="B394" s="54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53"/>
      <c r="N394" s="53"/>
      <c r="O394" s="53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</row>
    <row r="395" ht="12.75" customHeight="1">
      <c r="A395" s="101"/>
      <c r="B395" s="54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53"/>
      <c r="N395" s="53"/>
      <c r="O395" s="53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</row>
    <row r="396" ht="12.75" customHeight="1">
      <c r="A396" s="101"/>
      <c r="B396" s="54"/>
      <c r="C396" s="102"/>
      <c r="D396" s="101"/>
      <c r="E396" s="101"/>
      <c r="F396" s="101"/>
      <c r="G396" s="101"/>
      <c r="H396" s="101"/>
      <c r="I396" s="101"/>
      <c r="J396" s="101"/>
      <c r="K396" s="101"/>
      <c r="L396" s="101"/>
      <c r="M396" s="53"/>
      <c r="N396" s="53"/>
      <c r="O396" s="53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</row>
    <row r="397" ht="12.75" customHeight="1">
      <c r="A397" s="101"/>
      <c r="B397" s="54"/>
      <c r="C397" s="102"/>
      <c r="D397" s="101"/>
      <c r="E397" s="101"/>
      <c r="F397" s="101"/>
      <c r="G397" s="101"/>
      <c r="H397" s="101"/>
      <c r="I397" s="101"/>
      <c r="J397" s="101"/>
      <c r="K397" s="101"/>
      <c r="L397" s="101"/>
      <c r="M397" s="53"/>
      <c r="N397" s="53"/>
      <c r="O397" s="53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</row>
    <row r="398" ht="12.75" customHeight="1">
      <c r="A398" s="101"/>
      <c r="B398" s="54"/>
      <c r="C398" s="102"/>
      <c r="D398" s="101"/>
      <c r="E398" s="101"/>
      <c r="F398" s="101"/>
      <c r="G398" s="101"/>
      <c r="H398" s="101"/>
      <c r="I398" s="101"/>
      <c r="J398" s="101"/>
      <c r="K398" s="101"/>
      <c r="L398" s="101"/>
      <c r="M398" s="53"/>
      <c r="N398" s="53"/>
      <c r="O398" s="53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</row>
    <row r="399" ht="12.75" customHeight="1">
      <c r="A399" s="101"/>
      <c r="B399" s="54"/>
      <c r="C399" s="102"/>
      <c r="D399" s="101"/>
      <c r="E399" s="101"/>
      <c r="F399" s="101"/>
      <c r="G399" s="101"/>
      <c r="H399" s="101"/>
      <c r="I399" s="101"/>
      <c r="J399" s="101"/>
      <c r="K399" s="101"/>
      <c r="L399" s="101"/>
      <c r="M399" s="53"/>
      <c r="N399" s="53"/>
      <c r="O399" s="53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</row>
    <row r="400" ht="12.75" customHeight="1">
      <c r="A400" s="101"/>
      <c r="B400" s="54"/>
      <c r="C400" s="102"/>
      <c r="D400" s="101"/>
      <c r="E400" s="101"/>
      <c r="F400" s="101"/>
      <c r="G400" s="101"/>
      <c r="H400" s="101"/>
      <c r="I400" s="101"/>
      <c r="J400" s="101"/>
      <c r="K400" s="101"/>
      <c r="L400" s="101"/>
      <c r="M400" s="53"/>
      <c r="N400" s="53"/>
      <c r="O400" s="53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</row>
    <row r="401" ht="12.75" customHeight="1">
      <c r="A401" s="101"/>
      <c r="B401" s="54"/>
      <c r="C401" s="102"/>
      <c r="D401" s="101"/>
      <c r="E401" s="101"/>
      <c r="F401" s="101"/>
      <c r="G401" s="101"/>
      <c r="H401" s="101"/>
      <c r="I401" s="101"/>
      <c r="J401" s="101"/>
      <c r="K401" s="101"/>
      <c r="L401" s="101"/>
      <c r="M401" s="53"/>
      <c r="N401" s="53"/>
      <c r="O401" s="53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</row>
    <row r="402" ht="12.75" customHeight="1">
      <c r="A402" s="101"/>
      <c r="B402" s="54"/>
      <c r="C402" s="102"/>
      <c r="D402" s="101"/>
      <c r="E402" s="101"/>
      <c r="F402" s="101"/>
      <c r="G402" s="101"/>
      <c r="H402" s="101"/>
      <c r="I402" s="101"/>
      <c r="J402" s="101"/>
      <c r="K402" s="101"/>
      <c r="L402" s="101"/>
      <c r="M402" s="53"/>
      <c r="N402" s="53"/>
      <c r="O402" s="53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</row>
    <row r="403" ht="12.75" customHeight="1">
      <c r="A403" s="101"/>
      <c r="B403" s="54"/>
      <c r="C403" s="102"/>
      <c r="D403" s="101"/>
      <c r="E403" s="101"/>
      <c r="F403" s="101"/>
      <c r="G403" s="101"/>
      <c r="H403" s="101"/>
      <c r="I403" s="101"/>
      <c r="J403" s="101"/>
      <c r="K403" s="101"/>
      <c r="L403" s="101"/>
      <c r="M403" s="53"/>
      <c r="N403" s="53"/>
      <c r="O403" s="53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</row>
    <row r="404" ht="12.75" customHeight="1">
      <c r="A404" s="101"/>
      <c r="B404" s="54"/>
      <c r="C404" s="102"/>
      <c r="D404" s="101"/>
      <c r="E404" s="101"/>
      <c r="F404" s="101"/>
      <c r="G404" s="101"/>
      <c r="H404" s="101"/>
      <c r="I404" s="101"/>
      <c r="J404" s="101"/>
      <c r="K404" s="101"/>
      <c r="L404" s="101"/>
      <c r="M404" s="53"/>
      <c r="N404" s="53"/>
      <c r="O404" s="53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</row>
    <row r="405" ht="12.75" customHeight="1">
      <c r="A405" s="101"/>
      <c r="B405" s="54"/>
      <c r="C405" s="102"/>
      <c r="D405" s="101"/>
      <c r="E405" s="101"/>
      <c r="F405" s="101"/>
      <c r="G405" s="101"/>
      <c r="H405" s="101"/>
      <c r="I405" s="101"/>
      <c r="J405" s="101"/>
      <c r="K405" s="101"/>
      <c r="L405" s="101"/>
      <c r="M405" s="53"/>
      <c r="N405" s="53"/>
      <c r="O405" s="53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</row>
    <row r="406" ht="12.75" customHeight="1">
      <c r="A406" s="101"/>
      <c r="B406" s="54"/>
      <c r="C406" s="102"/>
      <c r="D406" s="101"/>
      <c r="E406" s="101"/>
      <c r="F406" s="101"/>
      <c r="G406" s="101"/>
      <c r="H406" s="101"/>
      <c r="I406" s="101"/>
      <c r="J406" s="101"/>
      <c r="K406" s="101"/>
      <c r="L406" s="101"/>
      <c r="M406" s="53"/>
      <c r="N406" s="53"/>
      <c r="O406" s="53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</row>
    <row r="407" ht="12.75" customHeight="1">
      <c r="A407" s="101"/>
      <c r="B407" s="54"/>
      <c r="C407" s="102"/>
      <c r="D407" s="101"/>
      <c r="E407" s="101"/>
      <c r="F407" s="101"/>
      <c r="G407" s="101"/>
      <c r="H407" s="101"/>
      <c r="I407" s="101"/>
      <c r="J407" s="101"/>
      <c r="K407" s="101"/>
      <c r="L407" s="101"/>
      <c r="M407" s="53"/>
      <c r="N407" s="53"/>
      <c r="O407" s="53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</row>
    <row r="408" ht="12.75" customHeight="1">
      <c r="A408" s="101"/>
      <c r="B408" s="54"/>
      <c r="C408" s="102"/>
      <c r="D408" s="101"/>
      <c r="E408" s="101"/>
      <c r="F408" s="101"/>
      <c r="G408" s="101"/>
      <c r="H408" s="101"/>
      <c r="I408" s="101"/>
      <c r="J408" s="101"/>
      <c r="K408" s="101"/>
      <c r="L408" s="101"/>
      <c r="M408" s="53"/>
      <c r="N408" s="53"/>
      <c r="O408" s="53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</row>
    <row r="409" ht="12.75" customHeight="1">
      <c r="A409" s="101"/>
      <c r="B409" s="54"/>
      <c r="C409" s="102"/>
      <c r="D409" s="101"/>
      <c r="E409" s="101"/>
      <c r="F409" s="101"/>
      <c r="G409" s="101"/>
      <c r="H409" s="101"/>
      <c r="I409" s="101"/>
      <c r="J409" s="101"/>
      <c r="K409" s="101"/>
      <c r="L409" s="101"/>
      <c r="M409" s="53"/>
      <c r="N409" s="53"/>
      <c r="O409" s="53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</row>
    <row r="410" ht="12.75" customHeight="1">
      <c r="A410" s="101"/>
      <c r="B410" s="54"/>
      <c r="C410" s="102"/>
      <c r="D410" s="101"/>
      <c r="E410" s="101"/>
      <c r="F410" s="101"/>
      <c r="G410" s="101"/>
      <c r="H410" s="101"/>
      <c r="I410" s="101"/>
      <c r="J410" s="101"/>
      <c r="K410" s="101"/>
      <c r="L410" s="101"/>
      <c r="M410" s="53"/>
      <c r="N410" s="53"/>
      <c r="O410" s="53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</row>
    <row r="411" ht="12.75" customHeight="1">
      <c r="A411" s="101"/>
      <c r="B411" s="54"/>
      <c r="C411" s="102"/>
      <c r="D411" s="101"/>
      <c r="E411" s="101"/>
      <c r="F411" s="101"/>
      <c r="G411" s="101"/>
      <c r="H411" s="101"/>
      <c r="I411" s="101"/>
      <c r="J411" s="101"/>
      <c r="K411" s="101"/>
      <c r="L411" s="101"/>
      <c r="M411" s="53"/>
      <c r="N411" s="53"/>
      <c r="O411" s="53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</row>
    <row r="412" ht="12.75" customHeight="1">
      <c r="A412" s="101"/>
      <c r="B412" s="54"/>
      <c r="C412" s="102"/>
      <c r="D412" s="101"/>
      <c r="E412" s="101"/>
      <c r="F412" s="101"/>
      <c r="G412" s="101"/>
      <c r="H412" s="101"/>
      <c r="I412" s="101"/>
      <c r="J412" s="101"/>
      <c r="K412" s="101"/>
      <c r="L412" s="101"/>
      <c r="M412" s="53"/>
      <c r="N412" s="53"/>
      <c r="O412" s="53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</row>
    <row r="413" ht="12.75" customHeight="1">
      <c r="A413" s="101"/>
      <c r="B413" s="54"/>
      <c r="C413" s="102"/>
      <c r="D413" s="101"/>
      <c r="E413" s="101"/>
      <c r="F413" s="101"/>
      <c r="G413" s="101"/>
      <c r="H413" s="101"/>
      <c r="I413" s="101"/>
      <c r="J413" s="101"/>
      <c r="K413" s="101"/>
      <c r="L413" s="101"/>
      <c r="M413" s="53"/>
      <c r="N413" s="53"/>
      <c r="O413" s="53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</row>
    <row r="414" ht="12.75" customHeight="1">
      <c r="A414" s="101"/>
      <c r="B414" s="54"/>
      <c r="C414" s="102"/>
      <c r="D414" s="101"/>
      <c r="E414" s="101"/>
      <c r="F414" s="101"/>
      <c r="G414" s="101"/>
      <c r="H414" s="101"/>
      <c r="I414" s="101"/>
      <c r="J414" s="101"/>
      <c r="K414" s="101"/>
      <c r="L414" s="101"/>
      <c r="M414" s="53"/>
      <c r="N414" s="53"/>
      <c r="O414" s="53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</row>
    <row r="415" ht="12.75" customHeight="1">
      <c r="A415" s="101"/>
      <c r="B415" s="54"/>
      <c r="C415" s="102"/>
      <c r="D415" s="101"/>
      <c r="E415" s="101"/>
      <c r="F415" s="101"/>
      <c r="G415" s="101"/>
      <c r="H415" s="101"/>
      <c r="I415" s="101"/>
      <c r="J415" s="101"/>
      <c r="K415" s="101"/>
      <c r="L415" s="101"/>
      <c r="M415" s="53"/>
      <c r="N415" s="53"/>
      <c r="O415" s="53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</row>
    <row r="416" ht="12.75" customHeight="1">
      <c r="A416" s="101"/>
      <c r="B416" s="54"/>
      <c r="C416" s="102"/>
      <c r="D416" s="101"/>
      <c r="E416" s="101"/>
      <c r="F416" s="101"/>
      <c r="G416" s="101"/>
      <c r="H416" s="101"/>
      <c r="I416" s="101"/>
      <c r="J416" s="101"/>
      <c r="K416" s="101"/>
      <c r="L416" s="101"/>
      <c r="M416" s="53"/>
      <c r="N416" s="53"/>
      <c r="O416" s="53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</row>
    <row r="417" ht="12.75" customHeight="1">
      <c r="A417" s="101"/>
      <c r="B417" s="54"/>
      <c r="C417" s="102"/>
      <c r="D417" s="101"/>
      <c r="E417" s="101"/>
      <c r="F417" s="101"/>
      <c r="G417" s="101"/>
      <c r="H417" s="101"/>
      <c r="I417" s="101"/>
      <c r="J417" s="101"/>
      <c r="K417" s="101"/>
      <c r="L417" s="101"/>
      <c r="M417" s="53"/>
      <c r="N417" s="53"/>
      <c r="O417" s="53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</row>
    <row r="418" ht="12.75" customHeight="1">
      <c r="A418" s="101"/>
      <c r="B418" s="54"/>
      <c r="C418" s="102"/>
      <c r="D418" s="101"/>
      <c r="E418" s="101"/>
      <c r="F418" s="101"/>
      <c r="G418" s="101"/>
      <c r="H418" s="101"/>
      <c r="I418" s="101"/>
      <c r="J418" s="101"/>
      <c r="K418" s="101"/>
      <c r="L418" s="101"/>
      <c r="M418" s="53"/>
      <c r="N418" s="53"/>
      <c r="O418" s="53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</row>
    <row r="419" ht="12.75" customHeight="1">
      <c r="A419" s="101"/>
      <c r="B419" s="54"/>
      <c r="C419" s="102"/>
      <c r="D419" s="101"/>
      <c r="E419" s="101"/>
      <c r="F419" s="101"/>
      <c r="G419" s="101"/>
      <c r="H419" s="101"/>
      <c r="I419" s="101"/>
      <c r="J419" s="101"/>
      <c r="K419" s="101"/>
      <c r="L419" s="101"/>
      <c r="M419" s="53"/>
      <c r="N419" s="53"/>
      <c r="O419" s="53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</row>
    <row r="420" ht="12.75" customHeight="1">
      <c r="A420" s="101"/>
      <c r="B420" s="54"/>
      <c r="C420" s="102"/>
      <c r="D420" s="101"/>
      <c r="E420" s="101"/>
      <c r="F420" s="101"/>
      <c r="G420" s="101"/>
      <c r="H420" s="101"/>
      <c r="I420" s="101"/>
      <c r="J420" s="101"/>
      <c r="K420" s="101"/>
      <c r="L420" s="101"/>
      <c r="M420" s="53"/>
      <c r="N420" s="53"/>
      <c r="O420" s="53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</row>
    <row r="421" ht="12.75" customHeight="1">
      <c r="A421" s="101"/>
      <c r="B421" s="54"/>
      <c r="C421" s="102"/>
      <c r="D421" s="101"/>
      <c r="E421" s="101"/>
      <c r="F421" s="101"/>
      <c r="G421" s="101"/>
      <c r="H421" s="101"/>
      <c r="I421" s="101"/>
      <c r="J421" s="101"/>
      <c r="K421" s="101"/>
      <c r="L421" s="101"/>
      <c r="M421" s="53"/>
      <c r="N421" s="53"/>
      <c r="O421" s="53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</row>
    <row r="422" ht="12.75" customHeight="1">
      <c r="A422" s="101"/>
      <c r="B422" s="54"/>
      <c r="C422" s="102"/>
      <c r="D422" s="101"/>
      <c r="E422" s="101"/>
      <c r="F422" s="101"/>
      <c r="G422" s="101"/>
      <c r="H422" s="101"/>
      <c r="I422" s="101"/>
      <c r="J422" s="101"/>
      <c r="K422" s="101"/>
      <c r="L422" s="101"/>
      <c r="M422" s="53"/>
      <c r="N422" s="53"/>
      <c r="O422" s="53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</row>
    <row r="423" ht="12.75" customHeight="1">
      <c r="A423" s="101"/>
      <c r="B423" s="54"/>
      <c r="C423" s="102"/>
      <c r="D423" s="101"/>
      <c r="E423" s="101"/>
      <c r="F423" s="101"/>
      <c r="G423" s="101"/>
      <c r="H423" s="101"/>
      <c r="I423" s="101"/>
      <c r="J423" s="101"/>
      <c r="K423" s="101"/>
      <c r="L423" s="101"/>
      <c r="M423" s="53"/>
      <c r="N423" s="53"/>
      <c r="O423" s="53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</row>
    <row r="424" ht="12.75" customHeight="1">
      <c r="A424" s="101"/>
      <c r="B424" s="54"/>
      <c r="C424" s="102"/>
      <c r="D424" s="101"/>
      <c r="E424" s="101"/>
      <c r="F424" s="101"/>
      <c r="G424" s="101"/>
      <c r="H424" s="101"/>
      <c r="I424" s="101"/>
      <c r="J424" s="101"/>
      <c r="K424" s="101"/>
      <c r="L424" s="101"/>
      <c r="M424" s="53"/>
      <c r="N424" s="53"/>
      <c r="O424" s="53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</row>
    <row r="425" ht="12.75" customHeight="1">
      <c r="A425" s="101"/>
      <c r="B425" s="54"/>
      <c r="C425" s="102"/>
      <c r="D425" s="101"/>
      <c r="E425" s="101"/>
      <c r="F425" s="101"/>
      <c r="G425" s="101"/>
      <c r="H425" s="101"/>
      <c r="I425" s="101"/>
      <c r="J425" s="101"/>
      <c r="K425" s="101"/>
      <c r="L425" s="101"/>
      <c r="M425" s="53"/>
      <c r="N425" s="53"/>
      <c r="O425" s="53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</row>
    <row r="426" ht="12.75" customHeight="1">
      <c r="A426" s="101"/>
      <c r="B426" s="54"/>
      <c r="C426" s="102"/>
      <c r="D426" s="101"/>
      <c r="E426" s="101"/>
      <c r="F426" s="101"/>
      <c r="G426" s="101"/>
      <c r="H426" s="101"/>
      <c r="I426" s="101"/>
      <c r="J426" s="101"/>
      <c r="K426" s="101"/>
      <c r="L426" s="101"/>
      <c r="M426" s="53"/>
      <c r="N426" s="53"/>
      <c r="O426" s="53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</row>
    <row r="427" ht="12.75" customHeight="1">
      <c r="A427" s="101"/>
      <c r="B427" s="54"/>
      <c r="C427" s="102"/>
      <c r="D427" s="101"/>
      <c r="E427" s="101"/>
      <c r="F427" s="101"/>
      <c r="G427" s="101"/>
      <c r="H427" s="101"/>
      <c r="I427" s="101"/>
      <c r="J427" s="101"/>
      <c r="K427" s="101"/>
      <c r="L427" s="101"/>
      <c r="M427" s="53"/>
      <c r="N427" s="53"/>
      <c r="O427" s="53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</row>
    <row r="428" ht="12.75" customHeight="1">
      <c r="A428" s="101"/>
      <c r="B428" s="54"/>
      <c r="C428" s="102"/>
      <c r="D428" s="101"/>
      <c r="E428" s="101"/>
      <c r="F428" s="101"/>
      <c r="G428" s="101"/>
      <c r="H428" s="101"/>
      <c r="I428" s="101"/>
      <c r="J428" s="101"/>
      <c r="K428" s="101"/>
      <c r="L428" s="101"/>
      <c r="M428" s="53"/>
      <c r="N428" s="53"/>
      <c r="O428" s="53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</row>
    <row r="429" ht="12.75" customHeight="1">
      <c r="A429" s="101"/>
      <c r="B429" s="54"/>
      <c r="C429" s="102"/>
      <c r="D429" s="101"/>
      <c r="E429" s="101"/>
      <c r="F429" s="101"/>
      <c r="G429" s="101"/>
      <c r="H429" s="101"/>
      <c r="I429" s="101"/>
      <c r="J429" s="101"/>
      <c r="K429" s="101"/>
      <c r="L429" s="101"/>
      <c r="M429" s="53"/>
      <c r="N429" s="53"/>
      <c r="O429" s="53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</row>
    <row r="430" ht="12.75" customHeight="1">
      <c r="A430" s="101"/>
      <c r="B430" s="54"/>
      <c r="C430" s="102"/>
      <c r="D430" s="101"/>
      <c r="E430" s="101"/>
      <c r="F430" s="101"/>
      <c r="G430" s="101"/>
      <c r="H430" s="101"/>
      <c r="I430" s="101"/>
      <c r="J430" s="101"/>
      <c r="K430" s="101"/>
      <c r="L430" s="101"/>
      <c r="M430" s="53"/>
      <c r="N430" s="53"/>
      <c r="O430" s="53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</row>
    <row r="431" ht="12.75" customHeight="1">
      <c r="A431" s="101"/>
      <c r="B431" s="54"/>
      <c r="C431" s="102"/>
      <c r="D431" s="101"/>
      <c r="E431" s="101"/>
      <c r="F431" s="101"/>
      <c r="G431" s="101"/>
      <c r="H431" s="101"/>
      <c r="I431" s="101"/>
      <c r="J431" s="101"/>
      <c r="K431" s="101"/>
      <c r="L431" s="101"/>
      <c r="M431" s="53"/>
      <c r="N431" s="53"/>
      <c r="O431" s="53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</row>
    <row r="432" ht="12.75" customHeight="1">
      <c r="A432" s="101"/>
      <c r="B432" s="54"/>
      <c r="C432" s="102"/>
      <c r="D432" s="101"/>
      <c r="E432" s="101"/>
      <c r="F432" s="101"/>
      <c r="G432" s="101"/>
      <c r="H432" s="101"/>
      <c r="I432" s="101"/>
      <c r="J432" s="101"/>
      <c r="K432" s="101"/>
      <c r="L432" s="101"/>
      <c r="M432" s="53"/>
      <c r="N432" s="53"/>
      <c r="O432" s="53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</row>
    <row r="433" ht="12.75" customHeight="1">
      <c r="A433" s="101"/>
      <c r="B433" s="54"/>
      <c r="C433" s="102"/>
      <c r="D433" s="101"/>
      <c r="E433" s="101"/>
      <c r="F433" s="101"/>
      <c r="G433" s="101"/>
      <c r="H433" s="101"/>
      <c r="I433" s="101"/>
      <c r="J433" s="101"/>
      <c r="K433" s="101"/>
      <c r="L433" s="101"/>
      <c r="M433" s="53"/>
      <c r="N433" s="53"/>
      <c r="O433" s="53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</row>
    <row r="434" ht="12.75" customHeight="1">
      <c r="A434" s="101"/>
      <c r="B434" s="54"/>
      <c r="C434" s="102"/>
      <c r="D434" s="101"/>
      <c r="E434" s="101"/>
      <c r="F434" s="101"/>
      <c r="G434" s="101"/>
      <c r="H434" s="101"/>
      <c r="I434" s="101"/>
      <c r="J434" s="101"/>
      <c r="K434" s="101"/>
      <c r="L434" s="101"/>
      <c r="M434" s="53"/>
      <c r="N434" s="53"/>
      <c r="O434" s="53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</row>
    <row r="435" ht="12.75" customHeight="1">
      <c r="A435" s="101"/>
      <c r="B435" s="54"/>
      <c r="C435" s="102"/>
      <c r="D435" s="101"/>
      <c r="E435" s="101"/>
      <c r="F435" s="101"/>
      <c r="G435" s="101"/>
      <c r="H435" s="101"/>
      <c r="I435" s="101"/>
      <c r="J435" s="101"/>
      <c r="K435" s="101"/>
      <c r="L435" s="101"/>
      <c r="M435" s="53"/>
      <c r="N435" s="53"/>
      <c r="O435" s="53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</row>
    <row r="436" ht="12.75" customHeight="1">
      <c r="A436" s="101"/>
      <c r="B436" s="54"/>
      <c r="C436" s="102"/>
      <c r="D436" s="101"/>
      <c r="E436" s="101"/>
      <c r="F436" s="101"/>
      <c r="G436" s="101"/>
      <c r="H436" s="101"/>
      <c r="I436" s="101"/>
      <c r="J436" s="101"/>
      <c r="K436" s="101"/>
      <c r="L436" s="101"/>
      <c r="M436" s="53"/>
      <c r="N436" s="53"/>
      <c r="O436" s="53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</row>
    <row r="437" ht="12.75" customHeight="1">
      <c r="A437" s="101"/>
      <c r="B437" s="54"/>
      <c r="C437" s="102"/>
      <c r="D437" s="101"/>
      <c r="E437" s="101"/>
      <c r="F437" s="101"/>
      <c r="G437" s="101"/>
      <c r="H437" s="101"/>
      <c r="I437" s="101"/>
      <c r="J437" s="101"/>
      <c r="K437" s="101"/>
      <c r="L437" s="101"/>
      <c r="M437" s="53"/>
      <c r="N437" s="53"/>
      <c r="O437" s="53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</row>
    <row r="438" ht="12.75" customHeight="1">
      <c r="A438" s="101"/>
      <c r="B438" s="54"/>
      <c r="C438" s="102"/>
      <c r="D438" s="101"/>
      <c r="E438" s="101"/>
      <c r="F438" s="101"/>
      <c r="G438" s="101"/>
      <c r="H438" s="101"/>
      <c r="I438" s="101"/>
      <c r="J438" s="101"/>
      <c r="K438" s="101"/>
      <c r="L438" s="101"/>
      <c r="M438" s="53"/>
      <c r="N438" s="53"/>
      <c r="O438" s="53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</row>
    <row r="439" ht="12.75" customHeight="1">
      <c r="A439" s="101"/>
      <c r="B439" s="54"/>
      <c r="C439" s="102"/>
      <c r="D439" s="101"/>
      <c r="E439" s="101"/>
      <c r="F439" s="101"/>
      <c r="G439" s="101"/>
      <c r="H439" s="101"/>
      <c r="I439" s="101"/>
      <c r="J439" s="101"/>
      <c r="K439" s="101"/>
      <c r="L439" s="101"/>
      <c r="M439" s="53"/>
      <c r="N439" s="53"/>
      <c r="O439" s="53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</row>
    <row r="440" ht="12.75" customHeight="1">
      <c r="A440" s="101"/>
      <c r="B440" s="54"/>
      <c r="C440" s="102"/>
      <c r="D440" s="101"/>
      <c r="E440" s="101"/>
      <c r="F440" s="101"/>
      <c r="G440" s="101"/>
      <c r="H440" s="101"/>
      <c r="I440" s="101"/>
      <c r="J440" s="101"/>
      <c r="K440" s="101"/>
      <c r="L440" s="101"/>
      <c r="M440" s="53"/>
      <c r="N440" s="53"/>
      <c r="O440" s="53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</row>
    <row r="441" ht="12.75" customHeight="1">
      <c r="A441" s="101"/>
      <c r="B441" s="54"/>
      <c r="C441" s="102"/>
      <c r="D441" s="101"/>
      <c r="E441" s="101"/>
      <c r="F441" s="101"/>
      <c r="G441" s="101"/>
      <c r="H441" s="101"/>
      <c r="I441" s="101"/>
      <c r="J441" s="101"/>
      <c r="K441" s="101"/>
      <c r="L441" s="101"/>
      <c r="M441" s="53"/>
      <c r="N441" s="53"/>
      <c r="O441" s="53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</row>
    <row r="442" ht="12.75" customHeight="1">
      <c r="A442" s="101"/>
      <c r="B442" s="54"/>
      <c r="C442" s="102"/>
      <c r="D442" s="101"/>
      <c r="E442" s="101"/>
      <c r="F442" s="101"/>
      <c r="G442" s="101"/>
      <c r="H442" s="101"/>
      <c r="I442" s="101"/>
      <c r="J442" s="101"/>
      <c r="K442" s="101"/>
      <c r="L442" s="101"/>
      <c r="M442" s="53"/>
      <c r="N442" s="53"/>
      <c r="O442" s="53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</row>
    <row r="443" ht="12.75" customHeight="1">
      <c r="A443" s="101"/>
      <c r="B443" s="54"/>
      <c r="C443" s="102"/>
      <c r="D443" s="101"/>
      <c r="E443" s="101"/>
      <c r="F443" s="101"/>
      <c r="G443" s="101"/>
      <c r="H443" s="101"/>
      <c r="I443" s="101"/>
      <c r="J443" s="101"/>
      <c r="K443" s="101"/>
      <c r="L443" s="101"/>
      <c r="M443" s="53"/>
      <c r="N443" s="53"/>
      <c r="O443" s="53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</row>
    <row r="444" ht="12.75" customHeight="1">
      <c r="A444" s="101"/>
      <c r="B444" s="54"/>
      <c r="C444" s="102"/>
      <c r="D444" s="101"/>
      <c r="E444" s="101"/>
      <c r="F444" s="101"/>
      <c r="G444" s="101"/>
      <c r="H444" s="101"/>
      <c r="I444" s="101"/>
      <c r="J444" s="101"/>
      <c r="K444" s="101"/>
      <c r="L444" s="101"/>
      <c r="M444" s="53"/>
      <c r="N444" s="53"/>
      <c r="O444" s="53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</row>
    <row r="445" ht="12.75" customHeight="1">
      <c r="A445" s="101"/>
      <c r="B445" s="54"/>
      <c r="C445" s="102"/>
      <c r="D445" s="101"/>
      <c r="E445" s="101"/>
      <c r="F445" s="101"/>
      <c r="G445" s="101"/>
      <c r="H445" s="101"/>
      <c r="I445" s="101"/>
      <c r="J445" s="101"/>
      <c r="K445" s="101"/>
      <c r="L445" s="101"/>
      <c r="M445" s="53"/>
      <c r="N445" s="53"/>
      <c r="O445" s="53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</row>
    <row r="446" ht="12.75" customHeight="1">
      <c r="A446" s="101"/>
      <c r="B446" s="54"/>
      <c r="C446" s="102"/>
      <c r="D446" s="101"/>
      <c r="E446" s="101"/>
      <c r="F446" s="101"/>
      <c r="G446" s="101"/>
      <c r="H446" s="101"/>
      <c r="I446" s="101"/>
      <c r="J446" s="101"/>
      <c r="K446" s="101"/>
      <c r="L446" s="101"/>
      <c r="M446" s="53"/>
      <c r="N446" s="53"/>
      <c r="O446" s="53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</row>
    <row r="447" ht="12.75" customHeight="1">
      <c r="A447" s="101"/>
      <c r="B447" s="54"/>
      <c r="C447" s="102"/>
      <c r="D447" s="101"/>
      <c r="E447" s="101"/>
      <c r="F447" s="101"/>
      <c r="G447" s="101"/>
      <c r="H447" s="101"/>
      <c r="I447" s="101"/>
      <c r="J447" s="101"/>
      <c r="K447" s="101"/>
      <c r="L447" s="101"/>
      <c r="M447" s="53"/>
      <c r="N447" s="53"/>
      <c r="O447" s="53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</row>
    <row r="448" ht="12.75" customHeight="1">
      <c r="A448" s="101"/>
      <c r="B448" s="54"/>
      <c r="C448" s="102"/>
      <c r="D448" s="101"/>
      <c r="E448" s="101"/>
      <c r="F448" s="101"/>
      <c r="G448" s="101"/>
      <c r="H448" s="101"/>
      <c r="I448" s="101"/>
      <c r="J448" s="101"/>
      <c r="K448" s="101"/>
      <c r="L448" s="101"/>
      <c r="M448" s="53"/>
      <c r="N448" s="53"/>
      <c r="O448" s="53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</row>
    <row r="449" ht="12.75" customHeight="1">
      <c r="A449" s="101"/>
      <c r="B449" s="54"/>
      <c r="C449" s="102"/>
      <c r="D449" s="101"/>
      <c r="E449" s="101"/>
      <c r="F449" s="101"/>
      <c r="G449" s="101"/>
      <c r="H449" s="101"/>
      <c r="I449" s="101"/>
      <c r="J449" s="101"/>
      <c r="K449" s="101"/>
      <c r="L449" s="101"/>
      <c r="M449" s="53"/>
      <c r="N449" s="53"/>
      <c r="O449" s="53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</row>
    <row r="450" ht="12.75" customHeight="1">
      <c r="A450" s="101"/>
      <c r="B450" s="54"/>
      <c r="C450" s="102"/>
      <c r="D450" s="101"/>
      <c r="E450" s="101"/>
      <c r="F450" s="101"/>
      <c r="G450" s="101"/>
      <c r="H450" s="101"/>
      <c r="I450" s="101"/>
      <c r="J450" s="101"/>
      <c r="K450" s="101"/>
      <c r="L450" s="101"/>
      <c r="M450" s="53"/>
      <c r="N450" s="53"/>
      <c r="O450" s="53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</row>
    <row r="451" ht="12.75" customHeight="1">
      <c r="A451" s="101"/>
      <c r="B451" s="54"/>
      <c r="C451" s="102"/>
      <c r="D451" s="101"/>
      <c r="E451" s="101"/>
      <c r="F451" s="101"/>
      <c r="G451" s="101"/>
      <c r="H451" s="101"/>
      <c r="I451" s="101"/>
      <c r="J451" s="101"/>
      <c r="K451" s="101"/>
      <c r="L451" s="101"/>
      <c r="M451" s="53"/>
      <c r="N451" s="53"/>
      <c r="O451" s="53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</row>
    <row r="452" ht="12.75" customHeight="1">
      <c r="A452" s="101"/>
      <c r="B452" s="54"/>
      <c r="C452" s="102"/>
      <c r="D452" s="101"/>
      <c r="E452" s="101"/>
      <c r="F452" s="101"/>
      <c r="G452" s="101"/>
      <c r="H452" s="101"/>
      <c r="I452" s="101"/>
      <c r="J452" s="101"/>
      <c r="K452" s="101"/>
      <c r="L452" s="101"/>
      <c r="M452" s="53"/>
      <c r="N452" s="53"/>
      <c r="O452" s="53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</row>
    <row r="453" ht="12.75" customHeight="1">
      <c r="A453" s="101"/>
      <c r="B453" s="54"/>
      <c r="C453" s="102"/>
      <c r="D453" s="101"/>
      <c r="E453" s="101"/>
      <c r="F453" s="101"/>
      <c r="G453" s="101"/>
      <c r="H453" s="101"/>
      <c r="I453" s="101"/>
      <c r="J453" s="101"/>
      <c r="K453" s="101"/>
      <c r="L453" s="101"/>
      <c r="M453" s="53"/>
      <c r="N453" s="53"/>
      <c r="O453" s="53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</row>
    <row r="454" ht="12.75" customHeight="1">
      <c r="A454" s="101"/>
      <c r="B454" s="54"/>
      <c r="C454" s="102"/>
      <c r="D454" s="101"/>
      <c r="E454" s="101"/>
      <c r="F454" s="101"/>
      <c r="G454" s="101"/>
      <c r="H454" s="101"/>
      <c r="I454" s="101"/>
      <c r="J454" s="101"/>
      <c r="K454" s="101"/>
      <c r="L454" s="101"/>
      <c r="M454" s="53"/>
      <c r="N454" s="53"/>
      <c r="O454" s="53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</row>
    <row r="455" ht="12.75" customHeight="1">
      <c r="A455" s="101"/>
      <c r="B455" s="54"/>
      <c r="C455" s="102"/>
      <c r="D455" s="101"/>
      <c r="E455" s="101"/>
      <c r="F455" s="101"/>
      <c r="G455" s="101"/>
      <c r="H455" s="101"/>
      <c r="I455" s="101"/>
      <c r="J455" s="101"/>
      <c r="K455" s="101"/>
      <c r="L455" s="101"/>
      <c r="M455" s="53"/>
      <c r="N455" s="53"/>
      <c r="O455" s="53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</row>
    <row r="456" ht="12.75" customHeight="1">
      <c r="A456" s="101"/>
      <c r="B456" s="54"/>
      <c r="C456" s="102"/>
      <c r="D456" s="101"/>
      <c r="E456" s="101"/>
      <c r="F456" s="101"/>
      <c r="G456" s="101"/>
      <c r="H456" s="101"/>
      <c r="I456" s="101"/>
      <c r="J456" s="101"/>
      <c r="K456" s="101"/>
      <c r="L456" s="101"/>
      <c r="M456" s="53"/>
      <c r="N456" s="53"/>
      <c r="O456" s="53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</row>
    <row r="457" ht="12.75" customHeight="1">
      <c r="A457" s="101"/>
      <c r="B457" s="54"/>
      <c r="C457" s="102"/>
      <c r="D457" s="101"/>
      <c r="E457" s="101"/>
      <c r="F457" s="101"/>
      <c r="G457" s="101"/>
      <c r="H457" s="101"/>
      <c r="I457" s="101"/>
      <c r="J457" s="101"/>
      <c r="K457" s="101"/>
      <c r="L457" s="101"/>
      <c r="M457" s="53"/>
      <c r="N457" s="53"/>
      <c r="O457" s="53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</row>
    <row r="458" ht="12.75" customHeight="1">
      <c r="A458" s="101"/>
      <c r="B458" s="54"/>
      <c r="C458" s="102"/>
      <c r="D458" s="101"/>
      <c r="E458" s="101"/>
      <c r="F458" s="101"/>
      <c r="G458" s="101"/>
      <c r="H458" s="101"/>
      <c r="I458" s="101"/>
      <c r="J458" s="101"/>
      <c r="K458" s="101"/>
      <c r="L458" s="101"/>
      <c r="M458" s="53"/>
      <c r="N458" s="53"/>
      <c r="O458" s="53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</row>
    <row r="459" ht="12.75" customHeight="1">
      <c r="A459" s="101"/>
      <c r="B459" s="54"/>
      <c r="C459" s="102"/>
      <c r="D459" s="101"/>
      <c r="E459" s="101"/>
      <c r="F459" s="101"/>
      <c r="G459" s="101"/>
      <c r="H459" s="101"/>
      <c r="I459" s="101"/>
      <c r="J459" s="101"/>
      <c r="K459" s="101"/>
      <c r="L459" s="101"/>
      <c r="M459" s="53"/>
      <c r="N459" s="53"/>
      <c r="O459" s="53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</row>
    <row r="460" ht="12.75" customHeight="1">
      <c r="A460" s="101"/>
      <c r="B460" s="54"/>
      <c r="C460" s="102"/>
      <c r="D460" s="101"/>
      <c r="E460" s="101"/>
      <c r="F460" s="101"/>
      <c r="G460" s="101"/>
      <c r="H460" s="101"/>
      <c r="I460" s="101"/>
      <c r="J460" s="101"/>
      <c r="K460" s="101"/>
      <c r="L460" s="101"/>
      <c r="M460" s="53"/>
      <c r="N460" s="53"/>
      <c r="O460" s="53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</row>
    <row r="461" ht="12.75" customHeight="1">
      <c r="A461" s="101"/>
      <c r="B461" s="54"/>
      <c r="C461" s="102"/>
      <c r="D461" s="101"/>
      <c r="E461" s="101"/>
      <c r="F461" s="101"/>
      <c r="G461" s="101"/>
      <c r="H461" s="101"/>
      <c r="I461" s="101"/>
      <c r="J461" s="101"/>
      <c r="K461" s="101"/>
      <c r="L461" s="101"/>
      <c r="M461" s="53"/>
      <c r="N461" s="53"/>
      <c r="O461" s="53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</row>
    <row r="462" ht="12.75" customHeight="1">
      <c r="A462" s="101"/>
      <c r="B462" s="54"/>
      <c r="C462" s="102"/>
      <c r="D462" s="101"/>
      <c r="E462" s="101"/>
      <c r="F462" s="101"/>
      <c r="G462" s="101"/>
      <c r="H462" s="101"/>
      <c r="I462" s="101"/>
      <c r="J462" s="101"/>
      <c r="K462" s="101"/>
      <c r="L462" s="101"/>
      <c r="M462" s="53"/>
      <c r="N462" s="53"/>
      <c r="O462" s="53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</row>
    <row r="463" ht="12.75" customHeight="1">
      <c r="A463" s="101"/>
      <c r="B463" s="54"/>
      <c r="C463" s="102"/>
      <c r="D463" s="101"/>
      <c r="E463" s="101"/>
      <c r="F463" s="101"/>
      <c r="G463" s="101"/>
      <c r="H463" s="101"/>
      <c r="I463" s="101"/>
      <c r="J463" s="101"/>
      <c r="K463" s="101"/>
      <c r="L463" s="101"/>
      <c r="M463" s="53"/>
      <c r="N463" s="53"/>
      <c r="O463" s="53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</row>
    <row r="464" ht="12.75" customHeight="1">
      <c r="A464" s="101"/>
      <c r="B464" s="54"/>
      <c r="C464" s="102"/>
      <c r="D464" s="101"/>
      <c r="E464" s="101"/>
      <c r="F464" s="101"/>
      <c r="G464" s="101"/>
      <c r="H464" s="101"/>
      <c r="I464" s="101"/>
      <c r="J464" s="101"/>
      <c r="K464" s="101"/>
      <c r="L464" s="101"/>
      <c r="M464" s="53"/>
      <c r="N464" s="53"/>
      <c r="O464" s="53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</row>
    <row r="465" ht="12.75" customHeight="1">
      <c r="A465" s="101"/>
      <c r="B465" s="54"/>
      <c r="C465" s="102"/>
      <c r="D465" s="101"/>
      <c r="E465" s="101"/>
      <c r="F465" s="101"/>
      <c r="G465" s="101"/>
      <c r="H465" s="101"/>
      <c r="I465" s="101"/>
      <c r="J465" s="101"/>
      <c r="K465" s="101"/>
      <c r="L465" s="101"/>
      <c r="M465" s="53"/>
      <c r="N465" s="53"/>
      <c r="O465" s="53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</row>
    <row r="466" ht="12.75" customHeight="1">
      <c r="A466" s="101"/>
      <c r="B466" s="54"/>
      <c r="C466" s="102"/>
      <c r="D466" s="101"/>
      <c r="E466" s="101"/>
      <c r="F466" s="101"/>
      <c r="G466" s="101"/>
      <c r="H466" s="101"/>
      <c r="I466" s="101"/>
      <c r="J466" s="101"/>
      <c r="K466" s="101"/>
      <c r="L466" s="101"/>
      <c r="M466" s="53"/>
      <c r="N466" s="53"/>
      <c r="O466" s="53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</row>
    <row r="467" ht="12.75" customHeight="1">
      <c r="A467" s="101"/>
      <c r="B467" s="54"/>
      <c r="C467" s="102"/>
      <c r="D467" s="101"/>
      <c r="E467" s="101"/>
      <c r="F467" s="101"/>
      <c r="G467" s="101"/>
      <c r="H467" s="101"/>
      <c r="I467" s="101"/>
      <c r="J467" s="101"/>
      <c r="K467" s="101"/>
      <c r="L467" s="101"/>
      <c r="M467" s="53"/>
      <c r="N467" s="53"/>
      <c r="O467" s="53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</row>
    <row r="468" ht="12.75" customHeight="1">
      <c r="A468" s="101"/>
      <c r="B468" s="54"/>
      <c r="C468" s="102"/>
      <c r="D468" s="101"/>
      <c r="E468" s="101"/>
      <c r="F468" s="101"/>
      <c r="G468" s="101"/>
      <c r="H468" s="101"/>
      <c r="I468" s="101"/>
      <c r="J468" s="101"/>
      <c r="K468" s="101"/>
      <c r="L468" s="101"/>
      <c r="M468" s="53"/>
      <c r="N468" s="53"/>
      <c r="O468" s="53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</row>
    <row r="469" ht="12.75" customHeight="1">
      <c r="A469" s="101"/>
      <c r="B469" s="54"/>
      <c r="C469" s="102"/>
      <c r="D469" s="101"/>
      <c r="E469" s="101"/>
      <c r="F469" s="101"/>
      <c r="G469" s="101"/>
      <c r="H469" s="101"/>
      <c r="I469" s="101"/>
      <c r="J469" s="101"/>
      <c r="K469" s="101"/>
      <c r="L469" s="101"/>
      <c r="M469" s="53"/>
      <c r="N469" s="53"/>
      <c r="O469" s="53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</row>
    <row r="470" ht="12.75" customHeight="1">
      <c r="A470" s="101"/>
      <c r="B470" s="54"/>
      <c r="C470" s="102"/>
      <c r="D470" s="101"/>
      <c r="E470" s="101"/>
      <c r="F470" s="101"/>
      <c r="G470" s="101"/>
      <c r="H470" s="101"/>
      <c r="I470" s="101"/>
      <c r="J470" s="101"/>
      <c r="K470" s="101"/>
      <c r="L470" s="101"/>
      <c r="M470" s="53"/>
      <c r="N470" s="53"/>
      <c r="O470" s="53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</row>
    <row r="471" ht="12.75" customHeight="1">
      <c r="A471" s="101"/>
      <c r="B471" s="54"/>
      <c r="C471" s="102"/>
      <c r="D471" s="101"/>
      <c r="E471" s="101"/>
      <c r="F471" s="101"/>
      <c r="G471" s="101"/>
      <c r="H471" s="101"/>
      <c r="I471" s="101"/>
      <c r="J471" s="101"/>
      <c r="K471" s="101"/>
      <c r="L471" s="101"/>
      <c r="M471" s="53"/>
      <c r="N471" s="53"/>
      <c r="O471" s="53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</row>
    <row r="472" ht="12.75" customHeight="1">
      <c r="A472" s="101"/>
      <c r="B472" s="54"/>
      <c r="C472" s="102"/>
      <c r="D472" s="101"/>
      <c r="E472" s="101"/>
      <c r="F472" s="101"/>
      <c r="G472" s="101"/>
      <c r="H472" s="101"/>
      <c r="I472" s="101"/>
      <c r="J472" s="101"/>
      <c r="K472" s="101"/>
      <c r="L472" s="101"/>
      <c r="M472" s="53"/>
      <c r="N472" s="53"/>
      <c r="O472" s="53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</row>
    <row r="473" ht="12.75" customHeight="1">
      <c r="A473" s="101"/>
      <c r="B473" s="54"/>
      <c r="C473" s="102"/>
      <c r="D473" s="101"/>
      <c r="E473" s="101"/>
      <c r="F473" s="101"/>
      <c r="G473" s="101"/>
      <c r="H473" s="101"/>
      <c r="I473" s="101"/>
      <c r="J473" s="101"/>
      <c r="K473" s="101"/>
      <c r="L473" s="101"/>
      <c r="M473" s="53"/>
      <c r="N473" s="53"/>
      <c r="O473" s="53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</row>
    <row r="474" ht="12.75" customHeight="1">
      <c r="A474" s="101"/>
      <c r="B474" s="54"/>
      <c r="C474" s="102"/>
      <c r="D474" s="101"/>
      <c r="E474" s="101"/>
      <c r="F474" s="101"/>
      <c r="G474" s="101"/>
      <c r="H474" s="101"/>
      <c r="I474" s="101"/>
      <c r="J474" s="101"/>
      <c r="K474" s="101"/>
      <c r="L474" s="101"/>
      <c r="M474" s="53"/>
      <c r="N474" s="53"/>
      <c r="O474" s="53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</row>
    <row r="475" ht="12.75" customHeight="1">
      <c r="A475" s="101"/>
      <c r="B475" s="54"/>
      <c r="C475" s="102"/>
      <c r="D475" s="101"/>
      <c r="E475" s="101"/>
      <c r="F475" s="101"/>
      <c r="G475" s="101"/>
      <c r="H475" s="101"/>
      <c r="I475" s="101"/>
      <c r="J475" s="101"/>
      <c r="K475" s="101"/>
      <c r="L475" s="101"/>
      <c r="M475" s="53"/>
      <c r="N475" s="53"/>
      <c r="O475" s="53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</row>
    <row r="476" ht="12.75" customHeight="1">
      <c r="A476" s="101"/>
      <c r="B476" s="54"/>
      <c r="C476" s="102"/>
      <c r="D476" s="101"/>
      <c r="E476" s="101"/>
      <c r="F476" s="101"/>
      <c r="G476" s="101"/>
      <c r="H476" s="101"/>
      <c r="I476" s="101"/>
      <c r="J476" s="101"/>
      <c r="K476" s="101"/>
      <c r="L476" s="101"/>
      <c r="M476" s="53"/>
      <c r="N476" s="53"/>
      <c r="O476" s="53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</row>
    <row r="477" ht="12.75" customHeight="1">
      <c r="A477" s="101"/>
      <c r="B477" s="54"/>
      <c r="C477" s="102"/>
      <c r="D477" s="101"/>
      <c r="E477" s="101"/>
      <c r="F477" s="101"/>
      <c r="G477" s="101"/>
      <c r="H477" s="101"/>
      <c r="I477" s="101"/>
      <c r="J477" s="101"/>
      <c r="K477" s="101"/>
      <c r="L477" s="101"/>
      <c r="M477" s="53"/>
      <c r="N477" s="53"/>
      <c r="O477" s="53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</row>
    <row r="478" ht="12.75" customHeight="1">
      <c r="A478" s="101"/>
      <c r="B478" s="54"/>
      <c r="C478" s="102"/>
      <c r="D478" s="101"/>
      <c r="E478" s="101"/>
      <c r="F478" s="101"/>
      <c r="G478" s="101"/>
      <c r="H478" s="101"/>
      <c r="I478" s="101"/>
      <c r="J478" s="101"/>
      <c r="K478" s="101"/>
      <c r="L478" s="101"/>
      <c r="M478" s="53"/>
      <c r="N478" s="53"/>
      <c r="O478" s="53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</row>
    <row r="479" ht="12.75" customHeight="1">
      <c r="A479" s="101"/>
      <c r="B479" s="54"/>
      <c r="C479" s="102"/>
      <c r="D479" s="101"/>
      <c r="E479" s="101"/>
      <c r="F479" s="101"/>
      <c r="G479" s="101"/>
      <c r="H479" s="101"/>
      <c r="I479" s="101"/>
      <c r="J479" s="101"/>
      <c r="K479" s="101"/>
      <c r="L479" s="101"/>
      <c r="M479" s="53"/>
      <c r="N479" s="53"/>
      <c r="O479" s="53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</row>
    <row r="480" ht="12.75" customHeight="1">
      <c r="A480" s="101"/>
      <c r="B480" s="54"/>
      <c r="C480" s="102"/>
      <c r="D480" s="101"/>
      <c r="E480" s="101"/>
      <c r="F480" s="101"/>
      <c r="G480" s="101"/>
      <c r="H480" s="101"/>
      <c r="I480" s="101"/>
      <c r="J480" s="101"/>
      <c r="K480" s="101"/>
      <c r="L480" s="101"/>
      <c r="M480" s="53"/>
      <c r="N480" s="53"/>
      <c r="O480" s="53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</row>
    <row r="481" ht="12.75" customHeight="1">
      <c r="A481" s="101"/>
      <c r="B481" s="54"/>
      <c r="C481" s="102"/>
      <c r="D481" s="101"/>
      <c r="E481" s="101"/>
      <c r="F481" s="101"/>
      <c r="G481" s="101"/>
      <c r="H481" s="101"/>
      <c r="I481" s="101"/>
      <c r="J481" s="101"/>
      <c r="K481" s="101"/>
      <c r="L481" s="101"/>
      <c r="M481" s="53"/>
      <c r="N481" s="53"/>
      <c r="O481" s="53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</row>
    <row r="482" ht="12.75" customHeight="1">
      <c r="A482" s="101"/>
      <c r="B482" s="54"/>
      <c r="C482" s="102"/>
      <c r="D482" s="101"/>
      <c r="E482" s="101"/>
      <c r="F482" s="101"/>
      <c r="G482" s="101"/>
      <c r="H482" s="101"/>
      <c r="I482" s="101"/>
      <c r="J482" s="101"/>
      <c r="K482" s="101"/>
      <c r="L482" s="101"/>
      <c r="M482" s="53"/>
      <c r="N482" s="53"/>
      <c r="O482" s="53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</row>
    <row r="483" ht="12.75" customHeight="1">
      <c r="A483" s="101"/>
      <c r="B483" s="54"/>
      <c r="C483" s="102"/>
      <c r="D483" s="101"/>
      <c r="E483" s="101"/>
      <c r="F483" s="101"/>
      <c r="G483" s="101"/>
      <c r="H483" s="101"/>
      <c r="I483" s="101"/>
      <c r="J483" s="101"/>
      <c r="K483" s="101"/>
      <c r="L483" s="101"/>
      <c r="M483" s="53"/>
      <c r="N483" s="53"/>
      <c r="O483" s="53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</row>
    <row r="484" ht="12.75" customHeight="1">
      <c r="A484" s="101"/>
      <c r="B484" s="54"/>
      <c r="C484" s="102"/>
      <c r="D484" s="101"/>
      <c r="E484" s="101"/>
      <c r="F484" s="101"/>
      <c r="G484" s="101"/>
      <c r="H484" s="101"/>
      <c r="I484" s="101"/>
      <c r="J484" s="101"/>
      <c r="K484" s="101"/>
      <c r="L484" s="101"/>
      <c r="M484" s="53"/>
      <c r="N484" s="53"/>
      <c r="O484" s="53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</row>
    <row r="485" ht="12.75" customHeight="1">
      <c r="A485" s="101"/>
      <c r="B485" s="54"/>
      <c r="C485" s="102"/>
      <c r="D485" s="101"/>
      <c r="E485" s="101"/>
      <c r="F485" s="101"/>
      <c r="G485" s="101"/>
      <c r="H485" s="101"/>
      <c r="I485" s="101"/>
      <c r="J485" s="101"/>
      <c r="K485" s="101"/>
      <c r="L485" s="101"/>
      <c r="M485" s="53"/>
      <c r="N485" s="53"/>
      <c r="O485" s="53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</row>
    <row r="486" ht="12.75" customHeight="1">
      <c r="A486" s="101"/>
      <c r="B486" s="54"/>
      <c r="C486" s="102"/>
      <c r="D486" s="101"/>
      <c r="E486" s="101"/>
      <c r="F486" s="101"/>
      <c r="G486" s="101"/>
      <c r="H486" s="101"/>
      <c r="I486" s="101"/>
      <c r="J486" s="101"/>
      <c r="K486" s="101"/>
      <c r="L486" s="101"/>
      <c r="M486" s="53"/>
      <c r="N486" s="53"/>
      <c r="O486" s="53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</row>
    <row r="487" ht="12.75" customHeight="1">
      <c r="A487" s="101"/>
      <c r="B487" s="54"/>
      <c r="C487" s="102"/>
      <c r="D487" s="101"/>
      <c r="E487" s="101"/>
      <c r="F487" s="101"/>
      <c r="G487" s="101"/>
      <c r="H487" s="101"/>
      <c r="I487" s="101"/>
      <c r="J487" s="101"/>
      <c r="K487" s="101"/>
      <c r="L487" s="101"/>
      <c r="M487" s="53"/>
      <c r="N487" s="53"/>
      <c r="O487" s="53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</row>
    <row r="488" ht="12.75" customHeight="1">
      <c r="A488" s="101"/>
      <c r="B488" s="54"/>
      <c r="C488" s="102"/>
      <c r="D488" s="101"/>
      <c r="E488" s="101"/>
      <c r="F488" s="101"/>
      <c r="G488" s="101"/>
      <c r="H488" s="101"/>
      <c r="I488" s="101"/>
      <c r="J488" s="101"/>
      <c r="K488" s="101"/>
      <c r="L488" s="101"/>
      <c r="M488" s="53"/>
      <c r="N488" s="53"/>
      <c r="O488" s="53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</row>
    <row r="489" ht="12.75" customHeight="1">
      <c r="A489" s="101"/>
      <c r="B489" s="54"/>
      <c r="C489" s="102"/>
      <c r="D489" s="101"/>
      <c r="E489" s="101"/>
      <c r="F489" s="101"/>
      <c r="G489" s="101"/>
      <c r="H489" s="101"/>
      <c r="I489" s="101"/>
      <c r="J489" s="101"/>
      <c r="K489" s="101"/>
      <c r="L489" s="101"/>
      <c r="M489" s="53"/>
      <c r="N489" s="53"/>
      <c r="O489" s="53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</row>
    <row r="490" ht="12.75" customHeight="1">
      <c r="A490" s="101"/>
      <c r="B490" s="54"/>
      <c r="C490" s="102"/>
      <c r="D490" s="101"/>
      <c r="E490" s="101"/>
      <c r="F490" s="101"/>
      <c r="G490" s="101"/>
      <c r="H490" s="101"/>
      <c r="I490" s="101"/>
      <c r="J490" s="101"/>
      <c r="K490" s="101"/>
      <c r="L490" s="101"/>
      <c r="M490" s="53"/>
      <c r="N490" s="53"/>
      <c r="O490" s="53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</row>
    <row r="491" ht="12.75" customHeight="1">
      <c r="A491" s="101"/>
      <c r="B491" s="54"/>
      <c r="C491" s="102"/>
      <c r="D491" s="101"/>
      <c r="E491" s="101"/>
      <c r="F491" s="101"/>
      <c r="G491" s="101"/>
      <c r="H491" s="101"/>
      <c r="I491" s="101"/>
      <c r="J491" s="101"/>
      <c r="K491" s="101"/>
      <c r="L491" s="101"/>
      <c r="M491" s="53"/>
      <c r="N491" s="53"/>
      <c r="O491" s="53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</row>
    <row r="492" ht="12.75" customHeight="1">
      <c r="A492" s="101"/>
      <c r="B492" s="54"/>
      <c r="C492" s="102"/>
      <c r="D492" s="101"/>
      <c r="E492" s="101"/>
      <c r="F492" s="101"/>
      <c r="G492" s="101"/>
      <c r="H492" s="101"/>
      <c r="I492" s="101"/>
      <c r="J492" s="101"/>
      <c r="K492" s="101"/>
      <c r="L492" s="101"/>
      <c r="M492" s="53"/>
      <c r="N492" s="53"/>
      <c r="O492" s="53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</row>
    <row r="493" ht="12.75" customHeight="1">
      <c r="A493" s="101"/>
      <c r="B493" s="54"/>
      <c r="C493" s="102"/>
      <c r="D493" s="101"/>
      <c r="E493" s="101"/>
      <c r="F493" s="101"/>
      <c r="G493" s="101"/>
      <c r="H493" s="101"/>
      <c r="I493" s="101"/>
      <c r="J493" s="101"/>
      <c r="K493" s="101"/>
      <c r="L493" s="101"/>
      <c r="M493" s="53"/>
      <c r="N493" s="53"/>
      <c r="O493" s="53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</row>
    <row r="494" ht="12.75" customHeight="1">
      <c r="A494" s="101"/>
      <c r="B494" s="54"/>
      <c r="C494" s="102"/>
      <c r="D494" s="101"/>
      <c r="E494" s="101"/>
      <c r="F494" s="101"/>
      <c r="G494" s="101"/>
      <c r="H494" s="101"/>
      <c r="I494" s="101"/>
      <c r="J494" s="101"/>
      <c r="K494" s="101"/>
      <c r="L494" s="101"/>
      <c r="M494" s="53"/>
      <c r="N494" s="53"/>
      <c r="O494" s="53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</row>
    <row r="495" ht="12.75" customHeight="1">
      <c r="A495" s="101"/>
      <c r="B495" s="54"/>
      <c r="C495" s="102"/>
      <c r="D495" s="101"/>
      <c r="E495" s="101"/>
      <c r="F495" s="101"/>
      <c r="G495" s="101"/>
      <c r="H495" s="101"/>
      <c r="I495" s="101"/>
      <c r="J495" s="101"/>
      <c r="K495" s="101"/>
      <c r="L495" s="101"/>
      <c r="M495" s="53"/>
      <c r="N495" s="53"/>
      <c r="O495" s="53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</row>
    <row r="496" ht="12.75" customHeight="1">
      <c r="A496" s="101"/>
      <c r="B496" s="54"/>
      <c r="C496" s="102"/>
      <c r="D496" s="101"/>
      <c r="E496" s="101"/>
      <c r="F496" s="101"/>
      <c r="G496" s="101"/>
      <c r="H496" s="101"/>
      <c r="I496" s="101"/>
      <c r="J496" s="101"/>
      <c r="K496" s="101"/>
      <c r="L496" s="101"/>
      <c r="M496" s="53"/>
      <c r="N496" s="53"/>
      <c r="O496" s="53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</row>
    <row r="497" ht="12.75" customHeight="1">
      <c r="A497" s="101"/>
      <c r="B497" s="54"/>
      <c r="C497" s="102"/>
      <c r="D497" s="101"/>
      <c r="E497" s="101"/>
      <c r="F497" s="101"/>
      <c r="G497" s="101"/>
      <c r="H497" s="101"/>
      <c r="I497" s="101"/>
      <c r="J497" s="101"/>
      <c r="K497" s="101"/>
      <c r="L497" s="101"/>
      <c r="M497" s="53"/>
      <c r="N497" s="53"/>
      <c r="O497" s="53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</row>
    <row r="498" ht="12.75" customHeight="1">
      <c r="A498" s="101"/>
      <c r="B498" s="54"/>
      <c r="C498" s="102"/>
      <c r="D498" s="101"/>
      <c r="E498" s="101"/>
      <c r="F498" s="101"/>
      <c r="G498" s="101"/>
      <c r="H498" s="101"/>
      <c r="I498" s="101"/>
      <c r="J498" s="101"/>
      <c r="K498" s="101"/>
      <c r="L498" s="101"/>
      <c r="M498" s="53"/>
      <c r="N498" s="53"/>
      <c r="O498" s="53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</row>
    <row r="499" ht="12.75" customHeight="1">
      <c r="A499" s="101"/>
      <c r="B499" s="54"/>
      <c r="C499" s="102"/>
      <c r="D499" s="101"/>
      <c r="E499" s="101"/>
      <c r="F499" s="101"/>
      <c r="G499" s="101"/>
      <c r="H499" s="101"/>
      <c r="I499" s="101"/>
      <c r="J499" s="101"/>
      <c r="K499" s="101"/>
      <c r="L499" s="101"/>
      <c r="M499" s="53"/>
      <c r="N499" s="53"/>
      <c r="O499" s="53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</row>
    <row r="500" ht="12.75" customHeight="1">
      <c r="A500" s="101"/>
      <c r="B500" s="54"/>
      <c r="C500" s="102"/>
      <c r="D500" s="101"/>
      <c r="E500" s="101"/>
      <c r="F500" s="101"/>
      <c r="G500" s="101"/>
      <c r="H500" s="101"/>
      <c r="I500" s="101"/>
      <c r="J500" s="101"/>
      <c r="K500" s="101"/>
      <c r="L500" s="101"/>
      <c r="M500" s="53"/>
      <c r="N500" s="53"/>
      <c r="O500" s="53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</row>
    <row r="501" ht="12.75" customHeight="1">
      <c r="A501" s="101"/>
      <c r="B501" s="54"/>
      <c r="C501" s="102"/>
      <c r="D501" s="101"/>
      <c r="E501" s="101"/>
      <c r="F501" s="101"/>
      <c r="G501" s="101"/>
      <c r="H501" s="101"/>
      <c r="I501" s="101"/>
      <c r="J501" s="101"/>
      <c r="K501" s="101"/>
      <c r="L501" s="101"/>
      <c r="M501" s="53"/>
      <c r="N501" s="53"/>
      <c r="O501" s="53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</row>
    <row r="502" ht="12.75" customHeight="1">
      <c r="A502" s="101"/>
      <c r="B502" s="54"/>
      <c r="C502" s="102"/>
      <c r="D502" s="101"/>
      <c r="E502" s="101"/>
      <c r="F502" s="101"/>
      <c r="G502" s="101"/>
      <c r="H502" s="101"/>
      <c r="I502" s="101"/>
      <c r="J502" s="101"/>
      <c r="K502" s="101"/>
      <c r="L502" s="101"/>
      <c r="M502" s="53"/>
      <c r="N502" s="53"/>
      <c r="O502" s="53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</row>
    <row r="503" ht="12.75" customHeight="1">
      <c r="A503" s="101"/>
      <c r="B503" s="54"/>
      <c r="C503" s="102"/>
      <c r="D503" s="101"/>
      <c r="E503" s="101"/>
      <c r="F503" s="101"/>
      <c r="G503" s="101"/>
      <c r="H503" s="101"/>
      <c r="I503" s="101"/>
      <c r="J503" s="101"/>
      <c r="K503" s="101"/>
      <c r="L503" s="101"/>
      <c r="M503" s="53"/>
      <c r="N503" s="53"/>
      <c r="O503" s="53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</row>
    <row r="504" ht="12.75" customHeight="1">
      <c r="A504" s="101"/>
      <c r="B504" s="54"/>
      <c r="C504" s="102"/>
      <c r="D504" s="101"/>
      <c r="E504" s="101"/>
      <c r="F504" s="101"/>
      <c r="G504" s="101"/>
      <c r="H504" s="101"/>
      <c r="I504" s="101"/>
      <c r="J504" s="101"/>
      <c r="K504" s="101"/>
      <c r="L504" s="101"/>
      <c r="M504" s="53"/>
      <c r="N504" s="53"/>
      <c r="O504" s="53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</row>
    <row r="505" ht="12.75" customHeight="1">
      <c r="A505" s="101"/>
      <c r="B505" s="54"/>
      <c r="C505" s="102"/>
      <c r="D505" s="101"/>
      <c r="E505" s="101"/>
      <c r="F505" s="101"/>
      <c r="G505" s="101"/>
      <c r="H505" s="101"/>
      <c r="I505" s="101"/>
      <c r="J505" s="101"/>
      <c r="K505" s="101"/>
      <c r="L505" s="101"/>
      <c r="M505" s="53"/>
      <c r="N505" s="53"/>
      <c r="O505" s="53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</row>
    <row r="506" ht="12.75" customHeight="1">
      <c r="A506" s="101"/>
      <c r="B506" s="54"/>
      <c r="C506" s="102"/>
      <c r="D506" s="101"/>
      <c r="E506" s="101"/>
      <c r="F506" s="101"/>
      <c r="G506" s="101"/>
      <c r="H506" s="101"/>
      <c r="I506" s="101"/>
      <c r="J506" s="101"/>
      <c r="K506" s="101"/>
      <c r="L506" s="101"/>
      <c r="M506" s="53"/>
      <c r="N506" s="53"/>
      <c r="O506" s="53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</row>
    <row r="507" ht="12.75" customHeight="1">
      <c r="A507" s="101"/>
      <c r="B507" s="54"/>
      <c r="C507" s="102"/>
      <c r="D507" s="101"/>
      <c r="E507" s="101"/>
      <c r="F507" s="101"/>
      <c r="G507" s="101"/>
      <c r="H507" s="101"/>
      <c r="I507" s="101"/>
      <c r="J507" s="101"/>
      <c r="K507" s="101"/>
      <c r="L507" s="101"/>
      <c r="M507" s="53"/>
      <c r="N507" s="53"/>
      <c r="O507" s="53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</row>
    <row r="508" ht="12.75" customHeight="1">
      <c r="A508" s="101"/>
      <c r="B508" s="54"/>
      <c r="C508" s="102"/>
      <c r="D508" s="101"/>
      <c r="E508" s="101"/>
      <c r="F508" s="101"/>
      <c r="G508" s="101"/>
      <c r="H508" s="101"/>
      <c r="I508" s="101"/>
      <c r="J508" s="101"/>
      <c r="K508" s="101"/>
      <c r="L508" s="101"/>
      <c r="M508" s="53"/>
      <c r="N508" s="53"/>
      <c r="O508" s="53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</row>
    <row r="509" ht="12.75" customHeight="1">
      <c r="A509" s="101"/>
      <c r="B509" s="54"/>
      <c r="C509" s="102"/>
      <c r="D509" s="101"/>
      <c r="E509" s="101"/>
      <c r="F509" s="101"/>
      <c r="G509" s="101"/>
      <c r="H509" s="101"/>
      <c r="I509" s="101"/>
      <c r="J509" s="101"/>
      <c r="K509" s="101"/>
      <c r="L509" s="101"/>
      <c r="M509" s="53"/>
      <c r="N509" s="53"/>
      <c r="O509" s="53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</row>
    <row r="510" ht="12.75" customHeight="1">
      <c r="A510" s="101"/>
      <c r="B510" s="54"/>
      <c r="C510" s="102"/>
      <c r="D510" s="101"/>
      <c r="E510" s="101"/>
      <c r="F510" s="101"/>
      <c r="G510" s="101"/>
      <c r="H510" s="101"/>
      <c r="I510" s="101"/>
      <c r="J510" s="101"/>
      <c r="K510" s="101"/>
      <c r="L510" s="101"/>
      <c r="M510" s="53"/>
      <c r="N510" s="53"/>
      <c r="O510" s="53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</row>
    <row r="511" ht="12.75" customHeight="1">
      <c r="A511" s="101"/>
      <c r="B511" s="54"/>
      <c r="C511" s="102"/>
      <c r="D511" s="101"/>
      <c r="E511" s="101"/>
      <c r="F511" s="101"/>
      <c r="G511" s="101"/>
      <c r="H511" s="101"/>
      <c r="I511" s="101"/>
      <c r="J511" s="101"/>
      <c r="K511" s="101"/>
      <c r="L511" s="101"/>
      <c r="M511" s="53"/>
      <c r="N511" s="53"/>
      <c r="O511" s="53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</row>
    <row r="512" ht="12.75" customHeight="1">
      <c r="A512" s="101"/>
      <c r="B512" s="54"/>
      <c r="C512" s="102"/>
      <c r="D512" s="101"/>
      <c r="E512" s="101"/>
      <c r="F512" s="101"/>
      <c r="G512" s="101"/>
      <c r="H512" s="101"/>
      <c r="I512" s="101"/>
      <c r="J512" s="101"/>
      <c r="K512" s="101"/>
      <c r="L512" s="101"/>
      <c r="M512" s="53"/>
      <c r="N512" s="53"/>
      <c r="O512" s="53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</row>
    <row r="513" ht="12.75" customHeight="1">
      <c r="A513" s="101"/>
      <c r="B513" s="54"/>
      <c r="C513" s="102"/>
      <c r="D513" s="101"/>
      <c r="E513" s="101"/>
      <c r="F513" s="101"/>
      <c r="G513" s="101"/>
      <c r="H513" s="101"/>
      <c r="I513" s="101"/>
      <c r="J513" s="101"/>
      <c r="K513" s="101"/>
      <c r="L513" s="101"/>
      <c r="M513" s="53"/>
      <c r="N513" s="53"/>
      <c r="O513" s="53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</row>
    <row r="514" ht="12.75" customHeight="1">
      <c r="A514" s="101"/>
      <c r="B514" s="54"/>
      <c r="C514" s="102"/>
      <c r="D514" s="101"/>
      <c r="E514" s="101"/>
      <c r="F514" s="101"/>
      <c r="G514" s="101"/>
      <c r="H514" s="101"/>
      <c r="I514" s="101"/>
      <c r="J514" s="101"/>
      <c r="K514" s="101"/>
      <c r="L514" s="101"/>
      <c r="M514" s="53"/>
      <c r="N514" s="53"/>
      <c r="O514" s="53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</row>
    <row r="515" ht="12.75" customHeight="1">
      <c r="A515" s="101"/>
      <c r="B515" s="54"/>
      <c r="C515" s="102"/>
      <c r="D515" s="101"/>
      <c r="E515" s="101"/>
      <c r="F515" s="101"/>
      <c r="G515" s="101"/>
      <c r="H515" s="101"/>
      <c r="I515" s="101"/>
      <c r="J515" s="101"/>
      <c r="K515" s="101"/>
      <c r="L515" s="101"/>
      <c r="M515" s="53"/>
      <c r="N515" s="53"/>
      <c r="O515" s="53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</row>
    <row r="516" ht="12.75" customHeight="1">
      <c r="A516" s="101"/>
      <c r="B516" s="54"/>
      <c r="C516" s="102"/>
      <c r="D516" s="101"/>
      <c r="E516" s="101"/>
      <c r="F516" s="101"/>
      <c r="G516" s="101"/>
      <c r="H516" s="101"/>
      <c r="I516" s="101"/>
      <c r="J516" s="101"/>
      <c r="K516" s="101"/>
      <c r="L516" s="101"/>
      <c r="M516" s="53"/>
      <c r="N516" s="53"/>
      <c r="O516" s="53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</row>
    <row r="517" ht="12.75" customHeight="1">
      <c r="A517" s="101"/>
      <c r="B517" s="54"/>
      <c r="C517" s="102"/>
      <c r="D517" s="101"/>
      <c r="E517" s="101"/>
      <c r="F517" s="101"/>
      <c r="G517" s="101"/>
      <c r="H517" s="101"/>
      <c r="I517" s="101"/>
      <c r="J517" s="101"/>
      <c r="K517" s="101"/>
      <c r="L517" s="101"/>
      <c r="M517" s="53"/>
      <c r="N517" s="53"/>
      <c r="O517" s="53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</row>
    <row r="518" ht="12.75" customHeight="1">
      <c r="A518" s="101"/>
      <c r="B518" s="54"/>
      <c r="C518" s="102"/>
      <c r="D518" s="101"/>
      <c r="E518" s="101"/>
      <c r="F518" s="101"/>
      <c r="G518" s="101"/>
      <c r="H518" s="101"/>
      <c r="I518" s="101"/>
      <c r="J518" s="101"/>
      <c r="K518" s="101"/>
      <c r="L518" s="101"/>
      <c r="M518" s="53"/>
      <c r="N518" s="53"/>
      <c r="O518" s="53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</row>
    <row r="519" ht="12.75" customHeight="1">
      <c r="A519" s="101"/>
      <c r="B519" s="54"/>
      <c r="C519" s="102"/>
      <c r="D519" s="101"/>
      <c r="E519" s="101"/>
      <c r="F519" s="101"/>
      <c r="G519" s="101"/>
      <c r="H519" s="101"/>
      <c r="I519" s="101"/>
      <c r="J519" s="101"/>
      <c r="K519" s="101"/>
      <c r="L519" s="101"/>
      <c r="M519" s="53"/>
      <c r="N519" s="53"/>
      <c r="O519" s="53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</row>
    <row r="520" ht="12.75" customHeight="1">
      <c r="A520" s="101"/>
      <c r="B520" s="54"/>
      <c r="C520" s="102"/>
      <c r="D520" s="101"/>
      <c r="E520" s="101"/>
      <c r="F520" s="101"/>
      <c r="G520" s="101"/>
      <c r="H520" s="101"/>
      <c r="I520" s="101"/>
      <c r="J520" s="101"/>
      <c r="K520" s="101"/>
      <c r="L520" s="101"/>
      <c r="M520" s="53"/>
      <c r="N520" s="53"/>
      <c r="O520" s="53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</row>
    <row r="521" ht="12.75" customHeight="1">
      <c r="A521" s="101"/>
      <c r="B521" s="54"/>
      <c r="C521" s="102"/>
      <c r="D521" s="101"/>
      <c r="E521" s="101"/>
      <c r="F521" s="101"/>
      <c r="G521" s="101"/>
      <c r="H521" s="101"/>
      <c r="I521" s="101"/>
      <c r="J521" s="101"/>
      <c r="K521" s="101"/>
      <c r="L521" s="101"/>
      <c r="M521" s="53"/>
      <c r="N521" s="53"/>
      <c r="O521" s="53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</row>
    <row r="522" ht="12.75" customHeight="1">
      <c r="A522" s="101"/>
      <c r="B522" s="54"/>
      <c r="C522" s="102"/>
      <c r="D522" s="101"/>
      <c r="E522" s="101"/>
      <c r="F522" s="101"/>
      <c r="G522" s="101"/>
      <c r="H522" s="101"/>
      <c r="I522" s="101"/>
      <c r="J522" s="101"/>
      <c r="K522" s="101"/>
      <c r="L522" s="101"/>
      <c r="M522" s="53"/>
      <c r="N522" s="53"/>
      <c r="O522" s="53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</row>
    <row r="523" ht="12.75" customHeight="1">
      <c r="A523" s="101"/>
      <c r="B523" s="54"/>
      <c r="C523" s="102"/>
      <c r="D523" s="101"/>
      <c r="E523" s="101"/>
      <c r="F523" s="101"/>
      <c r="G523" s="101"/>
      <c r="H523" s="101"/>
      <c r="I523" s="101"/>
      <c r="J523" s="101"/>
      <c r="K523" s="101"/>
      <c r="L523" s="101"/>
      <c r="M523" s="53"/>
      <c r="N523" s="53"/>
      <c r="O523" s="53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</row>
    <row r="524" ht="12.75" customHeight="1">
      <c r="A524" s="101"/>
      <c r="B524" s="54"/>
      <c r="C524" s="102"/>
      <c r="D524" s="101"/>
      <c r="E524" s="101"/>
      <c r="F524" s="101"/>
      <c r="G524" s="101"/>
      <c r="H524" s="101"/>
      <c r="I524" s="101"/>
      <c r="J524" s="101"/>
      <c r="K524" s="101"/>
      <c r="L524" s="101"/>
      <c r="M524" s="53"/>
      <c r="N524" s="53"/>
      <c r="O524" s="53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</row>
    <row r="525" ht="12.75" customHeight="1">
      <c r="A525" s="101"/>
      <c r="B525" s="54"/>
      <c r="C525" s="102"/>
      <c r="D525" s="101"/>
      <c r="E525" s="101"/>
      <c r="F525" s="101"/>
      <c r="G525" s="101"/>
      <c r="H525" s="101"/>
      <c r="I525" s="101"/>
      <c r="J525" s="101"/>
      <c r="K525" s="101"/>
      <c r="L525" s="101"/>
      <c r="M525" s="53"/>
      <c r="N525" s="53"/>
      <c r="O525" s="53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</row>
    <row r="526" ht="12.75" customHeight="1">
      <c r="A526" s="101"/>
      <c r="B526" s="54"/>
      <c r="C526" s="102"/>
      <c r="D526" s="101"/>
      <c r="E526" s="101"/>
      <c r="F526" s="101"/>
      <c r="G526" s="101"/>
      <c r="H526" s="101"/>
      <c r="I526" s="101"/>
      <c r="J526" s="101"/>
      <c r="K526" s="101"/>
      <c r="L526" s="101"/>
      <c r="M526" s="53"/>
      <c r="N526" s="53"/>
      <c r="O526" s="53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</row>
    <row r="527" ht="12.75" customHeight="1">
      <c r="A527" s="101"/>
      <c r="B527" s="54"/>
      <c r="C527" s="102"/>
      <c r="D527" s="101"/>
      <c r="E527" s="101"/>
      <c r="F527" s="101"/>
      <c r="G527" s="101"/>
      <c r="H527" s="101"/>
      <c r="I527" s="101"/>
      <c r="J527" s="101"/>
      <c r="K527" s="101"/>
      <c r="L527" s="101"/>
      <c r="M527" s="53"/>
      <c r="N527" s="53"/>
      <c r="O527" s="53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</row>
    <row r="528" ht="12.75" customHeight="1">
      <c r="A528" s="101"/>
      <c r="B528" s="54"/>
      <c r="C528" s="102"/>
      <c r="D528" s="101"/>
      <c r="E528" s="101"/>
      <c r="F528" s="101"/>
      <c r="G528" s="101"/>
      <c r="H528" s="101"/>
      <c r="I528" s="101"/>
      <c r="J528" s="101"/>
      <c r="K528" s="101"/>
      <c r="L528" s="101"/>
      <c r="M528" s="53"/>
      <c r="N528" s="53"/>
      <c r="O528" s="53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</row>
    <row r="529" ht="12.75" customHeight="1">
      <c r="A529" s="101"/>
      <c r="B529" s="54"/>
      <c r="C529" s="102"/>
      <c r="D529" s="101"/>
      <c r="E529" s="101"/>
      <c r="F529" s="101"/>
      <c r="G529" s="101"/>
      <c r="H529" s="101"/>
      <c r="I529" s="101"/>
      <c r="J529" s="101"/>
      <c r="K529" s="101"/>
      <c r="L529" s="101"/>
      <c r="M529" s="53"/>
      <c r="N529" s="53"/>
      <c r="O529" s="53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</row>
    <row r="530" ht="12.75" customHeight="1">
      <c r="A530" s="101"/>
      <c r="B530" s="54"/>
      <c r="C530" s="102"/>
      <c r="D530" s="101"/>
      <c r="E530" s="101"/>
      <c r="F530" s="101"/>
      <c r="G530" s="101"/>
      <c r="H530" s="101"/>
      <c r="I530" s="101"/>
      <c r="J530" s="101"/>
      <c r="K530" s="101"/>
      <c r="L530" s="101"/>
      <c r="M530" s="53"/>
      <c r="N530" s="53"/>
      <c r="O530" s="53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</row>
    <row r="531" ht="12.75" customHeight="1">
      <c r="A531" s="101"/>
      <c r="B531" s="54"/>
      <c r="C531" s="102"/>
      <c r="D531" s="101"/>
      <c r="E531" s="101"/>
      <c r="F531" s="101"/>
      <c r="G531" s="101"/>
      <c r="H531" s="101"/>
      <c r="I531" s="101"/>
      <c r="J531" s="101"/>
      <c r="K531" s="101"/>
      <c r="L531" s="101"/>
      <c r="M531" s="53"/>
      <c r="N531" s="53"/>
      <c r="O531" s="53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</row>
    <row r="532" ht="12.75" customHeight="1">
      <c r="A532" s="101"/>
      <c r="B532" s="54"/>
      <c r="C532" s="102"/>
      <c r="D532" s="101"/>
      <c r="E532" s="101"/>
      <c r="F532" s="101"/>
      <c r="G532" s="101"/>
      <c r="H532" s="101"/>
      <c r="I532" s="101"/>
      <c r="J532" s="101"/>
      <c r="K532" s="101"/>
      <c r="L532" s="101"/>
      <c r="M532" s="53"/>
      <c r="N532" s="53"/>
      <c r="O532" s="53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</row>
    <row r="533" ht="12.75" customHeight="1">
      <c r="A533" s="101"/>
      <c r="B533" s="54"/>
      <c r="C533" s="102"/>
      <c r="D533" s="101"/>
      <c r="E533" s="101"/>
      <c r="F533" s="101"/>
      <c r="G533" s="101"/>
      <c r="H533" s="101"/>
      <c r="I533" s="101"/>
      <c r="J533" s="101"/>
      <c r="K533" s="101"/>
      <c r="L533" s="101"/>
      <c r="M533" s="53"/>
      <c r="N533" s="53"/>
      <c r="O533" s="53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</row>
    <row r="534" ht="12.75" customHeight="1">
      <c r="A534" s="101"/>
      <c r="B534" s="54"/>
      <c r="C534" s="102"/>
      <c r="D534" s="101"/>
      <c r="E534" s="101"/>
      <c r="F534" s="101"/>
      <c r="G534" s="101"/>
      <c r="H534" s="101"/>
      <c r="I534" s="101"/>
      <c r="J534" s="101"/>
      <c r="K534" s="101"/>
      <c r="L534" s="101"/>
      <c r="M534" s="53"/>
      <c r="N534" s="53"/>
      <c r="O534" s="53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</row>
    <row r="535" ht="12.75" customHeight="1">
      <c r="A535" s="101"/>
      <c r="B535" s="54"/>
      <c r="C535" s="102"/>
      <c r="D535" s="101"/>
      <c r="E535" s="101"/>
      <c r="F535" s="101"/>
      <c r="G535" s="101"/>
      <c r="H535" s="101"/>
      <c r="I535" s="101"/>
      <c r="J535" s="101"/>
      <c r="K535" s="101"/>
      <c r="L535" s="101"/>
      <c r="M535" s="53"/>
      <c r="N535" s="53"/>
      <c r="O535" s="53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</row>
    <row r="536" ht="12.75" customHeight="1">
      <c r="A536" s="101"/>
      <c r="B536" s="54"/>
      <c r="C536" s="102"/>
      <c r="D536" s="101"/>
      <c r="E536" s="101"/>
      <c r="F536" s="101"/>
      <c r="G536" s="101"/>
      <c r="H536" s="101"/>
      <c r="I536" s="101"/>
      <c r="J536" s="101"/>
      <c r="K536" s="101"/>
      <c r="L536" s="101"/>
      <c r="M536" s="53"/>
      <c r="N536" s="53"/>
      <c r="O536" s="53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</row>
    <row r="537" ht="12.75" customHeight="1">
      <c r="A537" s="101"/>
      <c r="B537" s="54"/>
      <c r="C537" s="102"/>
      <c r="D537" s="101"/>
      <c r="E537" s="101"/>
      <c r="F537" s="101"/>
      <c r="G537" s="101"/>
      <c r="H537" s="101"/>
      <c r="I537" s="101"/>
      <c r="J537" s="101"/>
      <c r="K537" s="101"/>
      <c r="L537" s="101"/>
      <c r="M537" s="53"/>
      <c r="N537" s="53"/>
      <c r="O537" s="53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</row>
    <row r="538" ht="12.75" customHeight="1">
      <c r="A538" s="101"/>
      <c r="B538" s="54"/>
      <c r="C538" s="102"/>
      <c r="D538" s="101"/>
      <c r="E538" s="101"/>
      <c r="F538" s="101"/>
      <c r="G538" s="101"/>
      <c r="H538" s="101"/>
      <c r="I538" s="101"/>
      <c r="J538" s="101"/>
      <c r="K538" s="101"/>
      <c r="L538" s="101"/>
      <c r="M538" s="53"/>
      <c r="N538" s="53"/>
      <c r="O538" s="53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</row>
    <row r="539" ht="12.75" customHeight="1">
      <c r="A539" s="101"/>
      <c r="B539" s="54"/>
      <c r="C539" s="102"/>
      <c r="D539" s="101"/>
      <c r="E539" s="101"/>
      <c r="F539" s="101"/>
      <c r="G539" s="101"/>
      <c r="H539" s="101"/>
      <c r="I539" s="101"/>
      <c r="J539" s="101"/>
      <c r="K539" s="101"/>
      <c r="L539" s="101"/>
      <c r="M539" s="53"/>
      <c r="N539" s="53"/>
      <c r="O539" s="53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</row>
    <row r="540" ht="12.75" customHeight="1">
      <c r="A540" s="101"/>
      <c r="B540" s="54"/>
      <c r="C540" s="102"/>
      <c r="D540" s="101"/>
      <c r="E540" s="101"/>
      <c r="F540" s="101"/>
      <c r="G540" s="101"/>
      <c r="H540" s="101"/>
      <c r="I540" s="101"/>
      <c r="J540" s="101"/>
      <c r="K540" s="101"/>
      <c r="L540" s="101"/>
      <c r="M540" s="53"/>
      <c r="N540" s="53"/>
      <c r="O540" s="53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</row>
    <row r="541" ht="12.75" customHeight="1">
      <c r="A541" s="101"/>
      <c r="B541" s="54"/>
      <c r="C541" s="102"/>
      <c r="D541" s="101"/>
      <c r="E541" s="101"/>
      <c r="F541" s="101"/>
      <c r="G541" s="101"/>
      <c r="H541" s="101"/>
      <c r="I541" s="101"/>
      <c r="J541" s="101"/>
      <c r="K541" s="101"/>
      <c r="L541" s="101"/>
      <c r="M541" s="53"/>
      <c r="N541" s="53"/>
      <c r="O541" s="53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</row>
    <row r="542" ht="12.75" customHeight="1">
      <c r="A542" s="101"/>
      <c r="B542" s="54"/>
      <c r="C542" s="102"/>
      <c r="D542" s="101"/>
      <c r="E542" s="101"/>
      <c r="F542" s="101"/>
      <c r="G542" s="101"/>
      <c r="H542" s="101"/>
      <c r="I542" s="101"/>
      <c r="J542" s="101"/>
      <c r="K542" s="101"/>
      <c r="L542" s="101"/>
      <c r="M542" s="53"/>
      <c r="N542" s="53"/>
      <c r="O542" s="53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</row>
    <row r="543" ht="12.75" customHeight="1">
      <c r="A543" s="101"/>
      <c r="B543" s="54"/>
      <c r="C543" s="102"/>
      <c r="D543" s="101"/>
      <c r="E543" s="101"/>
      <c r="F543" s="101"/>
      <c r="G543" s="101"/>
      <c r="H543" s="101"/>
      <c r="I543" s="101"/>
      <c r="J543" s="101"/>
      <c r="K543" s="101"/>
      <c r="L543" s="101"/>
      <c r="M543" s="53"/>
      <c r="N543" s="53"/>
      <c r="O543" s="53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</row>
    <row r="544" ht="12.75" customHeight="1">
      <c r="A544" s="101"/>
      <c r="B544" s="54"/>
      <c r="C544" s="102"/>
      <c r="D544" s="101"/>
      <c r="E544" s="101"/>
      <c r="F544" s="101"/>
      <c r="G544" s="101"/>
      <c r="H544" s="101"/>
      <c r="I544" s="101"/>
      <c r="J544" s="101"/>
      <c r="K544" s="101"/>
      <c r="L544" s="101"/>
      <c r="M544" s="53"/>
      <c r="N544" s="53"/>
      <c r="O544" s="53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</row>
    <row r="545" ht="12.75" customHeight="1">
      <c r="A545" s="101"/>
      <c r="B545" s="54"/>
      <c r="C545" s="102"/>
      <c r="D545" s="101"/>
      <c r="E545" s="101"/>
      <c r="F545" s="101"/>
      <c r="G545" s="101"/>
      <c r="H545" s="101"/>
      <c r="I545" s="101"/>
      <c r="J545" s="101"/>
      <c r="K545" s="101"/>
      <c r="L545" s="101"/>
      <c r="M545" s="53"/>
      <c r="N545" s="53"/>
      <c r="O545" s="53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</row>
    <row r="546" ht="12.75" customHeight="1">
      <c r="A546" s="101"/>
      <c r="B546" s="54"/>
      <c r="C546" s="102"/>
      <c r="D546" s="101"/>
      <c r="E546" s="101"/>
      <c r="F546" s="101"/>
      <c r="G546" s="101"/>
      <c r="H546" s="101"/>
      <c r="I546" s="101"/>
      <c r="J546" s="101"/>
      <c r="K546" s="101"/>
      <c r="L546" s="101"/>
      <c r="M546" s="53"/>
      <c r="N546" s="53"/>
      <c r="O546" s="53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</row>
    <row r="547" ht="12.75" customHeight="1">
      <c r="A547" s="101"/>
      <c r="B547" s="54"/>
      <c r="C547" s="102"/>
      <c r="D547" s="101"/>
      <c r="E547" s="101"/>
      <c r="F547" s="101"/>
      <c r="G547" s="101"/>
      <c r="H547" s="101"/>
      <c r="I547" s="101"/>
      <c r="J547" s="101"/>
      <c r="K547" s="101"/>
      <c r="L547" s="101"/>
      <c r="M547" s="53"/>
      <c r="N547" s="53"/>
      <c r="O547" s="53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</row>
    <row r="548" ht="12.75" customHeight="1">
      <c r="A548" s="101"/>
      <c r="B548" s="54"/>
      <c r="C548" s="102"/>
      <c r="D548" s="101"/>
      <c r="E548" s="101"/>
      <c r="F548" s="101"/>
      <c r="G548" s="101"/>
      <c r="H548" s="101"/>
      <c r="I548" s="101"/>
      <c r="J548" s="101"/>
      <c r="K548" s="101"/>
      <c r="L548" s="101"/>
      <c r="M548" s="53"/>
      <c r="N548" s="53"/>
      <c r="O548" s="53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</row>
    <row r="549" ht="12.75" customHeight="1">
      <c r="A549" s="101"/>
      <c r="B549" s="54"/>
      <c r="C549" s="102"/>
      <c r="D549" s="101"/>
      <c r="E549" s="101"/>
      <c r="F549" s="101"/>
      <c r="G549" s="101"/>
      <c r="H549" s="101"/>
      <c r="I549" s="101"/>
      <c r="J549" s="101"/>
      <c r="K549" s="101"/>
      <c r="L549" s="101"/>
      <c r="M549" s="53"/>
      <c r="N549" s="53"/>
      <c r="O549" s="53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</row>
    <row r="550" ht="12.75" customHeight="1">
      <c r="A550" s="101"/>
      <c r="B550" s="54"/>
      <c r="C550" s="102"/>
      <c r="D550" s="101"/>
      <c r="E550" s="101"/>
      <c r="F550" s="101"/>
      <c r="G550" s="101"/>
      <c r="H550" s="101"/>
      <c r="I550" s="101"/>
      <c r="J550" s="101"/>
      <c r="K550" s="101"/>
      <c r="L550" s="101"/>
      <c r="M550" s="53"/>
      <c r="N550" s="53"/>
      <c r="O550" s="53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</row>
    <row r="551" ht="12.75" customHeight="1">
      <c r="A551" s="101"/>
      <c r="B551" s="54"/>
      <c r="C551" s="102"/>
      <c r="D551" s="101"/>
      <c r="E551" s="101"/>
      <c r="F551" s="101"/>
      <c r="G551" s="101"/>
      <c r="H551" s="101"/>
      <c r="I551" s="101"/>
      <c r="J551" s="101"/>
      <c r="K551" s="101"/>
      <c r="L551" s="101"/>
      <c r="M551" s="53"/>
      <c r="N551" s="53"/>
      <c r="O551" s="53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</row>
    <row r="552" ht="12.75" customHeight="1">
      <c r="A552" s="101"/>
      <c r="B552" s="54"/>
      <c r="C552" s="102"/>
      <c r="D552" s="101"/>
      <c r="E552" s="101"/>
      <c r="F552" s="101"/>
      <c r="G552" s="101"/>
      <c r="H552" s="101"/>
      <c r="I552" s="101"/>
      <c r="J552" s="101"/>
      <c r="K552" s="101"/>
      <c r="L552" s="101"/>
      <c r="M552" s="53"/>
      <c r="N552" s="53"/>
      <c r="O552" s="53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</row>
    <row r="553" ht="12.75" customHeight="1">
      <c r="A553" s="101"/>
      <c r="B553" s="54"/>
      <c r="C553" s="102"/>
      <c r="D553" s="101"/>
      <c r="E553" s="101"/>
      <c r="F553" s="101"/>
      <c r="G553" s="101"/>
      <c r="H553" s="101"/>
      <c r="I553" s="101"/>
      <c r="J553" s="101"/>
      <c r="K553" s="101"/>
      <c r="L553" s="101"/>
      <c r="M553" s="53"/>
      <c r="N553" s="53"/>
      <c r="O553" s="53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</row>
    <row r="554" ht="12.75" customHeight="1">
      <c r="A554" s="101"/>
      <c r="B554" s="54"/>
      <c r="C554" s="102"/>
      <c r="D554" s="101"/>
      <c r="E554" s="101"/>
      <c r="F554" s="101"/>
      <c r="G554" s="101"/>
      <c r="H554" s="101"/>
      <c r="I554" s="101"/>
      <c r="J554" s="101"/>
      <c r="K554" s="101"/>
      <c r="L554" s="101"/>
      <c r="M554" s="53"/>
      <c r="N554" s="53"/>
      <c r="O554" s="53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</row>
    <row r="555" ht="12.75" customHeight="1">
      <c r="A555" s="101"/>
      <c r="B555" s="54"/>
      <c r="C555" s="102"/>
      <c r="D555" s="101"/>
      <c r="E555" s="101"/>
      <c r="F555" s="101"/>
      <c r="G555" s="101"/>
      <c r="H555" s="101"/>
      <c r="I555" s="101"/>
      <c r="J555" s="101"/>
      <c r="K555" s="101"/>
      <c r="L555" s="101"/>
      <c r="M555" s="53"/>
      <c r="N555" s="53"/>
      <c r="O555" s="53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</row>
    <row r="556" ht="12.75" customHeight="1">
      <c r="A556" s="101"/>
      <c r="B556" s="54"/>
      <c r="C556" s="102"/>
      <c r="D556" s="101"/>
      <c r="E556" s="101"/>
      <c r="F556" s="101"/>
      <c r="G556" s="101"/>
      <c r="H556" s="101"/>
      <c r="I556" s="101"/>
      <c r="J556" s="101"/>
      <c r="K556" s="101"/>
      <c r="L556" s="101"/>
      <c r="M556" s="53"/>
      <c r="N556" s="53"/>
      <c r="O556" s="53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</row>
    <row r="557" ht="12.75" customHeight="1">
      <c r="A557" s="101"/>
      <c r="B557" s="54"/>
      <c r="C557" s="102"/>
      <c r="D557" s="101"/>
      <c r="E557" s="101"/>
      <c r="F557" s="101"/>
      <c r="G557" s="101"/>
      <c r="H557" s="101"/>
      <c r="I557" s="101"/>
      <c r="J557" s="101"/>
      <c r="K557" s="101"/>
      <c r="L557" s="101"/>
      <c r="M557" s="53"/>
      <c r="N557" s="53"/>
      <c r="O557" s="53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</row>
    <row r="558" ht="12.75" customHeight="1">
      <c r="A558" s="101"/>
      <c r="B558" s="54"/>
      <c r="C558" s="102"/>
      <c r="D558" s="101"/>
      <c r="E558" s="101"/>
      <c r="F558" s="101"/>
      <c r="G558" s="101"/>
      <c r="H558" s="101"/>
      <c r="I558" s="101"/>
      <c r="J558" s="101"/>
      <c r="K558" s="101"/>
      <c r="L558" s="101"/>
      <c r="M558" s="53"/>
      <c r="N558" s="53"/>
      <c r="O558" s="53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</row>
    <row r="559" ht="12.75" customHeight="1">
      <c r="A559" s="101"/>
      <c r="B559" s="54"/>
      <c r="C559" s="102"/>
      <c r="D559" s="101"/>
      <c r="E559" s="101"/>
      <c r="F559" s="101"/>
      <c r="G559" s="101"/>
      <c r="H559" s="101"/>
      <c r="I559" s="101"/>
      <c r="J559" s="101"/>
      <c r="K559" s="101"/>
      <c r="L559" s="101"/>
      <c r="M559" s="53"/>
      <c r="N559" s="53"/>
      <c r="O559" s="53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</row>
    <row r="560" ht="12.75" customHeight="1">
      <c r="A560" s="101"/>
      <c r="B560" s="54"/>
      <c r="C560" s="102"/>
      <c r="D560" s="101"/>
      <c r="E560" s="101"/>
      <c r="F560" s="101"/>
      <c r="G560" s="101"/>
      <c r="H560" s="101"/>
      <c r="I560" s="101"/>
      <c r="J560" s="101"/>
      <c r="K560" s="101"/>
      <c r="L560" s="101"/>
      <c r="M560" s="53"/>
      <c r="N560" s="53"/>
      <c r="O560" s="53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</row>
    <row r="561" ht="12.75" customHeight="1">
      <c r="A561" s="101"/>
      <c r="B561" s="54"/>
      <c r="C561" s="102"/>
      <c r="D561" s="101"/>
      <c r="E561" s="101"/>
      <c r="F561" s="101"/>
      <c r="G561" s="101"/>
      <c r="H561" s="101"/>
      <c r="I561" s="101"/>
      <c r="J561" s="101"/>
      <c r="K561" s="101"/>
      <c r="L561" s="101"/>
      <c r="M561" s="53"/>
      <c r="N561" s="53"/>
      <c r="O561" s="53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</row>
    <row r="562" ht="12.75" customHeight="1">
      <c r="A562" s="101"/>
      <c r="B562" s="54"/>
      <c r="C562" s="102"/>
      <c r="D562" s="101"/>
      <c r="E562" s="101"/>
      <c r="F562" s="101"/>
      <c r="G562" s="101"/>
      <c r="H562" s="101"/>
      <c r="I562" s="101"/>
      <c r="J562" s="101"/>
      <c r="K562" s="101"/>
      <c r="L562" s="101"/>
      <c r="M562" s="53"/>
      <c r="N562" s="53"/>
      <c r="O562" s="53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</row>
    <row r="563" ht="12.75" customHeight="1">
      <c r="A563" s="101"/>
      <c r="B563" s="54"/>
      <c r="C563" s="102"/>
      <c r="D563" s="101"/>
      <c r="E563" s="101"/>
      <c r="F563" s="101"/>
      <c r="G563" s="101"/>
      <c r="H563" s="101"/>
      <c r="I563" s="101"/>
      <c r="J563" s="101"/>
      <c r="K563" s="101"/>
      <c r="L563" s="101"/>
      <c r="M563" s="53"/>
      <c r="N563" s="53"/>
      <c r="O563" s="53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</row>
    <row r="564" ht="12.75" customHeight="1">
      <c r="A564" s="101"/>
      <c r="B564" s="54"/>
      <c r="C564" s="102"/>
      <c r="D564" s="101"/>
      <c r="E564" s="101"/>
      <c r="F564" s="101"/>
      <c r="G564" s="101"/>
      <c r="H564" s="101"/>
      <c r="I564" s="101"/>
      <c r="J564" s="101"/>
      <c r="K564" s="101"/>
      <c r="L564" s="101"/>
      <c r="M564" s="53"/>
      <c r="N564" s="53"/>
      <c r="O564" s="53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</row>
    <row r="565" ht="12.75" customHeight="1">
      <c r="A565" s="101"/>
      <c r="B565" s="54"/>
      <c r="C565" s="102"/>
      <c r="D565" s="101"/>
      <c r="E565" s="101"/>
      <c r="F565" s="101"/>
      <c r="G565" s="101"/>
      <c r="H565" s="101"/>
      <c r="I565" s="101"/>
      <c r="J565" s="101"/>
      <c r="K565" s="101"/>
      <c r="L565" s="101"/>
      <c r="M565" s="53"/>
      <c r="N565" s="53"/>
      <c r="O565" s="53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</row>
    <row r="566" ht="12.75" customHeight="1">
      <c r="A566" s="101"/>
      <c r="B566" s="54"/>
      <c r="C566" s="102"/>
      <c r="D566" s="101"/>
      <c r="E566" s="101"/>
      <c r="F566" s="101"/>
      <c r="G566" s="101"/>
      <c r="H566" s="101"/>
      <c r="I566" s="101"/>
      <c r="J566" s="101"/>
      <c r="K566" s="101"/>
      <c r="L566" s="101"/>
      <c r="M566" s="53"/>
      <c r="N566" s="53"/>
      <c r="O566" s="53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</row>
    <row r="567" ht="12.75" customHeight="1">
      <c r="A567" s="101"/>
      <c r="B567" s="54"/>
      <c r="C567" s="102"/>
      <c r="D567" s="101"/>
      <c r="E567" s="101"/>
      <c r="F567" s="101"/>
      <c r="G567" s="101"/>
      <c r="H567" s="101"/>
      <c r="I567" s="101"/>
      <c r="J567" s="101"/>
      <c r="K567" s="101"/>
      <c r="L567" s="101"/>
      <c r="M567" s="53"/>
      <c r="N567" s="53"/>
      <c r="O567" s="53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</row>
    <row r="568" ht="12.75" customHeight="1">
      <c r="A568" s="101"/>
      <c r="B568" s="54"/>
      <c r="C568" s="102"/>
      <c r="D568" s="101"/>
      <c r="E568" s="101"/>
      <c r="F568" s="101"/>
      <c r="G568" s="101"/>
      <c r="H568" s="101"/>
      <c r="I568" s="101"/>
      <c r="J568" s="101"/>
      <c r="K568" s="101"/>
      <c r="L568" s="101"/>
      <c r="M568" s="53"/>
      <c r="N568" s="53"/>
      <c r="O568" s="53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</row>
    <row r="569" ht="12.75" customHeight="1">
      <c r="A569" s="101"/>
      <c r="B569" s="54"/>
      <c r="C569" s="102"/>
      <c r="D569" s="101"/>
      <c r="E569" s="101"/>
      <c r="F569" s="101"/>
      <c r="G569" s="101"/>
      <c r="H569" s="101"/>
      <c r="I569" s="101"/>
      <c r="J569" s="101"/>
      <c r="K569" s="101"/>
      <c r="L569" s="101"/>
      <c r="M569" s="53"/>
      <c r="N569" s="53"/>
      <c r="O569" s="53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</row>
    <row r="570" ht="12.75" customHeight="1">
      <c r="A570" s="101"/>
      <c r="B570" s="54"/>
      <c r="C570" s="102"/>
      <c r="D570" s="101"/>
      <c r="E570" s="101"/>
      <c r="F570" s="101"/>
      <c r="G570" s="101"/>
      <c r="H570" s="101"/>
      <c r="I570" s="101"/>
      <c r="J570" s="101"/>
      <c r="K570" s="101"/>
      <c r="L570" s="101"/>
      <c r="M570" s="53"/>
      <c r="N570" s="53"/>
      <c r="O570" s="53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</row>
    <row r="571" ht="12.75" customHeight="1">
      <c r="A571" s="101"/>
      <c r="B571" s="54"/>
      <c r="C571" s="102"/>
      <c r="D571" s="101"/>
      <c r="E571" s="101"/>
      <c r="F571" s="101"/>
      <c r="G571" s="101"/>
      <c r="H571" s="101"/>
      <c r="I571" s="101"/>
      <c r="J571" s="101"/>
      <c r="K571" s="101"/>
      <c r="L571" s="101"/>
      <c r="M571" s="53"/>
      <c r="N571" s="53"/>
      <c r="O571" s="53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</row>
    <row r="572" ht="12.75" customHeight="1">
      <c r="A572" s="101"/>
      <c r="B572" s="54"/>
      <c r="C572" s="102"/>
      <c r="D572" s="101"/>
      <c r="E572" s="101"/>
      <c r="F572" s="101"/>
      <c r="G572" s="101"/>
      <c r="H572" s="101"/>
      <c r="I572" s="101"/>
      <c r="J572" s="101"/>
      <c r="K572" s="101"/>
      <c r="L572" s="101"/>
      <c r="M572" s="53"/>
      <c r="N572" s="53"/>
      <c r="O572" s="53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</row>
    <row r="573" ht="12.75" customHeight="1">
      <c r="A573" s="101"/>
      <c r="B573" s="54"/>
      <c r="C573" s="102"/>
      <c r="D573" s="101"/>
      <c r="E573" s="101"/>
      <c r="F573" s="101"/>
      <c r="G573" s="101"/>
      <c r="H573" s="101"/>
      <c r="I573" s="101"/>
      <c r="J573" s="101"/>
      <c r="K573" s="101"/>
      <c r="L573" s="101"/>
      <c r="M573" s="53"/>
      <c r="N573" s="53"/>
      <c r="O573" s="53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</row>
    <row r="574" ht="12.75" customHeight="1">
      <c r="A574" s="101"/>
      <c r="B574" s="54"/>
      <c r="C574" s="102"/>
      <c r="D574" s="101"/>
      <c r="E574" s="101"/>
      <c r="F574" s="101"/>
      <c r="G574" s="101"/>
      <c r="H574" s="101"/>
      <c r="I574" s="101"/>
      <c r="J574" s="101"/>
      <c r="K574" s="101"/>
      <c r="L574" s="101"/>
      <c r="M574" s="53"/>
      <c r="N574" s="53"/>
      <c r="O574" s="53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</row>
    <row r="575" ht="12.75" customHeight="1">
      <c r="A575" s="101"/>
      <c r="B575" s="54"/>
      <c r="C575" s="102"/>
      <c r="D575" s="101"/>
      <c r="E575" s="101"/>
      <c r="F575" s="101"/>
      <c r="G575" s="101"/>
      <c r="H575" s="101"/>
      <c r="I575" s="101"/>
      <c r="J575" s="101"/>
      <c r="K575" s="101"/>
      <c r="L575" s="101"/>
      <c r="M575" s="53"/>
      <c r="N575" s="53"/>
      <c r="O575" s="53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</row>
    <row r="576" ht="12.75" customHeight="1">
      <c r="A576" s="101"/>
      <c r="B576" s="54"/>
      <c r="C576" s="102"/>
      <c r="D576" s="101"/>
      <c r="E576" s="101"/>
      <c r="F576" s="101"/>
      <c r="G576" s="101"/>
      <c r="H576" s="101"/>
      <c r="I576" s="101"/>
      <c r="J576" s="101"/>
      <c r="K576" s="101"/>
      <c r="L576" s="101"/>
      <c r="M576" s="53"/>
      <c r="N576" s="53"/>
      <c r="O576" s="53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</row>
    <row r="577" ht="12.75" customHeight="1">
      <c r="A577" s="101"/>
      <c r="B577" s="54"/>
      <c r="C577" s="102"/>
      <c r="D577" s="101"/>
      <c r="E577" s="101"/>
      <c r="F577" s="101"/>
      <c r="G577" s="101"/>
      <c r="H577" s="101"/>
      <c r="I577" s="101"/>
      <c r="J577" s="101"/>
      <c r="K577" s="101"/>
      <c r="L577" s="101"/>
      <c r="M577" s="53"/>
      <c r="N577" s="53"/>
      <c r="O577" s="53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</row>
    <row r="578" ht="12.75" customHeight="1">
      <c r="A578" s="101"/>
      <c r="B578" s="54"/>
      <c r="C578" s="102"/>
      <c r="D578" s="101"/>
      <c r="E578" s="101"/>
      <c r="F578" s="101"/>
      <c r="G578" s="101"/>
      <c r="H578" s="101"/>
      <c r="I578" s="101"/>
      <c r="J578" s="101"/>
      <c r="K578" s="101"/>
      <c r="L578" s="101"/>
      <c r="M578" s="53"/>
      <c r="N578" s="53"/>
      <c r="O578" s="53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</row>
    <row r="579" ht="12.75" customHeight="1">
      <c r="A579" s="101"/>
      <c r="B579" s="54"/>
      <c r="C579" s="102"/>
      <c r="D579" s="101"/>
      <c r="E579" s="101"/>
      <c r="F579" s="101"/>
      <c r="G579" s="101"/>
      <c r="H579" s="101"/>
      <c r="I579" s="101"/>
      <c r="J579" s="101"/>
      <c r="K579" s="101"/>
      <c r="L579" s="101"/>
      <c r="M579" s="53"/>
      <c r="N579" s="53"/>
      <c r="O579" s="53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</row>
    <row r="580" ht="12.75" customHeight="1">
      <c r="A580" s="101"/>
      <c r="B580" s="54"/>
      <c r="C580" s="102"/>
      <c r="D580" s="101"/>
      <c r="E580" s="101"/>
      <c r="F580" s="101"/>
      <c r="G580" s="101"/>
      <c r="H580" s="101"/>
      <c r="I580" s="101"/>
      <c r="J580" s="101"/>
      <c r="K580" s="101"/>
      <c r="L580" s="101"/>
      <c r="M580" s="53"/>
      <c r="N580" s="53"/>
      <c r="O580" s="53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</row>
    <row r="581" ht="12.75" customHeight="1">
      <c r="A581" s="101"/>
      <c r="B581" s="54"/>
      <c r="C581" s="102"/>
      <c r="D581" s="101"/>
      <c r="E581" s="101"/>
      <c r="F581" s="101"/>
      <c r="G581" s="101"/>
      <c r="H581" s="101"/>
      <c r="I581" s="101"/>
      <c r="J581" s="101"/>
      <c r="K581" s="101"/>
      <c r="L581" s="101"/>
      <c r="M581" s="53"/>
      <c r="N581" s="53"/>
      <c r="O581" s="53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</row>
    <row r="582" ht="12.75" customHeight="1">
      <c r="A582" s="101"/>
      <c r="B582" s="54"/>
      <c r="C582" s="102"/>
      <c r="D582" s="101"/>
      <c r="E582" s="101"/>
      <c r="F582" s="101"/>
      <c r="G582" s="101"/>
      <c r="H582" s="101"/>
      <c r="I582" s="101"/>
      <c r="J582" s="101"/>
      <c r="K582" s="101"/>
      <c r="L582" s="101"/>
      <c r="M582" s="53"/>
      <c r="N582" s="53"/>
      <c r="O582" s="53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</row>
    <row r="583" ht="12.75" customHeight="1">
      <c r="A583" s="101"/>
      <c r="B583" s="54"/>
      <c r="C583" s="102"/>
      <c r="D583" s="101"/>
      <c r="E583" s="101"/>
      <c r="F583" s="101"/>
      <c r="G583" s="101"/>
      <c r="H583" s="101"/>
      <c r="I583" s="101"/>
      <c r="J583" s="101"/>
      <c r="K583" s="101"/>
      <c r="L583" s="101"/>
      <c r="M583" s="53"/>
      <c r="N583" s="53"/>
      <c r="O583" s="53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</row>
    <row r="584" ht="12.75" customHeight="1">
      <c r="A584" s="101"/>
      <c r="B584" s="54"/>
      <c r="C584" s="102"/>
      <c r="D584" s="101"/>
      <c r="E584" s="101"/>
      <c r="F584" s="101"/>
      <c r="G584" s="101"/>
      <c r="H584" s="101"/>
      <c r="I584" s="101"/>
      <c r="J584" s="101"/>
      <c r="K584" s="101"/>
      <c r="L584" s="101"/>
      <c r="M584" s="53"/>
      <c r="N584" s="53"/>
      <c r="O584" s="53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</row>
    <row r="585" ht="12.75" customHeight="1">
      <c r="A585" s="101"/>
      <c r="B585" s="54"/>
      <c r="C585" s="102"/>
      <c r="D585" s="101"/>
      <c r="E585" s="101"/>
      <c r="F585" s="101"/>
      <c r="G585" s="101"/>
      <c r="H585" s="101"/>
      <c r="I585" s="101"/>
      <c r="J585" s="101"/>
      <c r="K585" s="101"/>
      <c r="L585" s="101"/>
      <c r="M585" s="53"/>
      <c r="N585" s="53"/>
      <c r="O585" s="53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</row>
    <row r="586" ht="12.75" customHeight="1">
      <c r="A586" s="101"/>
      <c r="B586" s="54"/>
      <c r="C586" s="102"/>
      <c r="D586" s="101"/>
      <c r="E586" s="101"/>
      <c r="F586" s="101"/>
      <c r="G586" s="101"/>
      <c r="H586" s="101"/>
      <c r="I586" s="101"/>
      <c r="J586" s="101"/>
      <c r="K586" s="101"/>
      <c r="L586" s="101"/>
      <c r="M586" s="53"/>
      <c r="N586" s="53"/>
      <c r="O586" s="53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</row>
    <row r="587" ht="12.75" customHeight="1">
      <c r="A587" s="101"/>
      <c r="B587" s="54"/>
      <c r="C587" s="102"/>
      <c r="D587" s="101"/>
      <c r="E587" s="101"/>
      <c r="F587" s="101"/>
      <c r="G587" s="101"/>
      <c r="H587" s="101"/>
      <c r="I587" s="101"/>
      <c r="J587" s="101"/>
      <c r="K587" s="101"/>
      <c r="L587" s="101"/>
      <c r="M587" s="53"/>
      <c r="N587" s="53"/>
      <c r="O587" s="53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</row>
    <row r="588" ht="12.75" customHeight="1">
      <c r="A588" s="101"/>
      <c r="B588" s="54"/>
      <c r="C588" s="102"/>
      <c r="D588" s="101"/>
      <c r="E588" s="101"/>
      <c r="F588" s="101"/>
      <c r="G588" s="101"/>
      <c r="H588" s="101"/>
      <c r="I588" s="101"/>
      <c r="J588" s="101"/>
      <c r="K588" s="101"/>
      <c r="L588" s="101"/>
      <c r="M588" s="53"/>
      <c r="N588" s="53"/>
      <c r="O588" s="53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</row>
    <row r="589" ht="12.75" customHeight="1">
      <c r="A589" s="101"/>
      <c r="B589" s="54"/>
      <c r="C589" s="102"/>
      <c r="D589" s="101"/>
      <c r="E589" s="101"/>
      <c r="F589" s="101"/>
      <c r="G589" s="101"/>
      <c r="H589" s="101"/>
      <c r="I589" s="101"/>
      <c r="J589" s="101"/>
      <c r="K589" s="101"/>
      <c r="L589" s="101"/>
      <c r="M589" s="53"/>
      <c r="N589" s="53"/>
      <c r="O589" s="53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</row>
    <row r="590" ht="12.75" customHeight="1">
      <c r="A590" s="101"/>
      <c r="B590" s="54"/>
      <c r="C590" s="102"/>
      <c r="D590" s="101"/>
      <c r="E590" s="101"/>
      <c r="F590" s="101"/>
      <c r="G590" s="101"/>
      <c r="H590" s="101"/>
      <c r="I590" s="101"/>
      <c r="J590" s="101"/>
      <c r="K590" s="101"/>
      <c r="L590" s="101"/>
      <c r="M590" s="53"/>
      <c r="N590" s="53"/>
      <c r="O590" s="53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</row>
    <row r="591" ht="12.75" customHeight="1">
      <c r="A591" s="101"/>
      <c r="B591" s="54"/>
      <c r="C591" s="102"/>
      <c r="D591" s="101"/>
      <c r="E591" s="101"/>
      <c r="F591" s="101"/>
      <c r="G591" s="101"/>
      <c r="H591" s="101"/>
      <c r="I591" s="101"/>
      <c r="J591" s="101"/>
      <c r="K591" s="101"/>
      <c r="L591" s="101"/>
      <c r="M591" s="53"/>
      <c r="N591" s="53"/>
      <c r="O591" s="53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</row>
    <row r="592" ht="12.75" customHeight="1">
      <c r="A592" s="101"/>
      <c r="B592" s="54"/>
      <c r="C592" s="102"/>
      <c r="D592" s="101"/>
      <c r="E592" s="101"/>
      <c r="F592" s="101"/>
      <c r="G592" s="101"/>
      <c r="H592" s="101"/>
      <c r="I592" s="101"/>
      <c r="J592" s="101"/>
      <c r="K592" s="101"/>
      <c r="L592" s="101"/>
      <c r="M592" s="53"/>
      <c r="N592" s="53"/>
      <c r="O592" s="53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</row>
    <row r="593" ht="12.75" customHeight="1">
      <c r="A593" s="101"/>
      <c r="B593" s="54"/>
      <c r="C593" s="102"/>
      <c r="D593" s="101"/>
      <c r="E593" s="101"/>
      <c r="F593" s="101"/>
      <c r="G593" s="101"/>
      <c r="H593" s="101"/>
      <c r="I593" s="101"/>
      <c r="J593" s="101"/>
      <c r="K593" s="101"/>
      <c r="L593" s="101"/>
      <c r="M593" s="53"/>
      <c r="N593" s="53"/>
      <c r="O593" s="53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</row>
    <row r="594" ht="12.75" customHeight="1">
      <c r="A594" s="101"/>
      <c r="B594" s="54"/>
      <c r="C594" s="102"/>
      <c r="D594" s="101"/>
      <c r="E594" s="101"/>
      <c r="F594" s="101"/>
      <c r="G594" s="101"/>
      <c r="H594" s="101"/>
      <c r="I594" s="101"/>
      <c r="J594" s="101"/>
      <c r="K594" s="101"/>
      <c r="L594" s="101"/>
      <c r="M594" s="53"/>
      <c r="N594" s="53"/>
      <c r="O594" s="53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</row>
    <row r="595" ht="12.75" customHeight="1">
      <c r="A595" s="101"/>
      <c r="B595" s="54"/>
      <c r="C595" s="102"/>
      <c r="D595" s="101"/>
      <c r="E595" s="101"/>
      <c r="F595" s="101"/>
      <c r="G595" s="101"/>
      <c r="H595" s="101"/>
      <c r="I595" s="101"/>
      <c r="J595" s="101"/>
      <c r="K595" s="101"/>
      <c r="L595" s="101"/>
      <c r="M595" s="53"/>
      <c r="N595" s="53"/>
      <c r="O595" s="53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</row>
    <row r="596" ht="12.75" customHeight="1">
      <c r="A596" s="101"/>
      <c r="B596" s="54"/>
      <c r="C596" s="102"/>
      <c r="D596" s="101"/>
      <c r="E596" s="101"/>
      <c r="F596" s="101"/>
      <c r="G596" s="101"/>
      <c r="H596" s="101"/>
      <c r="I596" s="101"/>
      <c r="J596" s="101"/>
      <c r="K596" s="101"/>
      <c r="L596" s="101"/>
      <c r="M596" s="53"/>
      <c r="N596" s="53"/>
      <c r="O596" s="53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</row>
    <row r="597" ht="12.75" customHeight="1">
      <c r="A597" s="101"/>
      <c r="B597" s="54"/>
      <c r="C597" s="102"/>
      <c r="D597" s="101"/>
      <c r="E597" s="101"/>
      <c r="F597" s="101"/>
      <c r="G597" s="101"/>
      <c r="H597" s="101"/>
      <c r="I597" s="101"/>
      <c r="J597" s="101"/>
      <c r="K597" s="101"/>
      <c r="L597" s="101"/>
      <c r="M597" s="53"/>
      <c r="N597" s="53"/>
      <c r="O597" s="53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</row>
    <row r="598" ht="12.75" customHeight="1">
      <c r="A598" s="101"/>
      <c r="B598" s="54"/>
      <c r="C598" s="102"/>
      <c r="D598" s="101"/>
      <c r="E598" s="101"/>
      <c r="F598" s="101"/>
      <c r="G598" s="101"/>
      <c r="H598" s="101"/>
      <c r="I598" s="101"/>
      <c r="J598" s="101"/>
      <c r="K598" s="101"/>
      <c r="L598" s="101"/>
      <c r="M598" s="53"/>
      <c r="N598" s="53"/>
      <c r="O598" s="53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</row>
    <row r="599" ht="12.75" customHeight="1">
      <c r="A599" s="101"/>
      <c r="B599" s="54"/>
      <c r="C599" s="102"/>
      <c r="D599" s="101"/>
      <c r="E599" s="101"/>
      <c r="F599" s="101"/>
      <c r="G599" s="101"/>
      <c r="H599" s="101"/>
      <c r="I599" s="101"/>
      <c r="J599" s="101"/>
      <c r="K599" s="101"/>
      <c r="L599" s="101"/>
      <c r="M599" s="53"/>
      <c r="N599" s="53"/>
      <c r="O599" s="53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</row>
    <row r="600" ht="12.75" customHeight="1">
      <c r="A600" s="101"/>
      <c r="B600" s="54"/>
      <c r="C600" s="102"/>
      <c r="D600" s="101"/>
      <c r="E600" s="101"/>
      <c r="F600" s="101"/>
      <c r="G600" s="101"/>
      <c r="H600" s="101"/>
      <c r="I600" s="101"/>
      <c r="J600" s="101"/>
      <c r="K600" s="101"/>
      <c r="L600" s="101"/>
      <c r="M600" s="53"/>
      <c r="N600" s="53"/>
      <c r="O600" s="53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</row>
    <row r="601" ht="12.75" customHeight="1">
      <c r="A601" s="101"/>
      <c r="B601" s="54"/>
      <c r="C601" s="102"/>
      <c r="D601" s="101"/>
      <c r="E601" s="101"/>
      <c r="F601" s="101"/>
      <c r="G601" s="101"/>
      <c r="H601" s="101"/>
      <c r="I601" s="101"/>
      <c r="J601" s="101"/>
      <c r="K601" s="101"/>
      <c r="L601" s="101"/>
      <c r="M601" s="53"/>
      <c r="N601" s="53"/>
      <c r="O601" s="53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</row>
    <row r="602" ht="12.75" customHeight="1">
      <c r="A602" s="101"/>
      <c r="B602" s="54"/>
      <c r="C602" s="102"/>
      <c r="D602" s="101"/>
      <c r="E602" s="101"/>
      <c r="F602" s="101"/>
      <c r="G602" s="101"/>
      <c r="H602" s="101"/>
      <c r="I602" s="101"/>
      <c r="J602" s="101"/>
      <c r="K602" s="101"/>
      <c r="L602" s="101"/>
      <c r="M602" s="53"/>
      <c r="N602" s="53"/>
      <c r="O602" s="53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</row>
    <row r="603" ht="12.75" customHeight="1">
      <c r="A603" s="101"/>
      <c r="B603" s="54"/>
      <c r="C603" s="102"/>
      <c r="D603" s="101"/>
      <c r="E603" s="101"/>
      <c r="F603" s="101"/>
      <c r="G603" s="101"/>
      <c r="H603" s="101"/>
      <c r="I603" s="101"/>
      <c r="J603" s="101"/>
      <c r="K603" s="101"/>
      <c r="L603" s="101"/>
      <c r="M603" s="53"/>
      <c r="N603" s="53"/>
      <c r="O603" s="53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</row>
    <row r="604" ht="12.75" customHeight="1">
      <c r="A604" s="101"/>
      <c r="B604" s="54"/>
      <c r="C604" s="102"/>
      <c r="D604" s="101"/>
      <c r="E604" s="101"/>
      <c r="F604" s="101"/>
      <c r="G604" s="101"/>
      <c r="H604" s="101"/>
      <c r="I604" s="101"/>
      <c r="J604" s="101"/>
      <c r="K604" s="101"/>
      <c r="L604" s="101"/>
      <c r="M604" s="53"/>
      <c r="N604" s="53"/>
      <c r="O604" s="53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</row>
    <row r="605" ht="12.75" customHeight="1">
      <c r="A605" s="101"/>
      <c r="B605" s="54"/>
      <c r="C605" s="102"/>
      <c r="D605" s="101"/>
      <c r="E605" s="101"/>
      <c r="F605" s="101"/>
      <c r="G605" s="101"/>
      <c r="H605" s="101"/>
      <c r="I605" s="101"/>
      <c r="J605" s="101"/>
      <c r="K605" s="101"/>
      <c r="L605" s="101"/>
      <c r="M605" s="53"/>
      <c r="N605" s="53"/>
      <c r="O605" s="53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</row>
    <row r="606" ht="12.75" customHeight="1">
      <c r="A606" s="101"/>
      <c r="B606" s="54"/>
      <c r="C606" s="102"/>
      <c r="D606" s="101"/>
      <c r="E606" s="101"/>
      <c r="F606" s="101"/>
      <c r="G606" s="101"/>
      <c r="H606" s="101"/>
      <c r="I606" s="101"/>
      <c r="J606" s="101"/>
      <c r="K606" s="101"/>
      <c r="L606" s="101"/>
      <c r="M606" s="53"/>
      <c r="N606" s="53"/>
      <c r="O606" s="53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</row>
    <row r="607" ht="12.75" customHeight="1">
      <c r="A607" s="101"/>
      <c r="B607" s="54"/>
      <c r="C607" s="102"/>
      <c r="D607" s="101"/>
      <c r="E607" s="101"/>
      <c r="F607" s="101"/>
      <c r="G607" s="101"/>
      <c r="H607" s="101"/>
      <c r="I607" s="101"/>
      <c r="J607" s="101"/>
      <c r="K607" s="101"/>
      <c r="L607" s="101"/>
      <c r="M607" s="53"/>
      <c r="N607" s="53"/>
      <c r="O607" s="53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</row>
    <row r="608" ht="12.75" customHeight="1">
      <c r="A608" s="101"/>
      <c r="B608" s="54"/>
      <c r="C608" s="102"/>
      <c r="D608" s="101"/>
      <c r="E608" s="101"/>
      <c r="F608" s="101"/>
      <c r="G608" s="101"/>
      <c r="H608" s="101"/>
      <c r="I608" s="101"/>
      <c r="J608" s="101"/>
      <c r="K608" s="101"/>
      <c r="L608" s="101"/>
      <c r="M608" s="53"/>
      <c r="N608" s="53"/>
      <c r="O608" s="53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</row>
    <row r="609" ht="12.75" customHeight="1">
      <c r="A609" s="101"/>
      <c r="B609" s="54"/>
      <c r="C609" s="102"/>
      <c r="D609" s="101"/>
      <c r="E609" s="101"/>
      <c r="F609" s="101"/>
      <c r="G609" s="101"/>
      <c r="H609" s="101"/>
      <c r="I609" s="101"/>
      <c r="J609" s="101"/>
      <c r="K609" s="101"/>
      <c r="L609" s="101"/>
      <c r="M609" s="53"/>
      <c r="N609" s="53"/>
      <c r="O609" s="53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</row>
    <row r="610" ht="12.75" customHeight="1">
      <c r="A610" s="101"/>
      <c r="B610" s="54"/>
      <c r="C610" s="102"/>
      <c r="D610" s="101"/>
      <c r="E610" s="101"/>
      <c r="F610" s="101"/>
      <c r="G610" s="101"/>
      <c r="H610" s="101"/>
      <c r="I610" s="101"/>
      <c r="J610" s="101"/>
      <c r="K610" s="101"/>
      <c r="L610" s="101"/>
      <c r="M610" s="53"/>
      <c r="N610" s="53"/>
      <c r="O610" s="53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</row>
    <row r="611" ht="12.75" customHeight="1">
      <c r="A611" s="101"/>
      <c r="B611" s="54"/>
      <c r="C611" s="102"/>
      <c r="D611" s="101"/>
      <c r="E611" s="101"/>
      <c r="F611" s="101"/>
      <c r="G611" s="101"/>
      <c r="H611" s="101"/>
      <c r="I611" s="101"/>
      <c r="J611" s="101"/>
      <c r="K611" s="101"/>
      <c r="L611" s="101"/>
      <c r="M611" s="53"/>
      <c r="N611" s="53"/>
      <c r="O611" s="53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</row>
    <row r="612" ht="12.75" customHeight="1">
      <c r="A612" s="101"/>
      <c r="B612" s="54"/>
      <c r="C612" s="102"/>
      <c r="D612" s="101"/>
      <c r="E612" s="101"/>
      <c r="F612" s="101"/>
      <c r="G612" s="101"/>
      <c r="H612" s="101"/>
      <c r="I612" s="101"/>
      <c r="J612" s="101"/>
      <c r="K612" s="101"/>
      <c r="L612" s="101"/>
      <c r="M612" s="53"/>
      <c r="N612" s="53"/>
      <c r="O612" s="53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</row>
    <row r="613" ht="12.75" customHeight="1">
      <c r="A613" s="101"/>
      <c r="B613" s="54"/>
      <c r="C613" s="102"/>
      <c r="D613" s="101"/>
      <c r="E613" s="101"/>
      <c r="F613" s="101"/>
      <c r="G613" s="101"/>
      <c r="H613" s="101"/>
      <c r="I613" s="101"/>
      <c r="J613" s="101"/>
      <c r="K613" s="101"/>
      <c r="L613" s="101"/>
      <c r="M613" s="53"/>
      <c r="N613" s="53"/>
      <c r="O613" s="53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</row>
    <row r="614" ht="12.75" customHeight="1">
      <c r="A614" s="101"/>
      <c r="B614" s="54"/>
      <c r="C614" s="102"/>
      <c r="D614" s="101"/>
      <c r="E614" s="101"/>
      <c r="F614" s="101"/>
      <c r="G614" s="101"/>
      <c r="H614" s="101"/>
      <c r="I614" s="101"/>
      <c r="J614" s="101"/>
      <c r="K614" s="101"/>
      <c r="L614" s="101"/>
      <c r="M614" s="53"/>
      <c r="N614" s="53"/>
      <c r="O614" s="53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</row>
    <row r="615" ht="12.75" customHeight="1">
      <c r="A615" s="101"/>
      <c r="B615" s="54"/>
      <c r="C615" s="102"/>
      <c r="D615" s="101"/>
      <c r="E615" s="101"/>
      <c r="F615" s="101"/>
      <c r="G615" s="101"/>
      <c r="H615" s="101"/>
      <c r="I615" s="101"/>
      <c r="J615" s="101"/>
      <c r="K615" s="101"/>
      <c r="L615" s="101"/>
      <c r="M615" s="53"/>
      <c r="N615" s="53"/>
      <c r="O615" s="53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</row>
    <row r="616" ht="12.75" customHeight="1">
      <c r="A616" s="101"/>
      <c r="B616" s="54"/>
      <c r="C616" s="102"/>
      <c r="D616" s="101"/>
      <c r="E616" s="101"/>
      <c r="F616" s="101"/>
      <c r="G616" s="101"/>
      <c r="H616" s="101"/>
      <c r="I616" s="101"/>
      <c r="J616" s="101"/>
      <c r="K616" s="101"/>
      <c r="L616" s="101"/>
      <c r="M616" s="53"/>
      <c r="N616" s="53"/>
      <c r="O616" s="53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</row>
    <row r="617" ht="12.75" customHeight="1">
      <c r="A617" s="101"/>
      <c r="B617" s="54"/>
      <c r="C617" s="102"/>
      <c r="D617" s="101"/>
      <c r="E617" s="101"/>
      <c r="F617" s="101"/>
      <c r="G617" s="101"/>
      <c r="H617" s="101"/>
      <c r="I617" s="101"/>
      <c r="J617" s="101"/>
      <c r="K617" s="101"/>
      <c r="L617" s="101"/>
      <c r="M617" s="53"/>
      <c r="N617" s="53"/>
      <c r="O617" s="53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</row>
    <row r="618" ht="12.75" customHeight="1">
      <c r="A618" s="101"/>
      <c r="B618" s="54"/>
      <c r="C618" s="102"/>
      <c r="D618" s="101"/>
      <c r="E618" s="101"/>
      <c r="F618" s="101"/>
      <c r="G618" s="101"/>
      <c r="H618" s="101"/>
      <c r="I618" s="101"/>
      <c r="J618" s="101"/>
      <c r="K618" s="101"/>
      <c r="L618" s="101"/>
      <c r="M618" s="53"/>
      <c r="N618" s="53"/>
      <c r="O618" s="53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</row>
    <row r="619" ht="12.75" customHeight="1">
      <c r="A619" s="101"/>
      <c r="B619" s="54"/>
      <c r="C619" s="102"/>
      <c r="D619" s="101"/>
      <c r="E619" s="101"/>
      <c r="F619" s="101"/>
      <c r="G619" s="101"/>
      <c r="H619" s="101"/>
      <c r="I619" s="101"/>
      <c r="J619" s="101"/>
      <c r="K619" s="101"/>
      <c r="L619" s="101"/>
      <c r="M619" s="53"/>
      <c r="N619" s="53"/>
      <c r="O619" s="53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</row>
    <row r="620" ht="12.75" customHeight="1">
      <c r="A620" s="101"/>
      <c r="B620" s="54"/>
      <c r="C620" s="102"/>
      <c r="D620" s="101"/>
      <c r="E620" s="101"/>
      <c r="F620" s="101"/>
      <c r="G620" s="101"/>
      <c r="H620" s="101"/>
      <c r="I620" s="101"/>
      <c r="J620" s="101"/>
      <c r="K620" s="101"/>
      <c r="L620" s="101"/>
      <c r="M620" s="53"/>
      <c r="N620" s="53"/>
      <c r="O620" s="53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</row>
    <row r="621" ht="12.75" customHeight="1">
      <c r="A621" s="101"/>
      <c r="B621" s="54"/>
      <c r="C621" s="102"/>
      <c r="D621" s="101"/>
      <c r="E621" s="101"/>
      <c r="F621" s="101"/>
      <c r="G621" s="101"/>
      <c r="H621" s="101"/>
      <c r="I621" s="101"/>
      <c r="J621" s="101"/>
      <c r="K621" s="101"/>
      <c r="L621" s="101"/>
      <c r="M621" s="53"/>
      <c r="N621" s="53"/>
      <c r="O621" s="53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</row>
    <row r="622" ht="12.75" customHeight="1">
      <c r="A622" s="101"/>
      <c r="B622" s="54"/>
      <c r="C622" s="102"/>
      <c r="D622" s="101"/>
      <c r="E622" s="101"/>
      <c r="F622" s="101"/>
      <c r="G622" s="101"/>
      <c r="H622" s="101"/>
      <c r="I622" s="101"/>
      <c r="J622" s="101"/>
      <c r="K622" s="101"/>
      <c r="L622" s="101"/>
      <c r="M622" s="53"/>
      <c r="N622" s="53"/>
      <c r="O622" s="53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</row>
    <row r="623" ht="12.75" customHeight="1">
      <c r="A623" s="101"/>
      <c r="B623" s="54"/>
      <c r="C623" s="102"/>
      <c r="D623" s="101"/>
      <c r="E623" s="101"/>
      <c r="F623" s="101"/>
      <c r="G623" s="101"/>
      <c r="H623" s="101"/>
      <c r="I623" s="101"/>
      <c r="J623" s="101"/>
      <c r="K623" s="101"/>
      <c r="L623" s="101"/>
      <c r="M623" s="53"/>
      <c r="N623" s="53"/>
      <c r="O623" s="53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</row>
    <row r="624" ht="12.75" customHeight="1">
      <c r="A624" s="101"/>
      <c r="B624" s="54"/>
      <c r="C624" s="102"/>
      <c r="D624" s="101"/>
      <c r="E624" s="101"/>
      <c r="F624" s="101"/>
      <c r="G624" s="101"/>
      <c r="H624" s="101"/>
      <c r="I624" s="101"/>
      <c r="J624" s="101"/>
      <c r="K624" s="101"/>
      <c r="L624" s="101"/>
      <c r="M624" s="53"/>
      <c r="N624" s="53"/>
      <c r="O624" s="53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</row>
    <row r="625" ht="12.75" customHeight="1">
      <c r="A625" s="101"/>
      <c r="B625" s="54"/>
      <c r="C625" s="102"/>
      <c r="D625" s="101"/>
      <c r="E625" s="101"/>
      <c r="F625" s="101"/>
      <c r="G625" s="101"/>
      <c r="H625" s="101"/>
      <c r="I625" s="101"/>
      <c r="J625" s="101"/>
      <c r="K625" s="101"/>
      <c r="L625" s="101"/>
      <c r="M625" s="53"/>
      <c r="N625" s="53"/>
      <c r="O625" s="53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</row>
    <row r="626" ht="12.75" customHeight="1">
      <c r="A626" s="101"/>
      <c r="B626" s="54"/>
      <c r="C626" s="102"/>
      <c r="D626" s="101"/>
      <c r="E626" s="101"/>
      <c r="F626" s="101"/>
      <c r="G626" s="101"/>
      <c r="H626" s="101"/>
      <c r="I626" s="101"/>
      <c r="J626" s="101"/>
      <c r="K626" s="101"/>
      <c r="L626" s="101"/>
      <c r="M626" s="53"/>
      <c r="N626" s="53"/>
      <c r="O626" s="53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</row>
    <row r="627" ht="12.75" customHeight="1">
      <c r="A627" s="101"/>
      <c r="B627" s="54"/>
      <c r="C627" s="102"/>
      <c r="D627" s="101"/>
      <c r="E627" s="101"/>
      <c r="F627" s="101"/>
      <c r="G627" s="101"/>
      <c r="H627" s="101"/>
      <c r="I627" s="101"/>
      <c r="J627" s="101"/>
      <c r="K627" s="101"/>
      <c r="L627" s="101"/>
      <c r="M627" s="53"/>
      <c r="N627" s="53"/>
      <c r="O627" s="53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</row>
    <row r="628" ht="12.75" customHeight="1">
      <c r="A628" s="101"/>
      <c r="B628" s="54"/>
      <c r="C628" s="102"/>
      <c r="D628" s="101"/>
      <c r="E628" s="101"/>
      <c r="F628" s="101"/>
      <c r="G628" s="101"/>
      <c r="H628" s="101"/>
      <c r="I628" s="101"/>
      <c r="J628" s="101"/>
      <c r="K628" s="101"/>
      <c r="L628" s="101"/>
      <c r="M628" s="53"/>
      <c r="N628" s="53"/>
      <c r="O628" s="53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</row>
    <row r="629" ht="12.75" customHeight="1">
      <c r="A629" s="101"/>
      <c r="B629" s="54"/>
      <c r="C629" s="102"/>
      <c r="D629" s="101"/>
      <c r="E629" s="101"/>
      <c r="F629" s="101"/>
      <c r="G629" s="101"/>
      <c r="H629" s="101"/>
      <c r="I629" s="101"/>
      <c r="J629" s="101"/>
      <c r="K629" s="101"/>
      <c r="L629" s="101"/>
      <c r="M629" s="53"/>
      <c r="N629" s="53"/>
      <c r="O629" s="53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</row>
    <row r="630" ht="12.75" customHeight="1">
      <c r="A630" s="101"/>
      <c r="B630" s="54"/>
      <c r="C630" s="102"/>
      <c r="D630" s="101"/>
      <c r="E630" s="101"/>
      <c r="F630" s="101"/>
      <c r="G630" s="101"/>
      <c r="H630" s="101"/>
      <c r="I630" s="101"/>
      <c r="J630" s="101"/>
      <c r="K630" s="101"/>
      <c r="L630" s="101"/>
      <c r="M630" s="53"/>
      <c r="N630" s="53"/>
      <c r="O630" s="53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</row>
    <row r="631" ht="12.75" customHeight="1">
      <c r="A631" s="101"/>
      <c r="B631" s="54"/>
      <c r="C631" s="102"/>
      <c r="D631" s="101"/>
      <c r="E631" s="101"/>
      <c r="F631" s="101"/>
      <c r="G631" s="101"/>
      <c r="H631" s="101"/>
      <c r="I631" s="101"/>
      <c r="J631" s="101"/>
      <c r="K631" s="101"/>
      <c r="L631" s="101"/>
      <c r="M631" s="53"/>
      <c r="N631" s="53"/>
      <c r="O631" s="53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</row>
    <row r="632" ht="12.75" customHeight="1">
      <c r="A632" s="101"/>
      <c r="B632" s="54"/>
      <c r="C632" s="102"/>
      <c r="D632" s="101"/>
      <c r="E632" s="101"/>
      <c r="F632" s="101"/>
      <c r="G632" s="101"/>
      <c r="H632" s="101"/>
      <c r="I632" s="101"/>
      <c r="J632" s="101"/>
      <c r="K632" s="101"/>
      <c r="L632" s="101"/>
      <c r="M632" s="53"/>
      <c r="N632" s="53"/>
      <c r="O632" s="53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</row>
    <row r="633" ht="12.75" customHeight="1">
      <c r="A633" s="101"/>
      <c r="B633" s="54"/>
      <c r="C633" s="102"/>
      <c r="D633" s="101"/>
      <c r="E633" s="101"/>
      <c r="F633" s="101"/>
      <c r="G633" s="101"/>
      <c r="H633" s="101"/>
      <c r="I633" s="101"/>
      <c r="J633" s="101"/>
      <c r="K633" s="101"/>
      <c r="L633" s="101"/>
      <c r="M633" s="53"/>
      <c r="N633" s="53"/>
      <c r="O633" s="53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</row>
    <row r="634" ht="12.75" customHeight="1">
      <c r="A634" s="101"/>
      <c r="B634" s="54"/>
      <c r="C634" s="102"/>
      <c r="D634" s="101"/>
      <c r="E634" s="101"/>
      <c r="F634" s="101"/>
      <c r="G634" s="101"/>
      <c r="H634" s="101"/>
      <c r="I634" s="101"/>
      <c r="J634" s="101"/>
      <c r="K634" s="101"/>
      <c r="L634" s="101"/>
      <c r="M634" s="53"/>
      <c r="N634" s="53"/>
      <c r="O634" s="53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</row>
    <row r="635" ht="12.75" customHeight="1">
      <c r="A635" s="101"/>
      <c r="B635" s="54"/>
      <c r="C635" s="102"/>
      <c r="D635" s="101"/>
      <c r="E635" s="101"/>
      <c r="F635" s="101"/>
      <c r="G635" s="101"/>
      <c r="H635" s="101"/>
      <c r="I635" s="101"/>
      <c r="J635" s="101"/>
      <c r="K635" s="101"/>
      <c r="L635" s="101"/>
      <c r="M635" s="53"/>
      <c r="N635" s="53"/>
      <c r="O635" s="53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</row>
    <row r="636" ht="12.75" customHeight="1">
      <c r="A636" s="101"/>
      <c r="B636" s="54"/>
      <c r="C636" s="102"/>
      <c r="D636" s="101"/>
      <c r="E636" s="101"/>
      <c r="F636" s="101"/>
      <c r="G636" s="101"/>
      <c r="H636" s="101"/>
      <c r="I636" s="101"/>
      <c r="J636" s="101"/>
      <c r="K636" s="101"/>
      <c r="L636" s="101"/>
      <c r="M636" s="53"/>
      <c r="N636" s="53"/>
      <c r="O636" s="53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</row>
    <row r="637" ht="12.75" customHeight="1">
      <c r="A637" s="101"/>
      <c r="B637" s="54"/>
      <c r="C637" s="102"/>
      <c r="D637" s="101"/>
      <c r="E637" s="101"/>
      <c r="F637" s="101"/>
      <c r="G637" s="101"/>
      <c r="H637" s="101"/>
      <c r="I637" s="101"/>
      <c r="J637" s="101"/>
      <c r="K637" s="101"/>
      <c r="L637" s="101"/>
      <c r="M637" s="53"/>
      <c r="N637" s="53"/>
      <c r="O637" s="53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</row>
    <row r="638" ht="12.75" customHeight="1">
      <c r="A638" s="101"/>
      <c r="B638" s="54"/>
      <c r="C638" s="102"/>
      <c r="D638" s="101"/>
      <c r="E638" s="101"/>
      <c r="F638" s="101"/>
      <c r="G638" s="101"/>
      <c r="H638" s="101"/>
      <c r="I638" s="101"/>
      <c r="J638" s="101"/>
      <c r="K638" s="101"/>
      <c r="L638" s="101"/>
      <c r="M638" s="53"/>
      <c r="N638" s="53"/>
      <c r="O638" s="53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</row>
    <row r="639" ht="12.75" customHeight="1">
      <c r="A639" s="101"/>
      <c r="B639" s="54"/>
      <c r="C639" s="102"/>
      <c r="D639" s="101"/>
      <c r="E639" s="101"/>
      <c r="F639" s="101"/>
      <c r="G639" s="101"/>
      <c r="H639" s="101"/>
      <c r="I639" s="101"/>
      <c r="J639" s="101"/>
      <c r="K639" s="101"/>
      <c r="L639" s="101"/>
      <c r="M639" s="53"/>
      <c r="N639" s="53"/>
      <c r="O639" s="53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</row>
    <row r="640" ht="12.75" customHeight="1">
      <c r="A640" s="101"/>
      <c r="B640" s="54"/>
      <c r="C640" s="102"/>
      <c r="D640" s="101"/>
      <c r="E640" s="101"/>
      <c r="F640" s="101"/>
      <c r="G640" s="101"/>
      <c r="H640" s="101"/>
      <c r="I640" s="101"/>
      <c r="J640" s="101"/>
      <c r="K640" s="101"/>
      <c r="L640" s="101"/>
      <c r="M640" s="53"/>
      <c r="N640" s="53"/>
      <c r="O640" s="53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</row>
    <row r="641" ht="12.75" customHeight="1">
      <c r="A641" s="101"/>
      <c r="B641" s="54"/>
      <c r="C641" s="102"/>
      <c r="D641" s="101"/>
      <c r="E641" s="101"/>
      <c r="F641" s="101"/>
      <c r="G641" s="101"/>
      <c r="H641" s="101"/>
      <c r="I641" s="101"/>
      <c r="J641" s="101"/>
      <c r="K641" s="101"/>
      <c r="L641" s="101"/>
      <c r="M641" s="53"/>
      <c r="N641" s="53"/>
      <c r="O641" s="53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</row>
    <row r="642" ht="12.75" customHeight="1">
      <c r="A642" s="101"/>
      <c r="B642" s="54"/>
      <c r="C642" s="102"/>
      <c r="D642" s="101"/>
      <c r="E642" s="101"/>
      <c r="F642" s="101"/>
      <c r="G642" s="101"/>
      <c r="H642" s="101"/>
      <c r="I642" s="101"/>
      <c r="J642" s="101"/>
      <c r="K642" s="101"/>
      <c r="L642" s="101"/>
      <c r="M642" s="53"/>
      <c r="N642" s="53"/>
      <c r="O642" s="53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</row>
    <row r="643" ht="12.75" customHeight="1">
      <c r="A643" s="101"/>
      <c r="B643" s="54"/>
      <c r="C643" s="102"/>
      <c r="D643" s="101"/>
      <c r="E643" s="101"/>
      <c r="F643" s="101"/>
      <c r="G643" s="101"/>
      <c r="H643" s="101"/>
      <c r="I643" s="101"/>
      <c r="J643" s="101"/>
      <c r="K643" s="101"/>
      <c r="L643" s="101"/>
      <c r="M643" s="53"/>
      <c r="N643" s="53"/>
      <c r="O643" s="53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</row>
    <row r="644" ht="12.75" customHeight="1">
      <c r="A644" s="101"/>
      <c r="B644" s="54"/>
      <c r="C644" s="102"/>
      <c r="D644" s="101"/>
      <c r="E644" s="101"/>
      <c r="F644" s="101"/>
      <c r="G644" s="101"/>
      <c r="H644" s="101"/>
      <c r="I644" s="101"/>
      <c r="J644" s="101"/>
      <c r="K644" s="101"/>
      <c r="L644" s="101"/>
      <c r="M644" s="53"/>
      <c r="N644" s="53"/>
      <c r="O644" s="53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</row>
    <row r="645" ht="12.75" customHeight="1">
      <c r="A645" s="101"/>
      <c r="B645" s="54"/>
      <c r="C645" s="102"/>
      <c r="D645" s="101"/>
      <c r="E645" s="101"/>
      <c r="F645" s="101"/>
      <c r="G645" s="101"/>
      <c r="H645" s="101"/>
      <c r="I645" s="101"/>
      <c r="J645" s="101"/>
      <c r="K645" s="101"/>
      <c r="L645" s="101"/>
      <c r="M645" s="53"/>
      <c r="N645" s="53"/>
      <c r="O645" s="53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</row>
    <row r="646" ht="12.75" customHeight="1">
      <c r="A646" s="101"/>
      <c r="B646" s="54"/>
      <c r="C646" s="102"/>
      <c r="D646" s="101"/>
      <c r="E646" s="101"/>
      <c r="F646" s="101"/>
      <c r="G646" s="101"/>
      <c r="H646" s="101"/>
      <c r="I646" s="101"/>
      <c r="J646" s="101"/>
      <c r="K646" s="101"/>
      <c r="L646" s="101"/>
      <c r="M646" s="53"/>
      <c r="N646" s="53"/>
      <c r="O646" s="53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</row>
    <row r="647" ht="12.75" customHeight="1">
      <c r="A647" s="101"/>
      <c r="B647" s="54"/>
      <c r="C647" s="102"/>
      <c r="D647" s="101"/>
      <c r="E647" s="101"/>
      <c r="F647" s="101"/>
      <c r="G647" s="101"/>
      <c r="H647" s="101"/>
      <c r="I647" s="101"/>
      <c r="J647" s="101"/>
      <c r="K647" s="101"/>
      <c r="L647" s="101"/>
      <c r="M647" s="53"/>
      <c r="N647" s="53"/>
      <c r="O647" s="53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</row>
    <row r="648" ht="12.75" customHeight="1">
      <c r="A648" s="101"/>
      <c r="B648" s="54"/>
      <c r="C648" s="102"/>
      <c r="D648" s="101"/>
      <c r="E648" s="101"/>
      <c r="F648" s="101"/>
      <c r="G648" s="101"/>
      <c r="H648" s="101"/>
      <c r="I648" s="101"/>
      <c r="J648" s="101"/>
      <c r="K648" s="101"/>
      <c r="L648" s="101"/>
      <c r="M648" s="53"/>
      <c r="N648" s="53"/>
      <c r="O648" s="53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</row>
    <row r="649" ht="12.75" customHeight="1">
      <c r="A649" s="101"/>
      <c r="B649" s="54"/>
      <c r="C649" s="102"/>
      <c r="D649" s="101"/>
      <c r="E649" s="101"/>
      <c r="F649" s="101"/>
      <c r="G649" s="101"/>
      <c r="H649" s="101"/>
      <c r="I649" s="101"/>
      <c r="J649" s="101"/>
      <c r="K649" s="101"/>
      <c r="L649" s="101"/>
      <c r="M649" s="53"/>
      <c r="N649" s="53"/>
      <c r="O649" s="53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</row>
    <row r="650" ht="12.75" customHeight="1">
      <c r="A650" s="101"/>
      <c r="B650" s="54"/>
      <c r="C650" s="102"/>
      <c r="D650" s="101"/>
      <c r="E650" s="101"/>
      <c r="F650" s="101"/>
      <c r="G650" s="101"/>
      <c r="H650" s="101"/>
      <c r="I650" s="101"/>
      <c r="J650" s="101"/>
      <c r="K650" s="101"/>
      <c r="L650" s="101"/>
      <c r="M650" s="53"/>
      <c r="N650" s="53"/>
      <c r="O650" s="53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</row>
    <row r="651" ht="12.75" customHeight="1">
      <c r="A651" s="101"/>
      <c r="B651" s="54"/>
      <c r="C651" s="102"/>
      <c r="D651" s="101"/>
      <c r="E651" s="101"/>
      <c r="F651" s="101"/>
      <c r="G651" s="101"/>
      <c r="H651" s="101"/>
      <c r="I651" s="101"/>
      <c r="J651" s="101"/>
      <c r="K651" s="101"/>
      <c r="L651" s="101"/>
      <c r="M651" s="53"/>
      <c r="N651" s="53"/>
      <c r="O651" s="53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</row>
    <row r="652" ht="12.75" customHeight="1">
      <c r="A652" s="101"/>
      <c r="B652" s="54"/>
      <c r="C652" s="102"/>
      <c r="D652" s="101"/>
      <c r="E652" s="101"/>
      <c r="F652" s="101"/>
      <c r="G652" s="101"/>
      <c r="H652" s="101"/>
      <c r="I652" s="101"/>
      <c r="J652" s="101"/>
      <c r="K652" s="101"/>
      <c r="L652" s="101"/>
      <c r="M652" s="53"/>
      <c r="N652" s="53"/>
      <c r="O652" s="53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</row>
    <row r="653" ht="12.75" customHeight="1">
      <c r="A653" s="101"/>
      <c r="B653" s="54"/>
      <c r="C653" s="102"/>
      <c r="D653" s="101"/>
      <c r="E653" s="101"/>
      <c r="F653" s="101"/>
      <c r="G653" s="101"/>
      <c r="H653" s="101"/>
      <c r="I653" s="101"/>
      <c r="J653" s="101"/>
      <c r="K653" s="101"/>
      <c r="L653" s="101"/>
      <c r="M653" s="53"/>
      <c r="N653" s="53"/>
      <c r="O653" s="53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</row>
    <row r="654" ht="12.75" customHeight="1">
      <c r="A654" s="101"/>
      <c r="B654" s="54"/>
      <c r="C654" s="102"/>
      <c r="D654" s="101"/>
      <c r="E654" s="101"/>
      <c r="F654" s="101"/>
      <c r="G654" s="101"/>
      <c r="H654" s="101"/>
      <c r="I654" s="101"/>
      <c r="J654" s="101"/>
      <c r="K654" s="101"/>
      <c r="L654" s="101"/>
      <c r="M654" s="53"/>
      <c r="N654" s="53"/>
      <c r="O654" s="53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</row>
    <row r="655" ht="12.75" customHeight="1">
      <c r="A655" s="101"/>
      <c r="B655" s="54"/>
      <c r="C655" s="102"/>
      <c r="D655" s="101"/>
      <c r="E655" s="101"/>
      <c r="F655" s="101"/>
      <c r="G655" s="101"/>
      <c r="H655" s="101"/>
      <c r="I655" s="101"/>
      <c r="J655" s="101"/>
      <c r="K655" s="101"/>
      <c r="L655" s="101"/>
      <c r="M655" s="53"/>
      <c r="N655" s="53"/>
      <c r="O655" s="53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</row>
    <row r="656" ht="12.75" customHeight="1">
      <c r="A656" s="101"/>
      <c r="B656" s="54"/>
      <c r="C656" s="102"/>
      <c r="D656" s="101"/>
      <c r="E656" s="101"/>
      <c r="F656" s="101"/>
      <c r="G656" s="101"/>
      <c r="H656" s="101"/>
      <c r="I656" s="101"/>
      <c r="J656" s="101"/>
      <c r="K656" s="101"/>
      <c r="L656" s="101"/>
      <c r="M656" s="53"/>
      <c r="N656" s="53"/>
      <c r="O656" s="53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</row>
    <row r="657" ht="12.75" customHeight="1">
      <c r="A657" s="101"/>
      <c r="B657" s="54"/>
      <c r="C657" s="102"/>
      <c r="D657" s="101"/>
      <c r="E657" s="101"/>
      <c r="F657" s="101"/>
      <c r="G657" s="101"/>
      <c r="H657" s="101"/>
      <c r="I657" s="101"/>
      <c r="J657" s="101"/>
      <c r="K657" s="101"/>
      <c r="L657" s="101"/>
      <c r="M657" s="53"/>
      <c r="N657" s="53"/>
      <c r="O657" s="53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</row>
    <row r="658" ht="12.75" customHeight="1">
      <c r="A658" s="101"/>
      <c r="B658" s="54"/>
      <c r="C658" s="102"/>
      <c r="D658" s="101"/>
      <c r="E658" s="101"/>
      <c r="F658" s="101"/>
      <c r="G658" s="101"/>
      <c r="H658" s="101"/>
      <c r="I658" s="101"/>
      <c r="J658" s="101"/>
      <c r="K658" s="101"/>
      <c r="L658" s="101"/>
      <c r="M658" s="53"/>
      <c r="N658" s="53"/>
      <c r="O658" s="53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</row>
    <row r="659" ht="12.75" customHeight="1">
      <c r="A659" s="101"/>
      <c r="B659" s="54"/>
      <c r="C659" s="102"/>
      <c r="D659" s="101"/>
      <c r="E659" s="101"/>
      <c r="F659" s="101"/>
      <c r="G659" s="101"/>
      <c r="H659" s="101"/>
      <c r="I659" s="101"/>
      <c r="J659" s="101"/>
      <c r="K659" s="101"/>
      <c r="L659" s="101"/>
      <c r="M659" s="53"/>
      <c r="N659" s="53"/>
      <c r="O659" s="53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</row>
    <row r="660" ht="12.75" customHeight="1">
      <c r="A660" s="101"/>
      <c r="B660" s="54"/>
      <c r="C660" s="102"/>
      <c r="D660" s="101"/>
      <c r="E660" s="101"/>
      <c r="F660" s="101"/>
      <c r="G660" s="101"/>
      <c r="H660" s="101"/>
      <c r="I660" s="101"/>
      <c r="J660" s="101"/>
      <c r="K660" s="101"/>
      <c r="L660" s="101"/>
      <c r="M660" s="53"/>
      <c r="N660" s="53"/>
      <c r="O660" s="53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</row>
    <row r="661" ht="12.75" customHeight="1">
      <c r="A661" s="101"/>
      <c r="B661" s="54"/>
      <c r="C661" s="102"/>
      <c r="D661" s="101"/>
      <c r="E661" s="101"/>
      <c r="F661" s="101"/>
      <c r="G661" s="101"/>
      <c r="H661" s="101"/>
      <c r="I661" s="101"/>
      <c r="J661" s="101"/>
      <c r="K661" s="101"/>
      <c r="L661" s="101"/>
      <c r="M661" s="53"/>
      <c r="N661" s="53"/>
      <c r="O661" s="53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</row>
    <row r="662" ht="12.75" customHeight="1">
      <c r="A662" s="101"/>
      <c r="B662" s="54"/>
      <c r="C662" s="102"/>
      <c r="D662" s="101"/>
      <c r="E662" s="101"/>
      <c r="F662" s="101"/>
      <c r="G662" s="101"/>
      <c r="H662" s="101"/>
      <c r="I662" s="101"/>
      <c r="J662" s="101"/>
      <c r="K662" s="101"/>
      <c r="L662" s="101"/>
      <c r="M662" s="53"/>
      <c r="N662" s="53"/>
      <c r="O662" s="53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</row>
    <row r="663" ht="12.75" customHeight="1">
      <c r="A663" s="101"/>
      <c r="B663" s="54"/>
      <c r="C663" s="102"/>
      <c r="D663" s="101"/>
      <c r="E663" s="101"/>
      <c r="F663" s="101"/>
      <c r="G663" s="101"/>
      <c r="H663" s="101"/>
      <c r="I663" s="101"/>
      <c r="J663" s="101"/>
      <c r="K663" s="101"/>
      <c r="L663" s="101"/>
      <c r="M663" s="53"/>
      <c r="N663" s="53"/>
      <c r="O663" s="53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</row>
    <row r="664" ht="12.75" customHeight="1">
      <c r="A664" s="101"/>
      <c r="B664" s="54"/>
      <c r="C664" s="102"/>
      <c r="D664" s="101"/>
      <c r="E664" s="101"/>
      <c r="F664" s="101"/>
      <c r="G664" s="101"/>
      <c r="H664" s="101"/>
      <c r="I664" s="101"/>
      <c r="J664" s="101"/>
      <c r="K664" s="101"/>
      <c r="L664" s="101"/>
      <c r="M664" s="53"/>
      <c r="N664" s="53"/>
      <c r="O664" s="53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</row>
    <row r="665" ht="12.75" customHeight="1">
      <c r="A665" s="101"/>
      <c r="B665" s="54"/>
      <c r="C665" s="102"/>
      <c r="D665" s="101"/>
      <c r="E665" s="101"/>
      <c r="F665" s="101"/>
      <c r="G665" s="101"/>
      <c r="H665" s="101"/>
      <c r="I665" s="101"/>
      <c r="J665" s="101"/>
      <c r="K665" s="101"/>
      <c r="L665" s="101"/>
      <c r="M665" s="53"/>
      <c r="N665" s="53"/>
      <c r="O665" s="53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</row>
    <row r="666" ht="12.75" customHeight="1">
      <c r="A666" s="101"/>
      <c r="B666" s="54"/>
      <c r="C666" s="102"/>
      <c r="D666" s="101"/>
      <c r="E666" s="101"/>
      <c r="F666" s="101"/>
      <c r="G666" s="101"/>
      <c r="H666" s="101"/>
      <c r="I666" s="101"/>
      <c r="J666" s="101"/>
      <c r="K666" s="101"/>
      <c r="L666" s="101"/>
      <c r="M666" s="53"/>
      <c r="N666" s="53"/>
      <c r="O666" s="53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</row>
    <row r="667" ht="12.75" customHeight="1">
      <c r="A667" s="101"/>
      <c r="B667" s="54"/>
      <c r="C667" s="102"/>
      <c r="D667" s="101"/>
      <c r="E667" s="101"/>
      <c r="F667" s="101"/>
      <c r="G667" s="101"/>
      <c r="H667" s="101"/>
      <c r="I667" s="101"/>
      <c r="J667" s="101"/>
      <c r="K667" s="101"/>
      <c r="L667" s="101"/>
      <c r="M667" s="53"/>
      <c r="N667" s="53"/>
      <c r="O667" s="53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</row>
    <row r="668" ht="12.75" customHeight="1">
      <c r="A668" s="101"/>
      <c r="B668" s="54"/>
      <c r="C668" s="102"/>
      <c r="D668" s="101"/>
      <c r="E668" s="101"/>
      <c r="F668" s="101"/>
      <c r="G668" s="101"/>
      <c r="H668" s="101"/>
      <c r="I668" s="101"/>
      <c r="J668" s="101"/>
      <c r="K668" s="101"/>
      <c r="L668" s="101"/>
      <c r="M668" s="53"/>
      <c r="N668" s="53"/>
      <c r="O668" s="53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</row>
    <row r="669" ht="12.75" customHeight="1">
      <c r="A669" s="101"/>
      <c r="B669" s="54"/>
      <c r="C669" s="102"/>
      <c r="D669" s="101"/>
      <c r="E669" s="101"/>
      <c r="F669" s="101"/>
      <c r="G669" s="101"/>
      <c r="H669" s="101"/>
      <c r="I669" s="101"/>
      <c r="J669" s="101"/>
      <c r="K669" s="101"/>
      <c r="L669" s="101"/>
      <c r="M669" s="53"/>
      <c r="N669" s="53"/>
      <c r="O669" s="53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</row>
    <row r="670" ht="12.75" customHeight="1">
      <c r="A670" s="101"/>
      <c r="B670" s="54"/>
      <c r="C670" s="102"/>
      <c r="D670" s="101"/>
      <c r="E670" s="101"/>
      <c r="F670" s="101"/>
      <c r="G670" s="101"/>
      <c r="H670" s="101"/>
      <c r="I670" s="101"/>
      <c r="J670" s="101"/>
      <c r="K670" s="101"/>
      <c r="L670" s="101"/>
      <c r="M670" s="53"/>
      <c r="N670" s="53"/>
      <c r="O670" s="53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</row>
    <row r="671" ht="12.75" customHeight="1">
      <c r="A671" s="101"/>
      <c r="B671" s="54"/>
      <c r="C671" s="102"/>
      <c r="D671" s="101"/>
      <c r="E671" s="101"/>
      <c r="F671" s="101"/>
      <c r="G671" s="101"/>
      <c r="H671" s="101"/>
      <c r="I671" s="101"/>
      <c r="J671" s="101"/>
      <c r="K671" s="101"/>
      <c r="L671" s="101"/>
      <c r="M671" s="53"/>
      <c r="N671" s="53"/>
      <c r="O671" s="53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</row>
    <row r="672" ht="12.75" customHeight="1">
      <c r="A672" s="101"/>
      <c r="B672" s="54"/>
      <c r="C672" s="102"/>
      <c r="D672" s="101"/>
      <c r="E672" s="101"/>
      <c r="F672" s="101"/>
      <c r="G672" s="101"/>
      <c r="H672" s="101"/>
      <c r="I672" s="101"/>
      <c r="J672" s="101"/>
      <c r="K672" s="101"/>
      <c r="L672" s="101"/>
      <c r="M672" s="53"/>
      <c r="N672" s="53"/>
      <c r="O672" s="53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</row>
    <row r="673" ht="12.75" customHeight="1">
      <c r="A673" s="101"/>
      <c r="B673" s="54"/>
      <c r="C673" s="102"/>
      <c r="D673" s="101"/>
      <c r="E673" s="101"/>
      <c r="F673" s="101"/>
      <c r="G673" s="101"/>
      <c r="H673" s="101"/>
      <c r="I673" s="101"/>
      <c r="J673" s="101"/>
      <c r="K673" s="101"/>
      <c r="L673" s="101"/>
      <c r="M673" s="53"/>
      <c r="N673" s="53"/>
      <c r="O673" s="53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</row>
    <row r="674" ht="12.75" customHeight="1">
      <c r="A674" s="101"/>
      <c r="B674" s="54"/>
      <c r="C674" s="102"/>
      <c r="D674" s="101"/>
      <c r="E674" s="101"/>
      <c r="F674" s="101"/>
      <c r="G674" s="101"/>
      <c r="H674" s="101"/>
      <c r="I674" s="101"/>
      <c r="J674" s="101"/>
      <c r="K674" s="101"/>
      <c r="L674" s="101"/>
      <c r="M674" s="53"/>
      <c r="N674" s="53"/>
      <c r="O674" s="53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</row>
    <row r="675" ht="12.75" customHeight="1">
      <c r="A675" s="101"/>
      <c r="B675" s="54"/>
      <c r="C675" s="102"/>
      <c r="D675" s="101"/>
      <c r="E675" s="101"/>
      <c r="F675" s="101"/>
      <c r="G675" s="101"/>
      <c r="H675" s="101"/>
      <c r="I675" s="101"/>
      <c r="J675" s="101"/>
      <c r="K675" s="101"/>
      <c r="L675" s="101"/>
      <c r="M675" s="53"/>
      <c r="N675" s="53"/>
      <c r="O675" s="53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</row>
    <row r="676" ht="12.75" customHeight="1">
      <c r="A676" s="101"/>
      <c r="B676" s="54"/>
      <c r="C676" s="102"/>
      <c r="D676" s="101"/>
      <c r="E676" s="101"/>
      <c r="F676" s="101"/>
      <c r="G676" s="101"/>
      <c r="H676" s="101"/>
      <c r="I676" s="101"/>
      <c r="J676" s="101"/>
      <c r="K676" s="101"/>
      <c r="L676" s="101"/>
      <c r="M676" s="53"/>
      <c r="N676" s="53"/>
      <c r="O676" s="53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</row>
    <row r="677" ht="12.75" customHeight="1">
      <c r="A677" s="101"/>
      <c r="B677" s="54"/>
      <c r="C677" s="102"/>
      <c r="D677" s="101"/>
      <c r="E677" s="101"/>
      <c r="F677" s="101"/>
      <c r="G677" s="101"/>
      <c r="H677" s="101"/>
      <c r="I677" s="101"/>
      <c r="J677" s="101"/>
      <c r="K677" s="101"/>
      <c r="L677" s="101"/>
      <c r="M677" s="53"/>
      <c r="N677" s="53"/>
      <c r="O677" s="53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</row>
    <row r="678" ht="12.75" customHeight="1">
      <c r="A678" s="101"/>
      <c r="B678" s="54"/>
      <c r="C678" s="102"/>
      <c r="D678" s="101"/>
      <c r="E678" s="101"/>
      <c r="F678" s="101"/>
      <c r="G678" s="101"/>
      <c r="H678" s="101"/>
      <c r="I678" s="101"/>
      <c r="J678" s="101"/>
      <c r="K678" s="101"/>
      <c r="L678" s="101"/>
      <c r="M678" s="53"/>
      <c r="N678" s="53"/>
      <c r="O678" s="53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</row>
    <row r="679" ht="12.75" customHeight="1">
      <c r="A679" s="101"/>
      <c r="B679" s="54"/>
      <c r="C679" s="102"/>
      <c r="D679" s="101"/>
      <c r="E679" s="101"/>
      <c r="F679" s="101"/>
      <c r="G679" s="101"/>
      <c r="H679" s="101"/>
      <c r="I679" s="101"/>
      <c r="J679" s="101"/>
      <c r="K679" s="101"/>
      <c r="L679" s="101"/>
      <c r="M679" s="53"/>
      <c r="N679" s="53"/>
      <c r="O679" s="53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</row>
    <row r="680" ht="12.75" customHeight="1">
      <c r="A680" s="101"/>
      <c r="B680" s="54"/>
      <c r="C680" s="102"/>
      <c r="D680" s="101"/>
      <c r="E680" s="101"/>
      <c r="F680" s="101"/>
      <c r="G680" s="101"/>
      <c r="H680" s="101"/>
      <c r="I680" s="101"/>
      <c r="J680" s="101"/>
      <c r="K680" s="101"/>
      <c r="L680" s="101"/>
      <c r="M680" s="53"/>
      <c r="N680" s="53"/>
      <c r="O680" s="53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</row>
    <row r="681" ht="12.75" customHeight="1">
      <c r="A681" s="101"/>
      <c r="B681" s="54"/>
      <c r="C681" s="102"/>
      <c r="D681" s="101"/>
      <c r="E681" s="101"/>
      <c r="F681" s="101"/>
      <c r="G681" s="101"/>
      <c r="H681" s="101"/>
      <c r="I681" s="101"/>
      <c r="J681" s="101"/>
      <c r="K681" s="101"/>
      <c r="L681" s="101"/>
      <c r="M681" s="53"/>
      <c r="N681" s="53"/>
      <c r="O681" s="53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</row>
    <row r="682" ht="12.75" customHeight="1">
      <c r="A682" s="101"/>
      <c r="B682" s="54"/>
      <c r="C682" s="102"/>
      <c r="D682" s="101"/>
      <c r="E682" s="101"/>
      <c r="F682" s="101"/>
      <c r="G682" s="101"/>
      <c r="H682" s="101"/>
      <c r="I682" s="101"/>
      <c r="J682" s="101"/>
      <c r="K682" s="101"/>
      <c r="L682" s="101"/>
      <c r="M682" s="53"/>
      <c r="N682" s="53"/>
      <c r="O682" s="53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</row>
    <row r="683" ht="12.75" customHeight="1">
      <c r="A683" s="101"/>
      <c r="B683" s="54"/>
      <c r="C683" s="102"/>
      <c r="D683" s="101"/>
      <c r="E683" s="101"/>
      <c r="F683" s="101"/>
      <c r="G683" s="101"/>
      <c r="H683" s="101"/>
      <c r="I683" s="101"/>
      <c r="J683" s="101"/>
      <c r="K683" s="101"/>
      <c r="L683" s="101"/>
      <c r="M683" s="53"/>
      <c r="N683" s="53"/>
      <c r="O683" s="53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</row>
    <row r="684" ht="12.75" customHeight="1">
      <c r="A684" s="101"/>
      <c r="B684" s="54"/>
      <c r="C684" s="102"/>
      <c r="D684" s="101"/>
      <c r="E684" s="101"/>
      <c r="F684" s="101"/>
      <c r="G684" s="101"/>
      <c r="H684" s="101"/>
      <c r="I684" s="101"/>
      <c r="J684" s="101"/>
      <c r="K684" s="101"/>
      <c r="L684" s="101"/>
      <c r="M684" s="53"/>
      <c r="N684" s="53"/>
      <c r="O684" s="53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</row>
    <row r="685" ht="12.75" customHeight="1">
      <c r="A685" s="101"/>
      <c r="B685" s="54"/>
      <c r="C685" s="102"/>
      <c r="D685" s="101"/>
      <c r="E685" s="101"/>
      <c r="F685" s="101"/>
      <c r="G685" s="101"/>
      <c r="H685" s="101"/>
      <c r="I685" s="101"/>
      <c r="J685" s="101"/>
      <c r="K685" s="101"/>
      <c r="L685" s="101"/>
      <c r="M685" s="53"/>
      <c r="N685" s="53"/>
      <c r="O685" s="53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</row>
    <row r="686" ht="12.75" customHeight="1">
      <c r="A686" s="101"/>
      <c r="B686" s="54"/>
      <c r="C686" s="102"/>
      <c r="D686" s="101"/>
      <c r="E686" s="101"/>
      <c r="F686" s="101"/>
      <c r="G686" s="101"/>
      <c r="H686" s="101"/>
      <c r="I686" s="101"/>
      <c r="J686" s="101"/>
      <c r="K686" s="101"/>
      <c r="L686" s="101"/>
      <c r="M686" s="53"/>
      <c r="N686" s="53"/>
      <c r="O686" s="53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</row>
    <row r="687" ht="12.75" customHeight="1">
      <c r="A687" s="101"/>
      <c r="B687" s="54"/>
      <c r="C687" s="102"/>
      <c r="D687" s="101"/>
      <c r="E687" s="101"/>
      <c r="F687" s="101"/>
      <c r="G687" s="101"/>
      <c r="H687" s="101"/>
      <c r="I687" s="101"/>
      <c r="J687" s="101"/>
      <c r="K687" s="101"/>
      <c r="L687" s="101"/>
      <c r="M687" s="53"/>
      <c r="N687" s="53"/>
      <c r="O687" s="53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</row>
    <row r="688" ht="12.75" customHeight="1">
      <c r="A688" s="101"/>
      <c r="B688" s="54"/>
      <c r="C688" s="102"/>
      <c r="D688" s="101"/>
      <c r="E688" s="101"/>
      <c r="F688" s="101"/>
      <c r="G688" s="101"/>
      <c r="H688" s="101"/>
      <c r="I688" s="101"/>
      <c r="J688" s="101"/>
      <c r="K688" s="101"/>
      <c r="L688" s="101"/>
      <c r="M688" s="53"/>
      <c r="N688" s="53"/>
      <c r="O688" s="53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</row>
    <row r="689" ht="12.75" customHeight="1">
      <c r="A689" s="101"/>
      <c r="B689" s="54"/>
      <c r="C689" s="102"/>
      <c r="D689" s="101"/>
      <c r="E689" s="101"/>
      <c r="F689" s="101"/>
      <c r="G689" s="101"/>
      <c r="H689" s="101"/>
      <c r="I689" s="101"/>
      <c r="J689" s="101"/>
      <c r="K689" s="101"/>
      <c r="L689" s="101"/>
      <c r="M689" s="53"/>
      <c r="N689" s="53"/>
      <c r="O689" s="53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</row>
    <row r="690" ht="12.75" customHeight="1">
      <c r="A690" s="101"/>
      <c r="B690" s="54"/>
      <c r="C690" s="102"/>
      <c r="D690" s="101"/>
      <c r="E690" s="101"/>
      <c r="F690" s="101"/>
      <c r="G690" s="101"/>
      <c r="H690" s="101"/>
      <c r="I690" s="101"/>
      <c r="J690" s="101"/>
      <c r="K690" s="101"/>
      <c r="L690" s="101"/>
      <c r="M690" s="53"/>
      <c r="N690" s="53"/>
      <c r="O690" s="53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</row>
    <row r="691" ht="12.75" customHeight="1">
      <c r="A691" s="101"/>
      <c r="B691" s="54"/>
      <c r="C691" s="102"/>
      <c r="D691" s="101"/>
      <c r="E691" s="101"/>
      <c r="F691" s="101"/>
      <c r="G691" s="101"/>
      <c r="H691" s="101"/>
      <c r="I691" s="101"/>
      <c r="J691" s="101"/>
      <c r="K691" s="101"/>
      <c r="L691" s="101"/>
      <c r="M691" s="53"/>
      <c r="N691" s="53"/>
      <c r="O691" s="53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</row>
    <row r="692" ht="12.75" customHeight="1">
      <c r="A692" s="101"/>
      <c r="B692" s="54"/>
      <c r="C692" s="102"/>
      <c r="D692" s="101"/>
      <c r="E692" s="101"/>
      <c r="F692" s="101"/>
      <c r="G692" s="101"/>
      <c r="H692" s="101"/>
      <c r="I692" s="101"/>
      <c r="J692" s="101"/>
      <c r="K692" s="101"/>
      <c r="L692" s="101"/>
      <c r="M692" s="53"/>
      <c r="N692" s="53"/>
      <c r="O692" s="53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</row>
    <row r="693" ht="12.75" customHeight="1">
      <c r="A693" s="101"/>
      <c r="B693" s="54"/>
      <c r="C693" s="102"/>
      <c r="D693" s="101"/>
      <c r="E693" s="101"/>
      <c r="F693" s="101"/>
      <c r="G693" s="101"/>
      <c r="H693" s="101"/>
      <c r="I693" s="101"/>
      <c r="J693" s="101"/>
      <c r="K693" s="101"/>
      <c r="L693" s="101"/>
      <c r="M693" s="53"/>
      <c r="N693" s="53"/>
      <c r="O693" s="53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</row>
    <row r="694" ht="12.75" customHeight="1">
      <c r="A694" s="101"/>
      <c r="B694" s="54"/>
      <c r="C694" s="102"/>
      <c r="D694" s="101"/>
      <c r="E694" s="101"/>
      <c r="F694" s="101"/>
      <c r="G694" s="101"/>
      <c r="H694" s="101"/>
      <c r="I694" s="101"/>
      <c r="J694" s="101"/>
      <c r="K694" s="101"/>
      <c r="L694" s="101"/>
      <c r="M694" s="53"/>
      <c r="N694" s="53"/>
      <c r="O694" s="53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</row>
    <row r="695" ht="12.75" customHeight="1">
      <c r="A695" s="101"/>
      <c r="B695" s="54"/>
      <c r="C695" s="102"/>
      <c r="D695" s="101"/>
      <c r="E695" s="101"/>
      <c r="F695" s="101"/>
      <c r="G695" s="101"/>
      <c r="H695" s="101"/>
      <c r="I695" s="101"/>
      <c r="J695" s="101"/>
      <c r="K695" s="101"/>
      <c r="L695" s="101"/>
      <c r="M695" s="53"/>
      <c r="N695" s="53"/>
      <c r="O695" s="53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</row>
    <row r="696" ht="12.75" customHeight="1">
      <c r="A696" s="101"/>
      <c r="B696" s="54"/>
      <c r="C696" s="102"/>
      <c r="D696" s="101"/>
      <c r="E696" s="101"/>
      <c r="F696" s="101"/>
      <c r="G696" s="101"/>
      <c r="H696" s="101"/>
      <c r="I696" s="101"/>
      <c r="J696" s="101"/>
      <c r="K696" s="101"/>
      <c r="L696" s="101"/>
      <c r="M696" s="53"/>
      <c r="N696" s="53"/>
      <c r="O696" s="53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</row>
    <row r="697" ht="12.75" customHeight="1">
      <c r="A697" s="101"/>
      <c r="B697" s="54"/>
      <c r="C697" s="102"/>
      <c r="D697" s="101"/>
      <c r="E697" s="101"/>
      <c r="F697" s="101"/>
      <c r="G697" s="101"/>
      <c r="H697" s="101"/>
      <c r="I697" s="101"/>
      <c r="J697" s="101"/>
      <c r="K697" s="101"/>
      <c r="L697" s="101"/>
      <c r="M697" s="53"/>
      <c r="N697" s="53"/>
      <c r="O697" s="53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</row>
    <row r="698" ht="12.75" customHeight="1">
      <c r="A698" s="101"/>
      <c r="B698" s="54"/>
      <c r="C698" s="102"/>
      <c r="D698" s="101"/>
      <c r="E698" s="101"/>
      <c r="F698" s="101"/>
      <c r="G698" s="101"/>
      <c r="H698" s="101"/>
      <c r="I698" s="101"/>
      <c r="J698" s="101"/>
      <c r="K698" s="101"/>
      <c r="L698" s="101"/>
      <c r="M698" s="53"/>
      <c r="N698" s="53"/>
      <c r="O698" s="53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</row>
    <row r="699" ht="12.75" customHeight="1">
      <c r="A699" s="101"/>
      <c r="B699" s="54"/>
      <c r="C699" s="102"/>
      <c r="D699" s="101"/>
      <c r="E699" s="101"/>
      <c r="F699" s="101"/>
      <c r="G699" s="101"/>
      <c r="H699" s="101"/>
      <c r="I699" s="101"/>
      <c r="J699" s="101"/>
      <c r="K699" s="101"/>
      <c r="L699" s="101"/>
      <c r="M699" s="53"/>
      <c r="N699" s="53"/>
      <c r="O699" s="53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</row>
    <row r="700" ht="12.75" customHeight="1">
      <c r="A700" s="101"/>
      <c r="B700" s="54"/>
      <c r="C700" s="102"/>
      <c r="D700" s="101"/>
      <c r="E700" s="101"/>
      <c r="F700" s="101"/>
      <c r="G700" s="101"/>
      <c r="H700" s="101"/>
      <c r="I700" s="101"/>
      <c r="J700" s="101"/>
      <c r="K700" s="101"/>
      <c r="L700" s="101"/>
      <c r="M700" s="53"/>
      <c r="N700" s="53"/>
      <c r="O700" s="53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</row>
    <row r="701" ht="12.75" customHeight="1">
      <c r="A701" s="101"/>
      <c r="B701" s="54"/>
      <c r="C701" s="102"/>
      <c r="D701" s="101"/>
      <c r="E701" s="101"/>
      <c r="F701" s="101"/>
      <c r="G701" s="101"/>
      <c r="H701" s="101"/>
      <c r="I701" s="101"/>
      <c r="J701" s="101"/>
      <c r="K701" s="101"/>
      <c r="L701" s="101"/>
      <c r="M701" s="53"/>
      <c r="N701" s="53"/>
      <c r="O701" s="53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</row>
    <row r="702" ht="12.75" customHeight="1">
      <c r="A702" s="101"/>
      <c r="B702" s="54"/>
      <c r="C702" s="102"/>
      <c r="D702" s="101"/>
      <c r="E702" s="101"/>
      <c r="F702" s="101"/>
      <c r="G702" s="101"/>
      <c r="H702" s="101"/>
      <c r="I702" s="101"/>
      <c r="J702" s="101"/>
      <c r="K702" s="101"/>
      <c r="L702" s="101"/>
      <c r="M702" s="53"/>
      <c r="N702" s="53"/>
      <c r="O702" s="53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</row>
    <row r="703" ht="12.75" customHeight="1">
      <c r="A703" s="101"/>
      <c r="B703" s="54"/>
      <c r="C703" s="102"/>
      <c r="D703" s="101"/>
      <c r="E703" s="101"/>
      <c r="F703" s="101"/>
      <c r="G703" s="101"/>
      <c r="H703" s="101"/>
      <c r="I703" s="101"/>
      <c r="J703" s="101"/>
      <c r="K703" s="101"/>
      <c r="L703" s="101"/>
      <c r="M703" s="53"/>
      <c r="N703" s="53"/>
      <c r="O703" s="53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</row>
    <row r="704" ht="12.75" customHeight="1">
      <c r="A704" s="101"/>
      <c r="B704" s="54"/>
      <c r="C704" s="102"/>
      <c r="D704" s="101"/>
      <c r="E704" s="101"/>
      <c r="F704" s="101"/>
      <c r="G704" s="101"/>
      <c r="H704" s="101"/>
      <c r="I704" s="101"/>
      <c r="J704" s="101"/>
      <c r="K704" s="101"/>
      <c r="L704" s="101"/>
      <c r="M704" s="53"/>
      <c r="N704" s="53"/>
      <c r="O704" s="53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</row>
    <row r="705" ht="12.75" customHeight="1">
      <c r="A705" s="101"/>
      <c r="B705" s="54"/>
      <c r="C705" s="102"/>
      <c r="D705" s="101"/>
      <c r="E705" s="101"/>
      <c r="F705" s="101"/>
      <c r="G705" s="101"/>
      <c r="H705" s="101"/>
      <c r="I705" s="101"/>
      <c r="J705" s="101"/>
      <c r="K705" s="101"/>
      <c r="L705" s="101"/>
      <c r="M705" s="53"/>
      <c r="N705" s="53"/>
      <c r="O705" s="53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</row>
    <row r="706" ht="12.75" customHeight="1">
      <c r="A706" s="101"/>
      <c r="B706" s="54"/>
      <c r="C706" s="102"/>
      <c r="D706" s="101"/>
      <c r="E706" s="101"/>
      <c r="F706" s="101"/>
      <c r="G706" s="101"/>
      <c r="H706" s="101"/>
      <c r="I706" s="101"/>
      <c r="J706" s="101"/>
      <c r="K706" s="101"/>
      <c r="L706" s="101"/>
      <c r="M706" s="53"/>
      <c r="N706" s="53"/>
      <c r="O706" s="53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</row>
    <row r="707" ht="12.75" customHeight="1">
      <c r="A707" s="101"/>
      <c r="B707" s="54"/>
      <c r="C707" s="102"/>
      <c r="D707" s="101"/>
      <c r="E707" s="101"/>
      <c r="F707" s="101"/>
      <c r="G707" s="101"/>
      <c r="H707" s="101"/>
      <c r="I707" s="101"/>
      <c r="J707" s="101"/>
      <c r="K707" s="101"/>
      <c r="L707" s="101"/>
      <c r="M707" s="53"/>
      <c r="N707" s="53"/>
      <c r="O707" s="53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</row>
    <row r="708" ht="12.75" customHeight="1">
      <c r="A708" s="101"/>
      <c r="B708" s="54"/>
      <c r="C708" s="102"/>
      <c r="D708" s="101"/>
      <c r="E708" s="101"/>
      <c r="F708" s="101"/>
      <c r="G708" s="101"/>
      <c r="H708" s="101"/>
      <c r="I708" s="101"/>
      <c r="J708" s="101"/>
      <c r="K708" s="101"/>
      <c r="L708" s="101"/>
      <c r="M708" s="53"/>
      <c r="N708" s="53"/>
      <c r="O708" s="53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</row>
    <row r="709" ht="12.75" customHeight="1">
      <c r="A709" s="101"/>
      <c r="B709" s="54"/>
      <c r="C709" s="102"/>
      <c r="D709" s="101"/>
      <c r="E709" s="101"/>
      <c r="F709" s="101"/>
      <c r="G709" s="101"/>
      <c r="H709" s="101"/>
      <c r="I709" s="101"/>
      <c r="J709" s="101"/>
      <c r="K709" s="101"/>
      <c r="L709" s="101"/>
      <c r="M709" s="53"/>
      <c r="N709" s="53"/>
      <c r="O709" s="53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</row>
    <row r="710" ht="12.75" customHeight="1">
      <c r="A710" s="101"/>
      <c r="B710" s="54"/>
      <c r="C710" s="102"/>
      <c r="D710" s="101"/>
      <c r="E710" s="101"/>
      <c r="F710" s="101"/>
      <c r="G710" s="101"/>
      <c r="H710" s="101"/>
      <c r="I710" s="101"/>
      <c r="J710" s="101"/>
      <c r="K710" s="101"/>
      <c r="L710" s="101"/>
      <c r="M710" s="53"/>
      <c r="N710" s="53"/>
      <c r="O710" s="53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</row>
    <row r="711" ht="12.75" customHeight="1">
      <c r="A711" s="101"/>
      <c r="B711" s="54"/>
      <c r="C711" s="102"/>
      <c r="D711" s="101"/>
      <c r="E711" s="101"/>
      <c r="F711" s="101"/>
      <c r="G711" s="101"/>
      <c r="H711" s="101"/>
      <c r="I711" s="101"/>
      <c r="J711" s="101"/>
      <c r="K711" s="101"/>
      <c r="L711" s="101"/>
      <c r="M711" s="53"/>
      <c r="N711" s="53"/>
      <c r="O711" s="53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</row>
    <row r="712" ht="12.75" customHeight="1">
      <c r="A712" s="101"/>
      <c r="B712" s="54"/>
      <c r="C712" s="102"/>
      <c r="D712" s="101"/>
      <c r="E712" s="101"/>
      <c r="F712" s="101"/>
      <c r="G712" s="101"/>
      <c r="H712" s="101"/>
      <c r="I712" s="101"/>
      <c r="J712" s="101"/>
      <c r="K712" s="101"/>
      <c r="L712" s="101"/>
      <c r="M712" s="53"/>
      <c r="N712" s="53"/>
      <c r="O712" s="53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</row>
    <row r="713" ht="12.75" customHeight="1">
      <c r="A713" s="101"/>
      <c r="B713" s="54"/>
      <c r="C713" s="102"/>
      <c r="D713" s="101"/>
      <c r="E713" s="101"/>
      <c r="F713" s="101"/>
      <c r="G713" s="101"/>
      <c r="H713" s="101"/>
      <c r="I713" s="101"/>
      <c r="J713" s="101"/>
      <c r="K713" s="101"/>
      <c r="L713" s="101"/>
      <c r="M713" s="53"/>
      <c r="N713" s="53"/>
      <c r="O713" s="53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</row>
    <row r="714" ht="12.75" customHeight="1">
      <c r="A714" s="101"/>
      <c r="B714" s="54"/>
      <c r="C714" s="102"/>
      <c r="D714" s="101"/>
      <c r="E714" s="101"/>
      <c r="F714" s="101"/>
      <c r="G714" s="101"/>
      <c r="H714" s="101"/>
      <c r="I714" s="101"/>
      <c r="J714" s="101"/>
      <c r="K714" s="101"/>
      <c r="L714" s="101"/>
      <c r="M714" s="53"/>
      <c r="N714" s="53"/>
      <c r="O714" s="53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</row>
    <row r="715" ht="12.75" customHeight="1">
      <c r="A715" s="101"/>
      <c r="B715" s="54"/>
      <c r="C715" s="102"/>
      <c r="D715" s="101"/>
      <c r="E715" s="101"/>
      <c r="F715" s="101"/>
      <c r="G715" s="101"/>
      <c r="H715" s="101"/>
      <c r="I715" s="101"/>
      <c r="J715" s="101"/>
      <c r="K715" s="101"/>
      <c r="L715" s="101"/>
      <c r="M715" s="53"/>
      <c r="N715" s="53"/>
      <c r="O715" s="53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</row>
    <row r="716" ht="12.75" customHeight="1">
      <c r="A716" s="101"/>
      <c r="B716" s="54"/>
      <c r="C716" s="102"/>
      <c r="D716" s="101"/>
      <c r="E716" s="101"/>
      <c r="F716" s="101"/>
      <c r="G716" s="101"/>
      <c r="H716" s="101"/>
      <c r="I716" s="101"/>
      <c r="J716" s="101"/>
      <c r="K716" s="101"/>
      <c r="L716" s="101"/>
      <c r="M716" s="53"/>
      <c r="N716" s="53"/>
      <c r="O716" s="53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</row>
    <row r="717" ht="12.75" customHeight="1">
      <c r="A717" s="101"/>
      <c r="B717" s="54"/>
      <c r="C717" s="102"/>
      <c r="D717" s="101"/>
      <c r="E717" s="101"/>
      <c r="F717" s="101"/>
      <c r="G717" s="101"/>
      <c r="H717" s="101"/>
      <c r="I717" s="101"/>
      <c r="J717" s="101"/>
      <c r="K717" s="101"/>
      <c r="L717" s="101"/>
      <c r="M717" s="53"/>
      <c r="N717" s="53"/>
      <c r="O717" s="53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</row>
    <row r="718" ht="12.75" customHeight="1">
      <c r="A718" s="101"/>
      <c r="B718" s="54"/>
      <c r="C718" s="102"/>
      <c r="D718" s="101"/>
      <c r="E718" s="101"/>
      <c r="F718" s="101"/>
      <c r="G718" s="101"/>
      <c r="H718" s="101"/>
      <c r="I718" s="101"/>
      <c r="J718" s="101"/>
      <c r="K718" s="101"/>
      <c r="L718" s="101"/>
      <c r="M718" s="53"/>
      <c r="N718" s="53"/>
      <c r="O718" s="53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</row>
    <row r="719" ht="12.75" customHeight="1">
      <c r="A719" s="101"/>
      <c r="B719" s="54"/>
      <c r="C719" s="102"/>
      <c r="D719" s="101"/>
      <c r="E719" s="101"/>
      <c r="F719" s="101"/>
      <c r="G719" s="101"/>
      <c r="H719" s="101"/>
      <c r="I719" s="101"/>
      <c r="J719" s="101"/>
      <c r="K719" s="101"/>
      <c r="L719" s="101"/>
      <c r="M719" s="53"/>
      <c r="N719" s="53"/>
      <c r="O719" s="53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</row>
    <row r="720" ht="12.75" customHeight="1">
      <c r="A720" s="101"/>
      <c r="B720" s="54"/>
      <c r="C720" s="102"/>
      <c r="D720" s="101"/>
      <c r="E720" s="101"/>
      <c r="F720" s="101"/>
      <c r="G720" s="101"/>
      <c r="H720" s="101"/>
      <c r="I720" s="101"/>
      <c r="J720" s="101"/>
      <c r="K720" s="101"/>
      <c r="L720" s="101"/>
      <c r="M720" s="53"/>
      <c r="N720" s="53"/>
      <c r="O720" s="53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</row>
    <row r="721" ht="12.75" customHeight="1">
      <c r="A721" s="101"/>
      <c r="B721" s="54"/>
      <c r="C721" s="102"/>
      <c r="D721" s="101"/>
      <c r="E721" s="101"/>
      <c r="F721" s="101"/>
      <c r="G721" s="101"/>
      <c r="H721" s="101"/>
      <c r="I721" s="101"/>
      <c r="J721" s="101"/>
      <c r="K721" s="101"/>
      <c r="L721" s="101"/>
      <c r="M721" s="53"/>
      <c r="N721" s="53"/>
      <c r="O721" s="53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</row>
    <row r="722" ht="12.75" customHeight="1">
      <c r="A722" s="101"/>
      <c r="B722" s="54"/>
      <c r="C722" s="102"/>
      <c r="D722" s="101"/>
      <c r="E722" s="101"/>
      <c r="F722" s="101"/>
      <c r="G722" s="101"/>
      <c r="H722" s="101"/>
      <c r="I722" s="101"/>
      <c r="J722" s="101"/>
      <c r="K722" s="101"/>
      <c r="L722" s="101"/>
      <c r="M722" s="53"/>
      <c r="N722" s="53"/>
      <c r="O722" s="53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</row>
    <row r="723" ht="12.75" customHeight="1">
      <c r="A723" s="101"/>
      <c r="B723" s="54"/>
      <c r="C723" s="102"/>
      <c r="D723" s="101"/>
      <c r="E723" s="101"/>
      <c r="F723" s="101"/>
      <c r="G723" s="101"/>
      <c r="H723" s="101"/>
      <c r="I723" s="101"/>
      <c r="J723" s="101"/>
      <c r="K723" s="101"/>
      <c r="L723" s="101"/>
      <c r="M723" s="53"/>
      <c r="N723" s="53"/>
      <c r="O723" s="53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</row>
    <row r="724" ht="12.75" customHeight="1">
      <c r="A724" s="101"/>
      <c r="B724" s="54"/>
      <c r="C724" s="102"/>
      <c r="D724" s="101"/>
      <c r="E724" s="101"/>
      <c r="F724" s="101"/>
      <c r="G724" s="101"/>
      <c r="H724" s="101"/>
      <c r="I724" s="101"/>
      <c r="J724" s="101"/>
      <c r="K724" s="101"/>
      <c r="L724" s="101"/>
      <c r="M724" s="53"/>
      <c r="N724" s="53"/>
      <c r="O724" s="53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</row>
    <row r="725" ht="12.75" customHeight="1">
      <c r="A725" s="101"/>
      <c r="B725" s="54"/>
      <c r="C725" s="102"/>
      <c r="D725" s="101"/>
      <c r="E725" s="101"/>
      <c r="F725" s="101"/>
      <c r="G725" s="101"/>
      <c r="H725" s="101"/>
      <c r="I725" s="101"/>
      <c r="J725" s="101"/>
      <c r="K725" s="101"/>
      <c r="L725" s="101"/>
      <c r="M725" s="53"/>
      <c r="N725" s="53"/>
      <c r="O725" s="53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</row>
    <row r="726" ht="12.75" customHeight="1">
      <c r="A726" s="101"/>
      <c r="B726" s="54"/>
      <c r="C726" s="102"/>
      <c r="D726" s="101"/>
      <c r="E726" s="101"/>
      <c r="F726" s="101"/>
      <c r="G726" s="101"/>
      <c r="H726" s="101"/>
      <c r="I726" s="101"/>
      <c r="J726" s="101"/>
      <c r="K726" s="101"/>
      <c r="L726" s="101"/>
      <c r="M726" s="53"/>
      <c r="N726" s="53"/>
      <c r="O726" s="53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</row>
    <row r="727" ht="12.75" customHeight="1">
      <c r="A727" s="101"/>
      <c r="B727" s="54"/>
      <c r="C727" s="102"/>
      <c r="D727" s="101"/>
      <c r="E727" s="101"/>
      <c r="F727" s="101"/>
      <c r="G727" s="101"/>
      <c r="H727" s="101"/>
      <c r="I727" s="101"/>
      <c r="J727" s="101"/>
      <c r="K727" s="101"/>
      <c r="L727" s="101"/>
      <c r="M727" s="53"/>
      <c r="N727" s="53"/>
      <c r="O727" s="53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</row>
    <row r="728" ht="12.75" customHeight="1">
      <c r="A728" s="101"/>
      <c r="B728" s="54"/>
      <c r="C728" s="102"/>
      <c r="D728" s="101"/>
      <c r="E728" s="101"/>
      <c r="F728" s="101"/>
      <c r="G728" s="101"/>
      <c r="H728" s="101"/>
      <c r="I728" s="101"/>
      <c r="J728" s="101"/>
      <c r="K728" s="101"/>
      <c r="L728" s="101"/>
      <c r="M728" s="53"/>
      <c r="N728" s="53"/>
      <c r="O728" s="53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</row>
    <row r="729" ht="12.75" customHeight="1">
      <c r="A729" s="101"/>
      <c r="B729" s="54"/>
      <c r="C729" s="102"/>
      <c r="D729" s="101"/>
      <c r="E729" s="101"/>
      <c r="F729" s="101"/>
      <c r="G729" s="101"/>
      <c r="H729" s="101"/>
      <c r="I729" s="101"/>
      <c r="J729" s="101"/>
      <c r="K729" s="101"/>
      <c r="L729" s="101"/>
      <c r="M729" s="53"/>
      <c r="N729" s="53"/>
      <c r="O729" s="53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</row>
    <row r="730" ht="12.75" customHeight="1">
      <c r="A730" s="101"/>
      <c r="B730" s="54"/>
      <c r="C730" s="102"/>
      <c r="D730" s="101"/>
      <c r="E730" s="101"/>
      <c r="F730" s="101"/>
      <c r="G730" s="101"/>
      <c r="H730" s="101"/>
      <c r="I730" s="101"/>
      <c r="J730" s="101"/>
      <c r="K730" s="101"/>
      <c r="L730" s="101"/>
      <c r="M730" s="53"/>
      <c r="N730" s="53"/>
      <c r="O730" s="53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</row>
    <row r="731" ht="12.75" customHeight="1">
      <c r="A731" s="101"/>
      <c r="B731" s="54"/>
      <c r="C731" s="102"/>
      <c r="D731" s="101"/>
      <c r="E731" s="101"/>
      <c r="F731" s="101"/>
      <c r="G731" s="101"/>
      <c r="H731" s="101"/>
      <c r="I731" s="101"/>
      <c r="J731" s="101"/>
      <c r="K731" s="101"/>
      <c r="L731" s="101"/>
      <c r="M731" s="53"/>
      <c r="N731" s="53"/>
      <c r="O731" s="53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</row>
    <row r="732" ht="12.75" customHeight="1">
      <c r="A732" s="101"/>
      <c r="B732" s="54"/>
      <c r="C732" s="102"/>
      <c r="D732" s="101"/>
      <c r="E732" s="101"/>
      <c r="F732" s="101"/>
      <c r="G732" s="101"/>
      <c r="H732" s="101"/>
      <c r="I732" s="101"/>
      <c r="J732" s="101"/>
      <c r="K732" s="101"/>
      <c r="L732" s="101"/>
      <c r="M732" s="53"/>
      <c r="N732" s="53"/>
      <c r="O732" s="53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</row>
    <row r="733" ht="12.75" customHeight="1">
      <c r="A733" s="101"/>
      <c r="B733" s="54"/>
      <c r="C733" s="102"/>
      <c r="D733" s="101"/>
      <c r="E733" s="101"/>
      <c r="F733" s="101"/>
      <c r="G733" s="101"/>
      <c r="H733" s="101"/>
      <c r="I733" s="101"/>
      <c r="J733" s="101"/>
      <c r="K733" s="101"/>
      <c r="L733" s="101"/>
      <c r="M733" s="53"/>
      <c r="N733" s="53"/>
      <c r="O733" s="53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</row>
    <row r="734" ht="12.75" customHeight="1">
      <c r="A734" s="101"/>
      <c r="B734" s="54"/>
      <c r="C734" s="102"/>
      <c r="D734" s="101"/>
      <c r="E734" s="101"/>
      <c r="F734" s="101"/>
      <c r="G734" s="101"/>
      <c r="H734" s="101"/>
      <c r="I734" s="101"/>
      <c r="J734" s="101"/>
      <c r="K734" s="101"/>
      <c r="L734" s="101"/>
      <c r="M734" s="53"/>
      <c r="N734" s="53"/>
      <c r="O734" s="53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</row>
    <row r="735" ht="12.75" customHeight="1">
      <c r="A735" s="101"/>
      <c r="B735" s="54"/>
      <c r="C735" s="102"/>
      <c r="D735" s="101"/>
      <c r="E735" s="101"/>
      <c r="F735" s="101"/>
      <c r="G735" s="101"/>
      <c r="H735" s="101"/>
      <c r="I735" s="101"/>
      <c r="J735" s="101"/>
      <c r="K735" s="101"/>
      <c r="L735" s="101"/>
      <c r="M735" s="53"/>
      <c r="N735" s="53"/>
      <c r="O735" s="53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</row>
    <row r="736" ht="12.75" customHeight="1">
      <c r="A736" s="101"/>
      <c r="B736" s="54"/>
      <c r="C736" s="102"/>
      <c r="D736" s="101"/>
      <c r="E736" s="101"/>
      <c r="F736" s="101"/>
      <c r="G736" s="101"/>
      <c r="H736" s="101"/>
      <c r="I736" s="101"/>
      <c r="J736" s="101"/>
      <c r="K736" s="101"/>
      <c r="L736" s="101"/>
      <c r="M736" s="53"/>
      <c r="N736" s="53"/>
      <c r="O736" s="53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</row>
    <row r="737" ht="12.75" customHeight="1">
      <c r="A737" s="101"/>
      <c r="B737" s="54"/>
      <c r="C737" s="102"/>
      <c r="D737" s="101"/>
      <c r="E737" s="101"/>
      <c r="F737" s="101"/>
      <c r="G737" s="101"/>
      <c r="H737" s="101"/>
      <c r="I737" s="101"/>
      <c r="J737" s="101"/>
      <c r="K737" s="101"/>
      <c r="L737" s="101"/>
      <c r="M737" s="53"/>
      <c r="N737" s="53"/>
      <c r="O737" s="53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</row>
    <row r="738" ht="12.75" customHeight="1">
      <c r="A738" s="101"/>
      <c r="B738" s="54"/>
      <c r="C738" s="102"/>
      <c r="D738" s="101"/>
      <c r="E738" s="101"/>
      <c r="F738" s="101"/>
      <c r="G738" s="101"/>
      <c r="H738" s="101"/>
      <c r="I738" s="101"/>
      <c r="J738" s="101"/>
      <c r="K738" s="101"/>
      <c r="L738" s="101"/>
      <c r="M738" s="53"/>
      <c r="N738" s="53"/>
      <c r="O738" s="53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</row>
    <row r="739" ht="12.75" customHeight="1">
      <c r="A739" s="101"/>
      <c r="B739" s="54"/>
      <c r="C739" s="102"/>
      <c r="D739" s="101"/>
      <c r="E739" s="101"/>
      <c r="F739" s="101"/>
      <c r="G739" s="101"/>
      <c r="H739" s="101"/>
      <c r="I739" s="101"/>
      <c r="J739" s="101"/>
      <c r="K739" s="101"/>
      <c r="L739" s="101"/>
      <c r="M739" s="53"/>
      <c r="N739" s="53"/>
      <c r="O739" s="53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</row>
    <row r="740" ht="12.75" customHeight="1">
      <c r="A740" s="101"/>
      <c r="B740" s="54"/>
      <c r="C740" s="102"/>
      <c r="D740" s="101"/>
      <c r="E740" s="101"/>
      <c r="F740" s="101"/>
      <c r="G740" s="101"/>
      <c r="H740" s="101"/>
      <c r="I740" s="101"/>
      <c r="J740" s="101"/>
      <c r="K740" s="101"/>
      <c r="L740" s="101"/>
      <c r="M740" s="53"/>
      <c r="N740" s="53"/>
      <c r="O740" s="53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</row>
    <row r="741" ht="12.75" customHeight="1">
      <c r="A741" s="101"/>
      <c r="B741" s="54"/>
      <c r="C741" s="102"/>
      <c r="D741" s="101"/>
      <c r="E741" s="101"/>
      <c r="F741" s="101"/>
      <c r="G741" s="101"/>
      <c r="H741" s="101"/>
      <c r="I741" s="101"/>
      <c r="J741" s="101"/>
      <c r="K741" s="101"/>
      <c r="L741" s="101"/>
      <c r="M741" s="53"/>
      <c r="N741" s="53"/>
      <c r="O741" s="53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</row>
    <row r="742" ht="12.75" customHeight="1">
      <c r="A742" s="101"/>
      <c r="B742" s="54"/>
      <c r="C742" s="102"/>
      <c r="D742" s="101"/>
      <c r="E742" s="101"/>
      <c r="F742" s="101"/>
      <c r="G742" s="101"/>
      <c r="H742" s="101"/>
      <c r="I742" s="101"/>
      <c r="J742" s="101"/>
      <c r="K742" s="101"/>
      <c r="L742" s="101"/>
      <c r="M742" s="53"/>
      <c r="N742" s="53"/>
      <c r="O742" s="53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</row>
    <row r="743" ht="12.75" customHeight="1">
      <c r="A743" s="101"/>
      <c r="B743" s="54"/>
      <c r="C743" s="102"/>
      <c r="D743" s="101"/>
      <c r="E743" s="101"/>
      <c r="F743" s="101"/>
      <c r="G743" s="101"/>
      <c r="H743" s="101"/>
      <c r="I743" s="101"/>
      <c r="J743" s="101"/>
      <c r="K743" s="101"/>
      <c r="L743" s="101"/>
      <c r="M743" s="53"/>
      <c r="N743" s="53"/>
      <c r="O743" s="53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</row>
    <row r="744" ht="12.75" customHeight="1">
      <c r="A744" s="101"/>
      <c r="B744" s="54"/>
      <c r="C744" s="102"/>
      <c r="D744" s="101"/>
      <c r="E744" s="101"/>
      <c r="F744" s="101"/>
      <c r="G744" s="101"/>
      <c r="H744" s="101"/>
      <c r="I744" s="101"/>
      <c r="J744" s="101"/>
      <c r="K744" s="101"/>
      <c r="L744" s="101"/>
      <c r="M744" s="53"/>
      <c r="N744" s="53"/>
      <c r="O744" s="53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</row>
    <row r="745" ht="12.75" customHeight="1">
      <c r="A745" s="101"/>
      <c r="B745" s="54"/>
      <c r="C745" s="102"/>
      <c r="D745" s="101"/>
      <c r="E745" s="101"/>
      <c r="F745" s="101"/>
      <c r="G745" s="101"/>
      <c r="H745" s="101"/>
      <c r="I745" s="101"/>
      <c r="J745" s="101"/>
      <c r="K745" s="101"/>
      <c r="L745" s="101"/>
      <c r="M745" s="53"/>
      <c r="N745" s="53"/>
      <c r="O745" s="53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</row>
    <row r="746" ht="12.75" customHeight="1">
      <c r="A746" s="101"/>
      <c r="B746" s="54"/>
      <c r="C746" s="102"/>
      <c r="D746" s="101"/>
      <c r="E746" s="101"/>
      <c r="F746" s="101"/>
      <c r="G746" s="101"/>
      <c r="H746" s="101"/>
      <c r="I746" s="101"/>
      <c r="J746" s="101"/>
      <c r="K746" s="101"/>
      <c r="L746" s="101"/>
      <c r="M746" s="53"/>
      <c r="N746" s="53"/>
      <c r="O746" s="53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</row>
    <row r="747" ht="12.75" customHeight="1">
      <c r="A747" s="101"/>
      <c r="B747" s="54"/>
      <c r="C747" s="102"/>
      <c r="D747" s="101"/>
      <c r="E747" s="101"/>
      <c r="F747" s="101"/>
      <c r="G747" s="101"/>
      <c r="H747" s="101"/>
      <c r="I747" s="101"/>
      <c r="J747" s="101"/>
      <c r="K747" s="101"/>
      <c r="L747" s="101"/>
      <c r="M747" s="53"/>
      <c r="N747" s="53"/>
      <c r="O747" s="53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</row>
    <row r="748" ht="12.75" customHeight="1">
      <c r="A748" s="101"/>
      <c r="B748" s="54"/>
      <c r="C748" s="102"/>
      <c r="D748" s="101"/>
      <c r="E748" s="101"/>
      <c r="F748" s="101"/>
      <c r="G748" s="101"/>
      <c r="H748" s="101"/>
      <c r="I748" s="101"/>
      <c r="J748" s="101"/>
      <c r="K748" s="101"/>
      <c r="L748" s="101"/>
      <c r="M748" s="53"/>
      <c r="N748" s="53"/>
      <c r="O748" s="53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</row>
    <row r="749" ht="12.75" customHeight="1">
      <c r="A749" s="101"/>
      <c r="B749" s="54"/>
      <c r="C749" s="102"/>
      <c r="D749" s="101"/>
      <c r="E749" s="101"/>
      <c r="F749" s="101"/>
      <c r="G749" s="101"/>
      <c r="H749" s="101"/>
      <c r="I749" s="101"/>
      <c r="J749" s="101"/>
      <c r="K749" s="101"/>
      <c r="L749" s="101"/>
      <c r="M749" s="53"/>
      <c r="N749" s="53"/>
      <c r="O749" s="53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</row>
    <row r="750" ht="12.75" customHeight="1">
      <c r="A750" s="101"/>
      <c r="B750" s="54"/>
      <c r="C750" s="102"/>
      <c r="D750" s="101"/>
      <c r="E750" s="101"/>
      <c r="F750" s="101"/>
      <c r="G750" s="101"/>
      <c r="H750" s="101"/>
      <c r="I750" s="101"/>
      <c r="J750" s="101"/>
      <c r="K750" s="101"/>
      <c r="L750" s="101"/>
      <c r="M750" s="53"/>
      <c r="N750" s="53"/>
      <c r="O750" s="53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</row>
    <row r="751" ht="12.75" customHeight="1">
      <c r="A751" s="101"/>
      <c r="B751" s="54"/>
      <c r="C751" s="102"/>
      <c r="D751" s="101"/>
      <c r="E751" s="101"/>
      <c r="F751" s="101"/>
      <c r="G751" s="101"/>
      <c r="H751" s="101"/>
      <c r="I751" s="101"/>
      <c r="J751" s="101"/>
      <c r="K751" s="101"/>
      <c r="L751" s="101"/>
      <c r="M751" s="53"/>
      <c r="N751" s="53"/>
      <c r="O751" s="53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</row>
    <row r="752" ht="12.75" customHeight="1">
      <c r="A752" s="101"/>
      <c r="B752" s="54"/>
      <c r="C752" s="102"/>
      <c r="D752" s="101"/>
      <c r="E752" s="101"/>
      <c r="F752" s="101"/>
      <c r="G752" s="101"/>
      <c r="H752" s="101"/>
      <c r="I752" s="101"/>
      <c r="J752" s="101"/>
      <c r="K752" s="101"/>
      <c r="L752" s="101"/>
      <c r="M752" s="53"/>
      <c r="N752" s="53"/>
      <c r="O752" s="53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</row>
    <row r="753" ht="12.75" customHeight="1">
      <c r="A753" s="101"/>
      <c r="B753" s="54"/>
      <c r="C753" s="102"/>
      <c r="D753" s="101"/>
      <c r="E753" s="101"/>
      <c r="F753" s="101"/>
      <c r="G753" s="101"/>
      <c r="H753" s="101"/>
      <c r="I753" s="101"/>
      <c r="J753" s="101"/>
      <c r="K753" s="101"/>
      <c r="L753" s="101"/>
      <c r="M753" s="53"/>
      <c r="N753" s="53"/>
      <c r="O753" s="53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</row>
    <row r="754" ht="12.75" customHeight="1">
      <c r="A754" s="101"/>
      <c r="B754" s="54"/>
      <c r="C754" s="102"/>
      <c r="D754" s="101"/>
      <c r="E754" s="101"/>
      <c r="F754" s="101"/>
      <c r="G754" s="101"/>
      <c r="H754" s="101"/>
      <c r="I754" s="101"/>
      <c r="J754" s="101"/>
      <c r="K754" s="101"/>
      <c r="L754" s="101"/>
      <c r="M754" s="53"/>
      <c r="N754" s="53"/>
      <c r="O754" s="53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</row>
    <row r="755" ht="12.75" customHeight="1">
      <c r="A755" s="101"/>
      <c r="B755" s="54"/>
      <c r="C755" s="102"/>
      <c r="D755" s="101"/>
      <c r="E755" s="101"/>
      <c r="F755" s="101"/>
      <c r="G755" s="101"/>
      <c r="H755" s="101"/>
      <c r="I755" s="101"/>
      <c r="J755" s="101"/>
      <c r="K755" s="101"/>
      <c r="L755" s="101"/>
      <c r="M755" s="53"/>
      <c r="N755" s="53"/>
      <c r="O755" s="53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</row>
    <row r="756" ht="12.75" customHeight="1">
      <c r="A756" s="101"/>
      <c r="B756" s="54"/>
      <c r="C756" s="102"/>
      <c r="D756" s="101"/>
      <c r="E756" s="101"/>
      <c r="F756" s="101"/>
      <c r="G756" s="101"/>
      <c r="H756" s="101"/>
      <c r="I756" s="101"/>
      <c r="J756" s="101"/>
      <c r="K756" s="101"/>
      <c r="L756" s="101"/>
      <c r="M756" s="53"/>
      <c r="N756" s="53"/>
      <c r="O756" s="53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</row>
    <row r="757" ht="12.75" customHeight="1">
      <c r="A757" s="101"/>
      <c r="B757" s="54"/>
      <c r="C757" s="102"/>
      <c r="D757" s="101"/>
      <c r="E757" s="101"/>
      <c r="F757" s="101"/>
      <c r="G757" s="101"/>
      <c r="H757" s="101"/>
      <c r="I757" s="101"/>
      <c r="J757" s="101"/>
      <c r="K757" s="101"/>
      <c r="L757" s="101"/>
      <c r="M757" s="53"/>
      <c r="N757" s="53"/>
      <c r="O757" s="53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</row>
    <row r="758" ht="12.75" customHeight="1">
      <c r="A758" s="101"/>
      <c r="B758" s="54"/>
      <c r="C758" s="102"/>
      <c r="D758" s="101"/>
      <c r="E758" s="101"/>
      <c r="F758" s="101"/>
      <c r="G758" s="101"/>
      <c r="H758" s="101"/>
      <c r="I758" s="101"/>
      <c r="J758" s="101"/>
      <c r="K758" s="101"/>
      <c r="L758" s="101"/>
      <c r="M758" s="53"/>
      <c r="N758" s="53"/>
      <c r="O758" s="53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</row>
    <row r="759" ht="12.75" customHeight="1">
      <c r="A759" s="101"/>
      <c r="B759" s="54"/>
      <c r="C759" s="102"/>
      <c r="D759" s="101"/>
      <c r="E759" s="101"/>
      <c r="F759" s="101"/>
      <c r="G759" s="101"/>
      <c r="H759" s="101"/>
      <c r="I759" s="101"/>
      <c r="J759" s="101"/>
      <c r="K759" s="101"/>
      <c r="L759" s="101"/>
      <c r="M759" s="53"/>
      <c r="N759" s="53"/>
      <c r="O759" s="53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</row>
    <row r="760" ht="12.75" customHeight="1">
      <c r="A760" s="101"/>
      <c r="B760" s="54"/>
      <c r="C760" s="102"/>
      <c r="D760" s="101"/>
      <c r="E760" s="101"/>
      <c r="F760" s="101"/>
      <c r="G760" s="101"/>
      <c r="H760" s="101"/>
      <c r="I760" s="101"/>
      <c r="J760" s="101"/>
      <c r="K760" s="101"/>
      <c r="L760" s="101"/>
      <c r="M760" s="53"/>
      <c r="N760" s="53"/>
      <c r="O760" s="53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</row>
    <row r="761" ht="12.75" customHeight="1">
      <c r="A761" s="101"/>
      <c r="B761" s="54"/>
      <c r="C761" s="102"/>
      <c r="D761" s="101"/>
      <c r="E761" s="101"/>
      <c r="F761" s="101"/>
      <c r="G761" s="101"/>
      <c r="H761" s="101"/>
      <c r="I761" s="101"/>
      <c r="J761" s="101"/>
      <c r="K761" s="101"/>
      <c r="L761" s="101"/>
      <c r="M761" s="53"/>
      <c r="N761" s="53"/>
      <c r="O761" s="53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</row>
    <row r="762" ht="12.75" customHeight="1">
      <c r="A762" s="101"/>
      <c r="B762" s="54"/>
      <c r="C762" s="102"/>
      <c r="D762" s="101"/>
      <c r="E762" s="101"/>
      <c r="F762" s="101"/>
      <c r="G762" s="101"/>
      <c r="H762" s="101"/>
      <c r="I762" s="101"/>
      <c r="J762" s="101"/>
      <c r="K762" s="101"/>
      <c r="L762" s="101"/>
      <c r="M762" s="53"/>
      <c r="N762" s="53"/>
      <c r="O762" s="53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</row>
    <row r="763" ht="12.75" customHeight="1">
      <c r="A763" s="101"/>
      <c r="B763" s="54"/>
      <c r="C763" s="102"/>
      <c r="D763" s="101"/>
      <c r="E763" s="101"/>
      <c r="F763" s="101"/>
      <c r="G763" s="101"/>
      <c r="H763" s="101"/>
      <c r="I763" s="101"/>
      <c r="J763" s="101"/>
      <c r="K763" s="101"/>
      <c r="L763" s="101"/>
      <c r="M763" s="53"/>
      <c r="N763" s="53"/>
      <c r="O763" s="53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</row>
    <row r="764" ht="12.75" customHeight="1">
      <c r="A764" s="101"/>
      <c r="B764" s="54"/>
      <c r="C764" s="102"/>
      <c r="D764" s="101"/>
      <c r="E764" s="101"/>
      <c r="F764" s="101"/>
      <c r="G764" s="101"/>
      <c r="H764" s="101"/>
      <c r="I764" s="101"/>
      <c r="J764" s="101"/>
      <c r="K764" s="101"/>
      <c r="L764" s="101"/>
      <c r="M764" s="53"/>
      <c r="N764" s="53"/>
      <c r="O764" s="53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</row>
    <row r="765" ht="12.75" customHeight="1">
      <c r="A765" s="101"/>
      <c r="B765" s="54"/>
      <c r="C765" s="102"/>
      <c r="D765" s="101"/>
      <c r="E765" s="101"/>
      <c r="F765" s="101"/>
      <c r="G765" s="101"/>
      <c r="H765" s="101"/>
      <c r="I765" s="101"/>
      <c r="J765" s="101"/>
      <c r="K765" s="101"/>
      <c r="L765" s="101"/>
      <c r="M765" s="53"/>
      <c r="N765" s="53"/>
      <c r="O765" s="53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</row>
    <row r="766" ht="12.75" customHeight="1">
      <c r="A766" s="101"/>
      <c r="B766" s="54"/>
      <c r="C766" s="102"/>
      <c r="D766" s="101"/>
      <c r="E766" s="101"/>
      <c r="F766" s="101"/>
      <c r="G766" s="101"/>
      <c r="H766" s="101"/>
      <c r="I766" s="101"/>
      <c r="J766" s="101"/>
      <c r="K766" s="101"/>
      <c r="L766" s="101"/>
      <c r="M766" s="53"/>
      <c r="N766" s="53"/>
      <c r="O766" s="53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</row>
    <row r="767" ht="12.75" customHeight="1">
      <c r="A767" s="101"/>
      <c r="B767" s="54"/>
      <c r="C767" s="102"/>
      <c r="D767" s="101"/>
      <c r="E767" s="101"/>
      <c r="F767" s="101"/>
      <c r="G767" s="101"/>
      <c r="H767" s="101"/>
      <c r="I767" s="101"/>
      <c r="J767" s="101"/>
      <c r="K767" s="101"/>
      <c r="L767" s="101"/>
      <c r="M767" s="53"/>
      <c r="N767" s="53"/>
      <c r="O767" s="53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</row>
    <row r="768" ht="12.75" customHeight="1">
      <c r="A768" s="101"/>
      <c r="B768" s="54"/>
      <c r="C768" s="102"/>
      <c r="D768" s="101"/>
      <c r="E768" s="101"/>
      <c r="F768" s="101"/>
      <c r="G768" s="101"/>
      <c r="H768" s="101"/>
      <c r="I768" s="101"/>
      <c r="J768" s="101"/>
      <c r="K768" s="101"/>
      <c r="L768" s="101"/>
      <c r="M768" s="53"/>
      <c r="N768" s="53"/>
      <c r="O768" s="53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</row>
    <row r="769" ht="12.75" customHeight="1">
      <c r="A769" s="101"/>
      <c r="B769" s="54"/>
      <c r="C769" s="102"/>
      <c r="D769" s="101"/>
      <c r="E769" s="101"/>
      <c r="F769" s="101"/>
      <c r="G769" s="101"/>
      <c r="H769" s="101"/>
      <c r="I769" s="101"/>
      <c r="J769" s="101"/>
      <c r="K769" s="101"/>
      <c r="L769" s="101"/>
      <c r="M769" s="53"/>
      <c r="N769" s="53"/>
      <c r="O769" s="53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</row>
    <row r="770" ht="12.75" customHeight="1">
      <c r="A770" s="101"/>
      <c r="B770" s="54"/>
      <c r="C770" s="102"/>
      <c r="D770" s="101"/>
      <c r="E770" s="101"/>
      <c r="F770" s="101"/>
      <c r="G770" s="101"/>
      <c r="H770" s="101"/>
      <c r="I770" s="101"/>
      <c r="J770" s="101"/>
      <c r="K770" s="101"/>
      <c r="L770" s="101"/>
      <c r="M770" s="53"/>
      <c r="N770" s="53"/>
      <c r="O770" s="53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</row>
    <row r="771" ht="12.75" customHeight="1">
      <c r="A771" s="101"/>
      <c r="B771" s="54"/>
      <c r="C771" s="102"/>
      <c r="D771" s="101"/>
      <c r="E771" s="101"/>
      <c r="F771" s="101"/>
      <c r="G771" s="101"/>
      <c r="H771" s="101"/>
      <c r="I771" s="101"/>
      <c r="J771" s="101"/>
      <c r="K771" s="101"/>
      <c r="L771" s="101"/>
      <c r="M771" s="53"/>
      <c r="N771" s="53"/>
      <c r="O771" s="53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</row>
    <row r="772" ht="12.75" customHeight="1">
      <c r="A772" s="101"/>
      <c r="B772" s="54"/>
      <c r="C772" s="102"/>
      <c r="D772" s="101"/>
      <c r="E772" s="101"/>
      <c r="F772" s="101"/>
      <c r="G772" s="101"/>
      <c r="H772" s="101"/>
      <c r="I772" s="101"/>
      <c r="J772" s="101"/>
      <c r="K772" s="101"/>
      <c r="L772" s="101"/>
      <c r="M772" s="53"/>
      <c r="N772" s="53"/>
      <c r="O772" s="53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</row>
    <row r="773" ht="12.75" customHeight="1">
      <c r="A773" s="101"/>
      <c r="B773" s="54"/>
      <c r="C773" s="102"/>
      <c r="D773" s="101"/>
      <c r="E773" s="101"/>
      <c r="F773" s="101"/>
      <c r="G773" s="101"/>
      <c r="H773" s="101"/>
      <c r="I773" s="101"/>
      <c r="J773" s="101"/>
      <c r="K773" s="101"/>
      <c r="L773" s="101"/>
      <c r="M773" s="53"/>
      <c r="N773" s="53"/>
      <c r="O773" s="53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</row>
    <row r="774" ht="12.75" customHeight="1">
      <c r="A774" s="101"/>
      <c r="B774" s="54"/>
      <c r="C774" s="102"/>
      <c r="D774" s="101"/>
      <c r="E774" s="101"/>
      <c r="F774" s="101"/>
      <c r="G774" s="101"/>
      <c r="H774" s="101"/>
      <c r="I774" s="101"/>
      <c r="J774" s="101"/>
      <c r="K774" s="101"/>
      <c r="L774" s="101"/>
      <c r="M774" s="53"/>
      <c r="N774" s="53"/>
      <c r="O774" s="53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</row>
    <row r="775" ht="12.75" customHeight="1">
      <c r="A775" s="101"/>
      <c r="B775" s="54"/>
      <c r="C775" s="102"/>
      <c r="D775" s="101"/>
      <c r="E775" s="101"/>
      <c r="F775" s="101"/>
      <c r="G775" s="101"/>
      <c r="H775" s="101"/>
      <c r="I775" s="101"/>
      <c r="J775" s="101"/>
      <c r="K775" s="101"/>
      <c r="L775" s="101"/>
      <c r="M775" s="53"/>
      <c r="N775" s="53"/>
      <c r="O775" s="53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</row>
    <row r="776" ht="12.75" customHeight="1">
      <c r="A776" s="101"/>
      <c r="B776" s="54"/>
      <c r="C776" s="102"/>
      <c r="D776" s="101"/>
      <c r="E776" s="101"/>
      <c r="F776" s="101"/>
      <c r="G776" s="101"/>
      <c r="H776" s="101"/>
      <c r="I776" s="101"/>
      <c r="J776" s="101"/>
      <c r="K776" s="101"/>
      <c r="L776" s="101"/>
      <c r="M776" s="53"/>
      <c r="N776" s="53"/>
      <c r="O776" s="53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</row>
    <row r="777" ht="12.75" customHeight="1">
      <c r="A777" s="101"/>
      <c r="B777" s="54"/>
      <c r="C777" s="102"/>
      <c r="D777" s="101"/>
      <c r="E777" s="101"/>
      <c r="F777" s="101"/>
      <c r="G777" s="101"/>
      <c r="H777" s="101"/>
      <c r="I777" s="101"/>
      <c r="J777" s="101"/>
      <c r="K777" s="101"/>
      <c r="L777" s="101"/>
      <c r="M777" s="53"/>
      <c r="N777" s="53"/>
      <c r="O777" s="53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</row>
    <row r="778" ht="12.75" customHeight="1">
      <c r="A778" s="101"/>
      <c r="B778" s="54"/>
      <c r="C778" s="102"/>
      <c r="D778" s="101"/>
      <c r="E778" s="101"/>
      <c r="F778" s="101"/>
      <c r="G778" s="101"/>
      <c r="H778" s="101"/>
      <c r="I778" s="101"/>
      <c r="J778" s="101"/>
      <c r="K778" s="101"/>
      <c r="L778" s="101"/>
      <c r="M778" s="53"/>
      <c r="N778" s="53"/>
      <c r="O778" s="53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</row>
    <row r="779" ht="12.75" customHeight="1">
      <c r="A779" s="101"/>
      <c r="B779" s="54"/>
      <c r="C779" s="102"/>
      <c r="D779" s="101"/>
      <c r="E779" s="101"/>
      <c r="F779" s="101"/>
      <c r="G779" s="101"/>
      <c r="H779" s="101"/>
      <c r="I779" s="101"/>
      <c r="J779" s="101"/>
      <c r="K779" s="101"/>
      <c r="L779" s="101"/>
      <c r="M779" s="53"/>
      <c r="N779" s="53"/>
      <c r="O779" s="53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</row>
    <row r="780" ht="12.75" customHeight="1">
      <c r="A780" s="101"/>
      <c r="B780" s="54"/>
      <c r="C780" s="102"/>
      <c r="D780" s="101"/>
      <c r="E780" s="101"/>
      <c r="F780" s="101"/>
      <c r="G780" s="101"/>
      <c r="H780" s="101"/>
      <c r="I780" s="101"/>
      <c r="J780" s="101"/>
      <c r="K780" s="101"/>
      <c r="L780" s="101"/>
      <c r="M780" s="53"/>
      <c r="N780" s="53"/>
      <c r="O780" s="53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</row>
    <row r="781" ht="12.75" customHeight="1">
      <c r="A781" s="101"/>
      <c r="B781" s="54"/>
      <c r="C781" s="102"/>
      <c r="D781" s="101"/>
      <c r="E781" s="101"/>
      <c r="F781" s="101"/>
      <c r="G781" s="101"/>
      <c r="H781" s="101"/>
      <c r="I781" s="101"/>
      <c r="J781" s="101"/>
      <c r="K781" s="101"/>
      <c r="L781" s="101"/>
      <c r="M781" s="53"/>
      <c r="N781" s="53"/>
      <c r="O781" s="53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</row>
    <row r="782" ht="12.75" customHeight="1">
      <c r="A782" s="101"/>
      <c r="B782" s="54"/>
      <c r="C782" s="102"/>
      <c r="D782" s="101"/>
      <c r="E782" s="101"/>
      <c r="F782" s="101"/>
      <c r="G782" s="101"/>
      <c r="H782" s="101"/>
      <c r="I782" s="101"/>
      <c r="J782" s="101"/>
      <c r="K782" s="101"/>
      <c r="L782" s="101"/>
      <c r="M782" s="53"/>
      <c r="N782" s="53"/>
      <c r="O782" s="53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</row>
    <row r="783" ht="12.75" customHeight="1">
      <c r="A783" s="101"/>
      <c r="B783" s="54"/>
      <c r="C783" s="102"/>
      <c r="D783" s="101"/>
      <c r="E783" s="101"/>
      <c r="F783" s="101"/>
      <c r="G783" s="101"/>
      <c r="H783" s="101"/>
      <c r="I783" s="101"/>
      <c r="J783" s="101"/>
      <c r="K783" s="101"/>
      <c r="L783" s="101"/>
      <c r="M783" s="53"/>
      <c r="N783" s="53"/>
      <c r="O783" s="53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</row>
    <row r="784" ht="12.75" customHeight="1">
      <c r="A784" s="101"/>
      <c r="B784" s="54"/>
      <c r="C784" s="102"/>
      <c r="D784" s="101"/>
      <c r="E784" s="101"/>
      <c r="F784" s="101"/>
      <c r="G784" s="101"/>
      <c r="H784" s="101"/>
      <c r="I784" s="101"/>
      <c r="J784" s="101"/>
      <c r="K784" s="101"/>
      <c r="L784" s="101"/>
      <c r="M784" s="53"/>
      <c r="N784" s="53"/>
      <c r="O784" s="53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</row>
    <row r="785" ht="12.75" customHeight="1">
      <c r="A785" s="101"/>
      <c r="B785" s="54"/>
      <c r="C785" s="102"/>
      <c r="D785" s="101"/>
      <c r="E785" s="101"/>
      <c r="F785" s="101"/>
      <c r="G785" s="101"/>
      <c r="H785" s="101"/>
      <c r="I785" s="101"/>
      <c r="J785" s="101"/>
      <c r="K785" s="101"/>
      <c r="L785" s="101"/>
      <c r="M785" s="53"/>
      <c r="N785" s="53"/>
      <c r="O785" s="53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</row>
    <row r="786" ht="12.75" customHeight="1">
      <c r="A786" s="101"/>
      <c r="B786" s="54"/>
      <c r="C786" s="102"/>
      <c r="D786" s="101"/>
      <c r="E786" s="101"/>
      <c r="F786" s="101"/>
      <c r="G786" s="101"/>
      <c r="H786" s="101"/>
      <c r="I786" s="101"/>
      <c r="J786" s="101"/>
      <c r="K786" s="101"/>
      <c r="L786" s="101"/>
      <c r="M786" s="53"/>
      <c r="N786" s="53"/>
      <c r="O786" s="53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</row>
    <row r="787" ht="12.75" customHeight="1">
      <c r="A787" s="101"/>
      <c r="B787" s="54"/>
      <c r="C787" s="102"/>
      <c r="D787" s="101"/>
      <c r="E787" s="101"/>
      <c r="F787" s="101"/>
      <c r="G787" s="101"/>
      <c r="H787" s="101"/>
      <c r="I787" s="101"/>
      <c r="J787" s="101"/>
      <c r="K787" s="101"/>
      <c r="L787" s="101"/>
      <c r="M787" s="53"/>
      <c r="N787" s="53"/>
      <c r="O787" s="53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</row>
    <row r="788" ht="12.75" customHeight="1">
      <c r="A788" s="101"/>
      <c r="B788" s="54"/>
      <c r="C788" s="102"/>
      <c r="D788" s="101"/>
      <c r="E788" s="101"/>
      <c r="F788" s="101"/>
      <c r="G788" s="101"/>
      <c r="H788" s="101"/>
      <c r="I788" s="101"/>
      <c r="J788" s="101"/>
      <c r="K788" s="101"/>
      <c r="L788" s="101"/>
      <c r="M788" s="53"/>
      <c r="N788" s="53"/>
      <c r="O788" s="53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</row>
    <row r="789" ht="12.75" customHeight="1">
      <c r="A789" s="101"/>
      <c r="B789" s="54"/>
      <c r="C789" s="102"/>
      <c r="D789" s="101"/>
      <c r="E789" s="101"/>
      <c r="F789" s="101"/>
      <c r="G789" s="101"/>
      <c r="H789" s="101"/>
      <c r="I789" s="101"/>
      <c r="J789" s="101"/>
      <c r="K789" s="101"/>
      <c r="L789" s="101"/>
      <c r="M789" s="53"/>
      <c r="N789" s="53"/>
      <c r="O789" s="53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</row>
    <row r="790" ht="12.75" customHeight="1">
      <c r="A790" s="101"/>
      <c r="B790" s="54"/>
      <c r="C790" s="102"/>
      <c r="D790" s="101"/>
      <c r="E790" s="101"/>
      <c r="F790" s="101"/>
      <c r="G790" s="101"/>
      <c r="H790" s="101"/>
      <c r="I790" s="101"/>
      <c r="J790" s="101"/>
      <c r="K790" s="101"/>
      <c r="L790" s="101"/>
      <c r="M790" s="53"/>
      <c r="N790" s="53"/>
      <c r="O790" s="53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</row>
    <row r="791" ht="12.75" customHeight="1">
      <c r="A791" s="101"/>
      <c r="B791" s="54"/>
      <c r="C791" s="102"/>
      <c r="D791" s="101"/>
      <c r="E791" s="101"/>
      <c r="F791" s="101"/>
      <c r="G791" s="101"/>
      <c r="H791" s="101"/>
      <c r="I791" s="101"/>
      <c r="J791" s="101"/>
      <c r="K791" s="101"/>
      <c r="L791" s="101"/>
      <c r="M791" s="53"/>
      <c r="N791" s="53"/>
      <c r="O791" s="53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</row>
    <row r="792" ht="12.75" customHeight="1">
      <c r="A792" s="101"/>
      <c r="B792" s="54"/>
      <c r="C792" s="102"/>
      <c r="D792" s="101"/>
      <c r="E792" s="101"/>
      <c r="F792" s="101"/>
      <c r="G792" s="101"/>
      <c r="H792" s="101"/>
      <c r="I792" s="101"/>
      <c r="J792" s="101"/>
      <c r="K792" s="101"/>
      <c r="L792" s="101"/>
      <c r="M792" s="53"/>
      <c r="N792" s="53"/>
      <c r="O792" s="53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</row>
    <row r="793" ht="12.75" customHeight="1">
      <c r="A793" s="101"/>
      <c r="B793" s="54"/>
      <c r="C793" s="102"/>
      <c r="D793" s="101"/>
      <c r="E793" s="101"/>
      <c r="F793" s="101"/>
      <c r="G793" s="101"/>
      <c r="H793" s="101"/>
      <c r="I793" s="101"/>
      <c r="J793" s="101"/>
      <c r="K793" s="101"/>
      <c r="L793" s="101"/>
      <c r="M793" s="53"/>
      <c r="N793" s="53"/>
      <c r="O793" s="53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</row>
    <row r="794" ht="12.75" customHeight="1">
      <c r="A794" s="101"/>
      <c r="B794" s="54"/>
      <c r="C794" s="102"/>
      <c r="D794" s="101"/>
      <c r="E794" s="101"/>
      <c r="F794" s="101"/>
      <c r="G794" s="101"/>
      <c r="H794" s="101"/>
      <c r="I794" s="101"/>
      <c r="J794" s="101"/>
      <c r="K794" s="101"/>
      <c r="L794" s="101"/>
      <c r="M794" s="53"/>
      <c r="N794" s="53"/>
      <c r="O794" s="53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</row>
    <row r="795" ht="12.75" customHeight="1">
      <c r="A795" s="101"/>
      <c r="B795" s="54"/>
      <c r="C795" s="102"/>
      <c r="D795" s="101"/>
      <c r="E795" s="101"/>
      <c r="F795" s="101"/>
      <c r="G795" s="101"/>
      <c r="H795" s="101"/>
      <c r="I795" s="101"/>
      <c r="J795" s="101"/>
      <c r="K795" s="101"/>
      <c r="L795" s="101"/>
      <c r="M795" s="53"/>
      <c r="N795" s="53"/>
      <c r="O795" s="53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</row>
    <row r="796" ht="12.75" customHeight="1">
      <c r="A796" s="101"/>
      <c r="B796" s="54"/>
      <c r="C796" s="102"/>
      <c r="D796" s="101"/>
      <c r="E796" s="101"/>
      <c r="F796" s="101"/>
      <c r="G796" s="101"/>
      <c r="H796" s="101"/>
      <c r="I796" s="101"/>
      <c r="J796" s="101"/>
      <c r="K796" s="101"/>
      <c r="L796" s="101"/>
      <c r="M796" s="53"/>
      <c r="N796" s="53"/>
      <c r="O796" s="53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</row>
    <row r="797" ht="12.75" customHeight="1">
      <c r="A797" s="101"/>
      <c r="B797" s="54"/>
      <c r="C797" s="102"/>
      <c r="D797" s="101"/>
      <c r="E797" s="101"/>
      <c r="F797" s="101"/>
      <c r="G797" s="101"/>
      <c r="H797" s="101"/>
      <c r="I797" s="101"/>
      <c r="J797" s="101"/>
      <c r="K797" s="101"/>
      <c r="L797" s="101"/>
      <c r="M797" s="53"/>
      <c r="N797" s="53"/>
      <c r="O797" s="53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</row>
    <row r="798" ht="12.75" customHeight="1">
      <c r="A798" s="101"/>
      <c r="B798" s="54"/>
      <c r="C798" s="102"/>
      <c r="D798" s="101"/>
      <c r="E798" s="101"/>
      <c r="F798" s="101"/>
      <c r="G798" s="101"/>
      <c r="H798" s="101"/>
      <c r="I798" s="101"/>
      <c r="J798" s="101"/>
      <c r="K798" s="101"/>
      <c r="L798" s="101"/>
      <c r="M798" s="53"/>
      <c r="N798" s="53"/>
      <c r="O798" s="53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</row>
    <row r="799" ht="12.75" customHeight="1">
      <c r="A799" s="101"/>
      <c r="B799" s="54"/>
      <c r="C799" s="102"/>
      <c r="D799" s="101"/>
      <c r="E799" s="101"/>
      <c r="F799" s="101"/>
      <c r="G799" s="101"/>
      <c r="H799" s="101"/>
      <c r="I799" s="101"/>
      <c r="J799" s="101"/>
      <c r="K799" s="101"/>
      <c r="L799" s="101"/>
      <c r="M799" s="53"/>
      <c r="N799" s="53"/>
      <c r="O799" s="53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</row>
    <row r="800" ht="12.75" customHeight="1">
      <c r="A800" s="101"/>
      <c r="B800" s="54"/>
      <c r="C800" s="102"/>
      <c r="D800" s="101"/>
      <c r="E800" s="101"/>
      <c r="F800" s="101"/>
      <c r="G800" s="101"/>
      <c r="H800" s="101"/>
      <c r="I800" s="101"/>
      <c r="J800" s="101"/>
      <c r="K800" s="101"/>
      <c r="L800" s="101"/>
      <c r="M800" s="53"/>
      <c r="N800" s="53"/>
      <c r="O800" s="53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</row>
    <row r="801" ht="12.75" customHeight="1">
      <c r="A801" s="101"/>
      <c r="B801" s="54"/>
      <c r="C801" s="102"/>
      <c r="D801" s="101"/>
      <c r="E801" s="101"/>
      <c r="F801" s="101"/>
      <c r="G801" s="101"/>
      <c r="H801" s="101"/>
      <c r="I801" s="101"/>
      <c r="J801" s="101"/>
      <c r="K801" s="101"/>
      <c r="L801" s="101"/>
      <c r="M801" s="53"/>
      <c r="N801" s="53"/>
      <c r="O801" s="53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</row>
    <row r="802" ht="12.75" customHeight="1">
      <c r="A802" s="101"/>
      <c r="B802" s="54"/>
      <c r="C802" s="102"/>
      <c r="D802" s="101"/>
      <c r="E802" s="101"/>
      <c r="F802" s="101"/>
      <c r="G802" s="101"/>
      <c r="H802" s="101"/>
      <c r="I802" s="101"/>
      <c r="J802" s="101"/>
      <c r="K802" s="101"/>
      <c r="L802" s="101"/>
      <c r="M802" s="53"/>
      <c r="N802" s="53"/>
      <c r="O802" s="53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</row>
    <row r="803" ht="12.75" customHeight="1">
      <c r="A803" s="101"/>
      <c r="B803" s="54"/>
      <c r="C803" s="102"/>
      <c r="D803" s="101"/>
      <c r="E803" s="101"/>
      <c r="F803" s="101"/>
      <c r="G803" s="101"/>
      <c r="H803" s="101"/>
      <c r="I803" s="101"/>
      <c r="J803" s="101"/>
      <c r="K803" s="101"/>
      <c r="L803" s="101"/>
      <c r="M803" s="53"/>
      <c r="N803" s="53"/>
      <c r="O803" s="53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</row>
    <row r="804" ht="12.75" customHeight="1">
      <c r="A804" s="101"/>
      <c r="B804" s="54"/>
      <c r="C804" s="102"/>
      <c r="D804" s="101"/>
      <c r="E804" s="101"/>
      <c r="F804" s="101"/>
      <c r="G804" s="101"/>
      <c r="H804" s="101"/>
      <c r="I804" s="101"/>
      <c r="J804" s="101"/>
      <c r="K804" s="101"/>
      <c r="L804" s="101"/>
      <c r="M804" s="53"/>
      <c r="N804" s="53"/>
      <c r="O804" s="53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</row>
    <row r="805" ht="12.75" customHeight="1">
      <c r="A805" s="101"/>
      <c r="B805" s="54"/>
      <c r="C805" s="102"/>
      <c r="D805" s="101"/>
      <c r="E805" s="101"/>
      <c r="F805" s="101"/>
      <c r="G805" s="101"/>
      <c r="H805" s="101"/>
      <c r="I805" s="101"/>
      <c r="J805" s="101"/>
      <c r="K805" s="101"/>
      <c r="L805" s="101"/>
      <c r="M805" s="53"/>
      <c r="N805" s="53"/>
      <c r="O805" s="53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</row>
    <row r="806" ht="12.75" customHeight="1">
      <c r="A806" s="101"/>
      <c r="B806" s="54"/>
      <c r="C806" s="102"/>
      <c r="D806" s="101"/>
      <c r="E806" s="101"/>
      <c r="F806" s="101"/>
      <c r="G806" s="101"/>
      <c r="H806" s="101"/>
      <c r="I806" s="101"/>
      <c r="J806" s="101"/>
      <c r="K806" s="101"/>
      <c r="L806" s="101"/>
      <c r="M806" s="53"/>
      <c r="N806" s="53"/>
      <c r="O806" s="53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</row>
    <row r="807" ht="12.75" customHeight="1">
      <c r="A807" s="101"/>
      <c r="B807" s="54"/>
      <c r="C807" s="102"/>
      <c r="D807" s="101"/>
      <c r="E807" s="101"/>
      <c r="F807" s="101"/>
      <c r="G807" s="101"/>
      <c r="H807" s="101"/>
      <c r="I807" s="101"/>
      <c r="J807" s="101"/>
      <c r="K807" s="101"/>
      <c r="L807" s="101"/>
      <c r="M807" s="53"/>
      <c r="N807" s="53"/>
      <c r="O807" s="53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</row>
    <row r="808" ht="12.75" customHeight="1">
      <c r="A808" s="101"/>
      <c r="B808" s="54"/>
      <c r="C808" s="102"/>
      <c r="D808" s="101"/>
      <c r="E808" s="101"/>
      <c r="F808" s="101"/>
      <c r="G808" s="101"/>
      <c r="H808" s="101"/>
      <c r="I808" s="101"/>
      <c r="J808" s="101"/>
      <c r="K808" s="101"/>
      <c r="L808" s="101"/>
      <c r="M808" s="53"/>
      <c r="N808" s="53"/>
      <c r="O808" s="53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</row>
    <row r="809" ht="12.75" customHeight="1">
      <c r="A809" s="101"/>
      <c r="B809" s="54"/>
      <c r="C809" s="102"/>
      <c r="D809" s="101"/>
      <c r="E809" s="101"/>
      <c r="F809" s="101"/>
      <c r="G809" s="101"/>
      <c r="H809" s="101"/>
      <c r="I809" s="101"/>
      <c r="J809" s="101"/>
      <c r="K809" s="101"/>
      <c r="L809" s="101"/>
      <c r="M809" s="53"/>
      <c r="N809" s="53"/>
      <c r="O809" s="53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</row>
    <row r="810" ht="12.75" customHeight="1">
      <c r="A810" s="101"/>
      <c r="B810" s="54"/>
      <c r="C810" s="102"/>
      <c r="D810" s="101"/>
      <c r="E810" s="101"/>
      <c r="F810" s="101"/>
      <c r="G810" s="101"/>
      <c r="H810" s="101"/>
      <c r="I810" s="101"/>
      <c r="J810" s="101"/>
      <c r="K810" s="101"/>
      <c r="L810" s="101"/>
      <c r="M810" s="53"/>
      <c r="N810" s="53"/>
      <c r="O810" s="53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</row>
    <row r="811" ht="12.75" customHeight="1">
      <c r="A811" s="101"/>
      <c r="B811" s="54"/>
      <c r="C811" s="102"/>
      <c r="D811" s="101"/>
      <c r="E811" s="101"/>
      <c r="F811" s="101"/>
      <c r="G811" s="101"/>
      <c r="H811" s="101"/>
      <c r="I811" s="101"/>
      <c r="J811" s="101"/>
      <c r="K811" s="101"/>
      <c r="L811" s="101"/>
      <c r="M811" s="53"/>
      <c r="N811" s="53"/>
      <c r="O811" s="53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</row>
    <row r="812" ht="12.75" customHeight="1">
      <c r="A812" s="101"/>
      <c r="B812" s="54"/>
      <c r="C812" s="102"/>
      <c r="D812" s="101"/>
      <c r="E812" s="101"/>
      <c r="F812" s="101"/>
      <c r="G812" s="101"/>
      <c r="H812" s="101"/>
      <c r="I812" s="101"/>
      <c r="J812" s="101"/>
      <c r="K812" s="101"/>
      <c r="L812" s="101"/>
      <c r="M812" s="53"/>
      <c r="N812" s="53"/>
      <c r="O812" s="53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</row>
    <row r="813" ht="12.75" customHeight="1">
      <c r="A813" s="101"/>
      <c r="B813" s="54"/>
      <c r="C813" s="102"/>
      <c r="D813" s="101"/>
      <c r="E813" s="101"/>
      <c r="F813" s="101"/>
      <c r="G813" s="101"/>
      <c r="H813" s="101"/>
      <c r="I813" s="101"/>
      <c r="J813" s="101"/>
      <c r="K813" s="101"/>
      <c r="L813" s="101"/>
      <c r="M813" s="53"/>
      <c r="N813" s="53"/>
      <c r="O813" s="53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</row>
    <row r="814" ht="12.75" customHeight="1">
      <c r="A814" s="101"/>
      <c r="B814" s="54"/>
      <c r="C814" s="102"/>
      <c r="D814" s="101"/>
      <c r="E814" s="101"/>
      <c r="F814" s="101"/>
      <c r="G814" s="101"/>
      <c r="H814" s="101"/>
      <c r="I814" s="101"/>
      <c r="J814" s="101"/>
      <c r="K814" s="101"/>
      <c r="L814" s="101"/>
      <c r="M814" s="53"/>
      <c r="N814" s="53"/>
      <c r="O814" s="53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</row>
    <row r="815" ht="12.75" customHeight="1">
      <c r="A815" s="101"/>
      <c r="B815" s="54"/>
      <c r="C815" s="102"/>
      <c r="D815" s="101"/>
      <c r="E815" s="101"/>
      <c r="F815" s="101"/>
      <c r="G815" s="101"/>
      <c r="H815" s="101"/>
      <c r="I815" s="101"/>
      <c r="J815" s="101"/>
      <c r="K815" s="101"/>
      <c r="L815" s="101"/>
      <c r="M815" s="53"/>
      <c r="N815" s="53"/>
      <c r="O815" s="53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</row>
    <row r="816" ht="12.75" customHeight="1">
      <c r="A816" s="101"/>
      <c r="B816" s="54"/>
      <c r="C816" s="102"/>
      <c r="D816" s="101"/>
      <c r="E816" s="101"/>
      <c r="F816" s="101"/>
      <c r="G816" s="101"/>
      <c r="H816" s="101"/>
      <c r="I816" s="101"/>
      <c r="J816" s="101"/>
      <c r="K816" s="101"/>
      <c r="L816" s="101"/>
      <c r="M816" s="53"/>
      <c r="N816" s="53"/>
      <c r="O816" s="53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</row>
    <row r="817" ht="12.75" customHeight="1">
      <c r="A817" s="101"/>
      <c r="B817" s="54"/>
      <c r="C817" s="102"/>
      <c r="D817" s="101"/>
      <c r="E817" s="101"/>
      <c r="F817" s="101"/>
      <c r="G817" s="101"/>
      <c r="H817" s="101"/>
      <c r="I817" s="101"/>
      <c r="J817" s="101"/>
      <c r="K817" s="101"/>
      <c r="L817" s="101"/>
      <c r="M817" s="53"/>
      <c r="N817" s="53"/>
      <c r="O817" s="53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</row>
    <row r="818" ht="12.75" customHeight="1">
      <c r="A818" s="101"/>
      <c r="B818" s="54"/>
      <c r="C818" s="102"/>
      <c r="D818" s="101"/>
      <c r="E818" s="101"/>
      <c r="F818" s="101"/>
      <c r="G818" s="101"/>
      <c r="H818" s="101"/>
      <c r="I818" s="101"/>
      <c r="J818" s="101"/>
      <c r="K818" s="101"/>
      <c r="L818" s="101"/>
      <c r="M818" s="53"/>
      <c r="N818" s="53"/>
      <c r="O818" s="53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</row>
    <row r="819" ht="12.75" customHeight="1">
      <c r="A819" s="101"/>
      <c r="B819" s="54"/>
      <c r="C819" s="102"/>
      <c r="D819" s="101"/>
      <c r="E819" s="101"/>
      <c r="F819" s="101"/>
      <c r="G819" s="101"/>
      <c r="H819" s="101"/>
      <c r="I819" s="101"/>
      <c r="J819" s="101"/>
      <c r="K819" s="101"/>
      <c r="L819" s="101"/>
      <c r="M819" s="53"/>
      <c r="N819" s="53"/>
      <c r="O819" s="53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</row>
    <row r="820" ht="12.75" customHeight="1">
      <c r="A820" s="101"/>
      <c r="B820" s="54"/>
      <c r="C820" s="102"/>
      <c r="D820" s="101"/>
      <c r="E820" s="101"/>
      <c r="F820" s="101"/>
      <c r="G820" s="101"/>
      <c r="H820" s="101"/>
      <c r="I820" s="101"/>
      <c r="J820" s="101"/>
      <c r="K820" s="101"/>
      <c r="L820" s="101"/>
      <c r="M820" s="53"/>
      <c r="N820" s="53"/>
      <c r="O820" s="53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</row>
    <row r="821" ht="12.75" customHeight="1">
      <c r="A821" s="101"/>
      <c r="B821" s="54"/>
      <c r="C821" s="102"/>
      <c r="D821" s="101"/>
      <c r="E821" s="101"/>
      <c r="F821" s="101"/>
      <c r="G821" s="101"/>
      <c r="H821" s="101"/>
      <c r="I821" s="101"/>
      <c r="J821" s="101"/>
      <c r="K821" s="101"/>
      <c r="L821" s="101"/>
      <c r="M821" s="53"/>
      <c r="N821" s="53"/>
      <c r="O821" s="53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</row>
    <row r="822" ht="12.75" customHeight="1">
      <c r="A822" s="101"/>
      <c r="B822" s="54"/>
      <c r="C822" s="102"/>
      <c r="D822" s="101"/>
      <c r="E822" s="101"/>
      <c r="F822" s="101"/>
      <c r="G822" s="101"/>
      <c r="H822" s="101"/>
      <c r="I822" s="101"/>
      <c r="J822" s="101"/>
      <c r="K822" s="101"/>
      <c r="L822" s="101"/>
      <c r="M822" s="53"/>
      <c r="N822" s="53"/>
      <c r="O822" s="53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</row>
    <row r="823" ht="12.75" customHeight="1">
      <c r="A823" s="101"/>
      <c r="B823" s="54"/>
      <c r="C823" s="102"/>
      <c r="D823" s="101"/>
      <c r="E823" s="101"/>
      <c r="F823" s="101"/>
      <c r="G823" s="101"/>
      <c r="H823" s="101"/>
      <c r="I823" s="101"/>
      <c r="J823" s="101"/>
      <c r="K823" s="101"/>
      <c r="L823" s="101"/>
      <c r="M823" s="53"/>
      <c r="N823" s="53"/>
      <c r="O823" s="53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</row>
    <row r="824" ht="12.75" customHeight="1">
      <c r="A824" s="101"/>
      <c r="B824" s="54"/>
      <c r="C824" s="102"/>
      <c r="D824" s="101"/>
      <c r="E824" s="101"/>
      <c r="F824" s="101"/>
      <c r="G824" s="101"/>
      <c r="H824" s="101"/>
      <c r="I824" s="101"/>
      <c r="J824" s="101"/>
      <c r="K824" s="101"/>
      <c r="L824" s="101"/>
      <c r="M824" s="53"/>
      <c r="N824" s="53"/>
      <c r="O824" s="53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</row>
    <row r="825" ht="12.75" customHeight="1">
      <c r="A825" s="101"/>
      <c r="B825" s="54"/>
      <c r="C825" s="102"/>
      <c r="D825" s="101"/>
      <c r="E825" s="101"/>
      <c r="F825" s="101"/>
      <c r="G825" s="101"/>
      <c r="H825" s="101"/>
      <c r="I825" s="101"/>
      <c r="J825" s="101"/>
      <c r="K825" s="101"/>
      <c r="L825" s="101"/>
      <c r="M825" s="53"/>
      <c r="N825" s="53"/>
      <c r="O825" s="53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</row>
    <row r="826" ht="12.75" customHeight="1">
      <c r="A826" s="101"/>
      <c r="B826" s="54"/>
      <c r="C826" s="102"/>
      <c r="D826" s="101"/>
      <c r="E826" s="101"/>
      <c r="F826" s="101"/>
      <c r="G826" s="101"/>
      <c r="H826" s="101"/>
      <c r="I826" s="101"/>
      <c r="J826" s="101"/>
      <c r="K826" s="101"/>
      <c r="L826" s="101"/>
      <c r="M826" s="53"/>
      <c r="N826" s="53"/>
      <c r="O826" s="53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</row>
    <row r="827" ht="12.75" customHeight="1">
      <c r="A827" s="101"/>
      <c r="B827" s="54"/>
      <c r="C827" s="102"/>
      <c r="D827" s="101"/>
      <c r="E827" s="101"/>
      <c r="F827" s="101"/>
      <c r="G827" s="101"/>
      <c r="H827" s="101"/>
      <c r="I827" s="101"/>
      <c r="J827" s="101"/>
      <c r="K827" s="101"/>
      <c r="L827" s="101"/>
      <c r="M827" s="53"/>
      <c r="N827" s="53"/>
      <c r="O827" s="53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</row>
    <row r="828" ht="12.75" customHeight="1">
      <c r="A828" s="101"/>
      <c r="B828" s="54"/>
      <c r="C828" s="102"/>
      <c r="D828" s="101"/>
      <c r="E828" s="101"/>
      <c r="F828" s="101"/>
      <c r="G828" s="101"/>
      <c r="H828" s="101"/>
      <c r="I828" s="101"/>
      <c r="J828" s="101"/>
      <c r="K828" s="101"/>
      <c r="L828" s="101"/>
      <c r="M828" s="53"/>
      <c r="N828" s="53"/>
      <c r="O828" s="53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</row>
    <row r="829" ht="12.75" customHeight="1">
      <c r="A829" s="101"/>
      <c r="B829" s="54"/>
      <c r="C829" s="102"/>
      <c r="D829" s="101"/>
      <c r="E829" s="101"/>
      <c r="F829" s="101"/>
      <c r="G829" s="101"/>
      <c r="H829" s="101"/>
      <c r="I829" s="101"/>
      <c r="J829" s="101"/>
      <c r="K829" s="101"/>
      <c r="L829" s="101"/>
      <c r="M829" s="53"/>
      <c r="N829" s="53"/>
      <c r="O829" s="53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</row>
    <row r="830" ht="12.75" customHeight="1">
      <c r="A830" s="101"/>
      <c r="B830" s="54"/>
      <c r="C830" s="102"/>
      <c r="D830" s="101"/>
      <c r="E830" s="101"/>
      <c r="F830" s="101"/>
      <c r="G830" s="101"/>
      <c r="H830" s="101"/>
      <c r="I830" s="101"/>
      <c r="J830" s="101"/>
      <c r="K830" s="101"/>
      <c r="L830" s="101"/>
      <c r="M830" s="53"/>
      <c r="N830" s="53"/>
      <c r="O830" s="53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</row>
    <row r="831" ht="12.75" customHeight="1">
      <c r="A831" s="101"/>
      <c r="B831" s="54"/>
      <c r="C831" s="102"/>
      <c r="D831" s="101"/>
      <c r="E831" s="101"/>
      <c r="F831" s="101"/>
      <c r="G831" s="101"/>
      <c r="H831" s="101"/>
      <c r="I831" s="101"/>
      <c r="J831" s="101"/>
      <c r="K831" s="101"/>
      <c r="L831" s="101"/>
      <c r="M831" s="53"/>
      <c r="N831" s="53"/>
      <c r="O831" s="53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</row>
    <row r="832" ht="12.75" customHeight="1">
      <c r="A832" s="101"/>
      <c r="B832" s="54"/>
      <c r="C832" s="102"/>
      <c r="D832" s="101"/>
      <c r="E832" s="101"/>
      <c r="F832" s="101"/>
      <c r="G832" s="101"/>
      <c r="H832" s="101"/>
      <c r="I832" s="101"/>
      <c r="J832" s="101"/>
      <c r="K832" s="101"/>
      <c r="L832" s="101"/>
      <c r="M832" s="53"/>
      <c r="N832" s="53"/>
      <c r="O832" s="53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</row>
    <row r="833" ht="12.75" customHeight="1">
      <c r="A833" s="101"/>
      <c r="B833" s="54"/>
      <c r="C833" s="102"/>
      <c r="D833" s="101"/>
      <c r="E833" s="101"/>
      <c r="F833" s="101"/>
      <c r="G833" s="101"/>
      <c r="H833" s="101"/>
      <c r="I833" s="101"/>
      <c r="J833" s="101"/>
      <c r="K833" s="101"/>
      <c r="L833" s="101"/>
      <c r="M833" s="53"/>
      <c r="N833" s="53"/>
      <c r="O833" s="53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</row>
    <row r="834" ht="12.75" customHeight="1">
      <c r="A834" s="101"/>
      <c r="B834" s="54"/>
      <c r="C834" s="102"/>
      <c r="D834" s="101"/>
      <c r="E834" s="101"/>
      <c r="F834" s="101"/>
      <c r="G834" s="101"/>
      <c r="H834" s="101"/>
      <c r="I834" s="101"/>
      <c r="J834" s="101"/>
      <c r="K834" s="101"/>
      <c r="L834" s="101"/>
      <c r="M834" s="53"/>
      <c r="N834" s="53"/>
      <c r="O834" s="53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</row>
    <row r="835" ht="12.75" customHeight="1">
      <c r="A835" s="101"/>
      <c r="B835" s="54"/>
      <c r="C835" s="102"/>
      <c r="D835" s="101"/>
      <c r="E835" s="101"/>
      <c r="F835" s="101"/>
      <c r="G835" s="101"/>
      <c r="H835" s="101"/>
      <c r="I835" s="101"/>
      <c r="J835" s="101"/>
      <c r="K835" s="101"/>
      <c r="L835" s="101"/>
      <c r="M835" s="53"/>
      <c r="N835" s="53"/>
      <c r="O835" s="53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</row>
    <row r="836" ht="12.75" customHeight="1">
      <c r="A836" s="101"/>
      <c r="B836" s="54"/>
      <c r="C836" s="102"/>
      <c r="D836" s="101"/>
      <c r="E836" s="101"/>
      <c r="F836" s="101"/>
      <c r="G836" s="101"/>
      <c r="H836" s="101"/>
      <c r="I836" s="101"/>
      <c r="J836" s="101"/>
      <c r="K836" s="101"/>
      <c r="L836" s="101"/>
      <c r="M836" s="53"/>
      <c r="N836" s="53"/>
      <c r="O836" s="53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</row>
    <row r="837" ht="12.75" customHeight="1">
      <c r="A837" s="101"/>
      <c r="B837" s="54"/>
      <c r="C837" s="102"/>
      <c r="D837" s="101"/>
      <c r="E837" s="101"/>
      <c r="F837" s="101"/>
      <c r="G837" s="101"/>
      <c r="H837" s="101"/>
      <c r="I837" s="101"/>
      <c r="J837" s="101"/>
      <c r="K837" s="101"/>
      <c r="L837" s="101"/>
      <c r="M837" s="53"/>
      <c r="N837" s="53"/>
      <c r="O837" s="53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</row>
    <row r="838" ht="12.75" customHeight="1">
      <c r="A838" s="101"/>
      <c r="B838" s="54"/>
      <c r="C838" s="102"/>
      <c r="D838" s="101"/>
      <c r="E838" s="101"/>
      <c r="F838" s="101"/>
      <c r="G838" s="101"/>
      <c r="H838" s="101"/>
      <c r="I838" s="101"/>
      <c r="J838" s="101"/>
      <c r="K838" s="101"/>
      <c r="L838" s="101"/>
      <c r="M838" s="53"/>
      <c r="N838" s="53"/>
      <c r="O838" s="53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</row>
    <row r="839" ht="12.75" customHeight="1">
      <c r="A839" s="101"/>
      <c r="B839" s="54"/>
      <c r="C839" s="102"/>
      <c r="D839" s="101"/>
      <c r="E839" s="101"/>
      <c r="F839" s="101"/>
      <c r="G839" s="101"/>
      <c r="H839" s="101"/>
      <c r="I839" s="101"/>
      <c r="J839" s="101"/>
      <c r="K839" s="101"/>
      <c r="L839" s="101"/>
      <c r="M839" s="53"/>
      <c r="N839" s="53"/>
      <c r="O839" s="53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</row>
    <row r="840" ht="12.75" customHeight="1">
      <c r="A840" s="101"/>
      <c r="B840" s="54"/>
      <c r="C840" s="102"/>
      <c r="D840" s="101"/>
      <c r="E840" s="101"/>
      <c r="F840" s="101"/>
      <c r="G840" s="101"/>
      <c r="H840" s="101"/>
      <c r="I840" s="101"/>
      <c r="J840" s="101"/>
      <c r="K840" s="101"/>
      <c r="L840" s="101"/>
      <c r="M840" s="53"/>
      <c r="N840" s="53"/>
      <c r="O840" s="53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</row>
    <row r="841" ht="12.75" customHeight="1">
      <c r="A841" s="101"/>
      <c r="B841" s="54"/>
      <c r="C841" s="102"/>
      <c r="D841" s="101"/>
      <c r="E841" s="101"/>
      <c r="F841" s="101"/>
      <c r="G841" s="101"/>
      <c r="H841" s="101"/>
      <c r="I841" s="101"/>
      <c r="J841" s="101"/>
      <c r="K841" s="101"/>
      <c r="L841" s="101"/>
      <c r="M841" s="53"/>
      <c r="N841" s="53"/>
      <c r="O841" s="53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</row>
    <row r="842" ht="12.75" customHeight="1">
      <c r="A842" s="101"/>
      <c r="B842" s="54"/>
      <c r="C842" s="102"/>
      <c r="D842" s="101"/>
      <c r="E842" s="101"/>
      <c r="F842" s="101"/>
      <c r="G842" s="101"/>
      <c r="H842" s="101"/>
      <c r="I842" s="101"/>
      <c r="J842" s="101"/>
      <c r="K842" s="101"/>
      <c r="L842" s="101"/>
      <c r="M842" s="53"/>
      <c r="N842" s="53"/>
      <c r="O842" s="53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</row>
    <row r="843" ht="12.75" customHeight="1">
      <c r="A843" s="101"/>
      <c r="B843" s="54"/>
      <c r="C843" s="102"/>
      <c r="D843" s="101"/>
      <c r="E843" s="101"/>
      <c r="F843" s="101"/>
      <c r="G843" s="101"/>
      <c r="H843" s="101"/>
      <c r="I843" s="101"/>
      <c r="J843" s="101"/>
      <c r="K843" s="101"/>
      <c r="L843" s="101"/>
      <c r="M843" s="53"/>
      <c r="N843" s="53"/>
      <c r="O843" s="53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</row>
    <row r="844" ht="12.75" customHeight="1">
      <c r="A844" s="101"/>
      <c r="B844" s="54"/>
      <c r="C844" s="102"/>
      <c r="D844" s="101"/>
      <c r="E844" s="101"/>
      <c r="F844" s="101"/>
      <c r="G844" s="101"/>
      <c r="H844" s="101"/>
      <c r="I844" s="101"/>
      <c r="J844" s="101"/>
      <c r="K844" s="101"/>
      <c r="L844" s="101"/>
      <c r="M844" s="53"/>
      <c r="N844" s="53"/>
      <c r="O844" s="53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</row>
    <row r="845" ht="12.75" customHeight="1">
      <c r="A845" s="101"/>
      <c r="B845" s="54"/>
      <c r="C845" s="102"/>
      <c r="D845" s="101"/>
      <c r="E845" s="101"/>
      <c r="F845" s="101"/>
      <c r="G845" s="101"/>
      <c r="H845" s="101"/>
      <c r="I845" s="101"/>
      <c r="J845" s="101"/>
      <c r="K845" s="101"/>
      <c r="L845" s="101"/>
      <c r="M845" s="53"/>
      <c r="N845" s="53"/>
      <c r="O845" s="53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</row>
    <row r="846" ht="12.75" customHeight="1">
      <c r="A846" s="101"/>
      <c r="B846" s="54"/>
      <c r="C846" s="102"/>
      <c r="D846" s="101"/>
      <c r="E846" s="101"/>
      <c r="F846" s="101"/>
      <c r="G846" s="101"/>
      <c r="H846" s="101"/>
      <c r="I846" s="101"/>
      <c r="J846" s="101"/>
      <c r="K846" s="101"/>
      <c r="L846" s="101"/>
      <c r="M846" s="53"/>
      <c r="N846" s="53"/>
      <c r="O846" s="53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</row>
    <row r="847" ht="12.75" customHeight="1">
      <c r="A847" s="101"/>
      <c r="B847" s="54"/>
      <c r="C847" s="102"/>
      <c r="D847" s="101"/>
      <c r="E847" s="101"/>
      <c r="F847" s="101"/>
      <c r="G847" s="101"/>
      <c r="H847" s="101"/>
      <c r="I847" s="101"/>
      <c r="J847" s="101"/>
      <c r="K847" s="101"/>
      <c r="L847" s="101"/>
      <c r="M847" s="53"/>
      <c r="N847" s="53"/>
      <c r="O847" s="53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</row>
    <row r="848" ht="12.75" customHeight="1">
      <c r="A848" s="101"/>
      <c r="B848" s="54"/>
      <c r="C848" s="102"/>
      <c r="D848" s="101"/>
      <c r="E848" s="101"/>
      <c r="F848" s="101"/>
      <c r="G848" s="101"/>
      <c r="H848" s="101"/>
      <c r="I848" s="101"/>
      <c r="J848" s="101"/>
      <c r="K848" s="101"/>
      <c r="L848" s="101"/>
      <c r="M848" s="53"/>
      <c r="N848" s="53"/>
      <c r="O848" s="53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</row>
    <row r="849" ht="12.75" customHeight="1">
      <c r="A849" s="101"/>
      <c r="B849" s="54"/>
      <c r="C849" s="102"/>
      <c r="D849" s="101"/>
      <c r="E849" s="101"/>
      <c r="F849" s="101"/>
      <c r="G849" s="101"/>
      <c r="H849" s="101"/>
      <c r="I849" s="101"/>
      <c r="J849" s="101"/>
      <c r="K849" s="101"/>
      <c r="L849" s="101"/>
      <c r="M849" s="53"/>
      <c r="N849" s="53"/>
      <c r="O849" s="53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</row>
    <row r="850" ht="12.75" customHeight="1">
      <c r="A850" s="101"/>
      <c r="B850" s="54"/>
      <c r="C850" s="102"/>
      <c r="D850" s="101"/>
      <c r="E850" s="101"/>
      <c r="F850" s="101"/>
      <c r="G850" s="101"/>
      <c r="H850" s="101"/>
      <c r="I850" s="101"/>
      <c r="J850" s="101"/>
      <c r="K850" s="101"/>
      <c r="L850" s="101"/>
      <c r="M850" s="53"/>
      <c r="N850" s="53"/>
      <c r="O850" s="53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</row>
    <row r="851" ht="12.75" customHeight="1">
      <c r="A851" s="101"/>
      <c r="B851" s="54"/>
      <c r="C851" s="102"/>
      <c r="D851" s="101"/>
      <c r="E851" s="101"/>
      <c r="F851" s="101"/>
      <c r="G851" s="101"/>
      <c r="H851" s="101"/>
      <c r="I851" s="101"/>
      <c r="J851" s="101"/>
      <c r="K851" s="101"/>
      <c r="L851" s="101"/>
      <c r="M851" s="53"/>
      <c r="N851" s="53"/>
      <c r="O851" s="53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</row>
    <row r="852" ht="12.75" customHeight="1">
      <c r="A852" s="101"/>
      <c r="B852" s="54"/>
      <c r="C852" s="102"/>
      <c r="D852" s="101"/>
      <c r="E852" s="101"/>
      <c r="F852" s="101"/>
      <c r="G852" s="101"/>
      <c r="H852" s="101"/>
      <c r="I852" s="101"/>
      <c r="J852" s="101"/>
      <c r="K852" s="101"/>
      <c r="L852" s="101"/>
      <c r="M852" s="53"/>
      <c r="N852" s="53"/>
      <c r="O852" s="53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</row>
    <row r="853" ht="12.75" customHeight="1">
      <c r="A853" s="101"/>
      <c r="B853" s="54"/>
      <c r="C853" s="102"/>
      <c r="D853" s="101"/>
      <c r="E853" s="101"/>
      <c r="F853" s="101"/>
      <c r="G853" s="101"/>
      <c r="H853" s="101"/>
      <c r="I853" s="101"/>
      <c r="J853" s="101"/>
      <c r="K853" s="101"/>
      <c r="L853" s="101"/>
      <c r="M853" s="53"/>
      <c r="N853" s="53"/>
      <c r="O853" s="53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</row>
    <row r="854" ht="12.75" customHeight="1">
      <c r="A854" s="101"/>
      <c r="B854" s="54"/>
      <c r="C854" s="102"/>
      <c r="D854" s="101"/>
      <c r="E854" s="101"/>
      <c r="F854" s="101"/>
      <c r="G854" s="101"/>
      <c r="H854" s="101"/>
      <c r="I854" s="101"/>
      <c r="J854" s="101"/>
      <c r="K854" s="101"/>
      <c r="L854" s="101"/>
      <c r="M854" s="53"/>
      <c r="N854" s="53"/>
      <c r="O854" s="53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</row>
    <row r="855" ht="12.75" customHeight="1">
      <c r="A855" s="101"/>
      <c r="B855" s="54"/>
      <c r="C855" s="102"/>
      <c r="D855" s="101"/>
      <c r="E855" s="101"/>
      <c r="F855" s="101"/>
      <c r="G855" s="101"/>
      <c r="H855" s="101"/>
      <c r="I855" s="101"/>
      <c r="J855" s="101"/>
      <c r="K855" s="101"/>
      <c r="L855" s="101"/>
      <c r="M855" s="53"/>
      <c r="N855" s="53"/>
      <c r="O855" s="53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</row>
    <row r="856" ht="12.75" customHeight="1">
      <c r="A856" s="101"/>
      <c r="B856" s="54"/>
      <c r="C856" s="102"/>
      <c r="D856" s="101"/>
      <c r="E856" s="101"/>
      <c r="F856" s="101"/>
      <c r="G856" s="101"/>
      <c r="H856" s="101"/>
      <c r="I856" s="101"/>
      <c r="J856" s="101"/>
      <c r="K856" s="101"/>
      <c r="L856" s="101"/>
      <c r="M856" s="53"/>
      <c r="N856" s="53"/>
      <c r="O856" s="53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</row>
    <row r="857" ht="12.75" customHeight="1">
      <c r="A857" s="101"/>
      <c r="B857" s="54"/>
      <c r="C857" s="102"/>
      <c r="D857" s="101"/>
      <c r="E857" s="101"/>
      <c r="F857" s="101"/>
      <c r="G857" s="101"/>
      <c r="H857" s="101"/>
      <c r="I857" s="101"/>
      <c r="J857" s="101"/>
      <c r="K857" s="101"/>
      <c r="L857" s="101"/>
      <c r="M857" s="53"/>
      <c r="N857" s="53"/>
      <c r="O857" s="53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</row>
    <row r="858" ht="12.75" customHeight="1">
      <c r="A858" s="101"/>
      <c r="B858" s="54"/>
      <c r="C858" s="102"/>
      <c r="D858" s="101"/>
      <c r="E858" s="101"/>
      <c r="F858" s="101"/>
      <c r="G858" s="101"/>
      <c r="H858" s="101"/>
      <c r="I858" s="101"/>
      <c r="J858" s="101"/>
      <c r="K858" s="101"/>
      <c r="L858" s="101"/>
      <c r="M858" s="53"/>
      <c r="N858" s="53"/>
      <c r="O858" s="53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</row>
    <row r="859" ht="12.75" customHeight="1">
      <c r="A859" s="101"/>
      <c r="B859" s="54"/>
      <c r="C859" s="102"/>
      <c r="D859" s="101"/>
      <c r="E859" s="101"/>
      <c r="F859" s="101"/>
      <c r="G859" s="101"/>
      <c r="H859" s="101"/>
      <c r="I859" s="101"/>
      <c r="J859" s="101"/>
      <c r="K859" s="101"/>
      <c r="L859" s="101"/>
      <c r="M859" s="53"/>
      <c r="N859" s="53"/>
      <c r="O859" s="53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</row>
    <row r="860" ht="12.75" customHeight="1">
      <c r="A860" s="101"/>
      <c r="B860" s="54"/>
      <c r="C860" s="102"/>
      <c r="D860" s="101"/>
      <c r="E860" s="101"/>
      <c r="F860" s="101"/>
      <c r="G860" s="101"/>
      <c r="H860" s="101"/>
      <c r="I860" s="101"/>
      <c r="J860" s="101"/>
      <c r="K860" s="101"/>
      <c r="L860" s="101"/>
      <c r="M860" s="53"/>
      <c r="N860" s="53"/>
      <c r="O860" s="53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</row>
    <row r="861" ht="12.75" customHeight="1">
      <c r="A861" s="101"/>
      <c r="B861" s="54"/>
      <c r="C861" s="102"/>
      <c r="D861" s="101"/>
      <c r="E861" s="101"/>
      <c r="F861" s="101"/>
      <c r="G861" s="101"/>
      <c r="H861" s="101"/>
      <c r="I861" s="101"/>
      <c r="J861" s="101"/>
      <c r="K861" s="101"/>
      <c r="L861" s="101"/>
      <c r="M861" s="53"/>
      <c r="N861" s="53"/>
      <c r="O861" s="53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</row>
    <row r="862" ht="12.75" customHeight="1">
      <c r="A862" s="101"/>
      <c r="B862" s="54"/>
      <c r="C862" s="102"/>
      <c r="D862" s="101"/>
      <c r="E862" s="101"/>
      <c r="F862" s="101"/>
      <c r="G862" s="101"/>
      <c r="H862" s="101"/>
      <c r="I862" s="101"/>
      <c r="J862" s="101"/>
      <c r="K862" s="101"/>
      <c r="L862" s="101"/>
      <c r="M862" s="53"/>
      <c r="N862" s="53"/>
      <c r="O862" s="53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</row>
    <row r="863" ht="12.75" customHeight="1">
      <c r="A863" s="101"/>
      <c r="B863" s="54"/>
      <c r="C863" s="102"/>
      <c r="D863" s="101"/>
      <c r="E863" s="101"/>
      <c r="F863" s="101"/>
      <c r="G863" s="101"/>
      <c r="H863" s="101"/>
      <c r="I863" s="101"/>
      <c r="J863" s="101"/>
      <c r="K863" s="101"/>
      <c r="L863" s="101"/>
      <c r="M863" s="53"/>
      <c r="N863" s="53"/>
      <c r="O863" s="53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</row>
    <row r="864" ht="12.75" customHeight="1">
      <c r="A864" s="101"/>
      <c r="B864" s="54"/>
      <c r="C864" s="102"/>
      <c r="D864" s="101"/>
      <c r="E864" s="101"/>
      <c r="F864" s="101"/>
      <c r="G864" s="101"/>
      <c r="H864" s="101"/>
      <c r="I864" s="101"/>
      <c r="J864" s="101"/>
      <c r="K864" s="101"/>
      <c r="L864" s="101"/>
      <c r="M864" s="53"/>
      <c r="N864" s="53"/>
      <c r="O864" s="53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</row>
    <row r="865" ht="12.75" customHeight="1">
      <c r="A865" s="101"/>
      <c r="B865" s="54"/>
      <c r="C865" s="102"/>
      <c r="D865" s="101"/>
      <c r="E865" s="101"/>
      <c r="F865" s="101"/>
      <c r="G865" s="101"/>
      <c r="H865" s="101"/>
      <c r="I865" s="101"/>
      <c r="J865" s="101"/>
      <c r="K865" s="101"/>
      <c r="L865" s="101"/>
      <c r="M865" s="53"/>
      <c r="N865" s="53"/>
      <c r="O865" s="53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</row>
    <row r="866" ht="12.75" customHeight="1">
      <c r="A866" s="101"/>
      <c r="B866" s="54"/>
      <c r="C866" s="102"/>
      <c r="D866" s="101"/>
      <c r="E866" s="101"/>
      <c r="F866" s="101"/>
      <c r="G866" s="101"/>
      <c r="H866" s="101"/>
      <c r="I866" s="101"/>
      <c r="J866" s="101"/>
      <c r="K866" s="101"/>
      <c r="L866" s="101"/>
      <c r="M866" s="53"/>
      <c r="N866" s="53"/>
      <c r="O866" s="53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</row>
    <row r="867" ht="12.75" customHeight="1">
      <c r="A867" s="101"/>
      <c r="B867" s="54"/>
      <c r="C867" s="102"/>
      <c r="D867" s="101"/>
      <c r="E867" s="101"/>
      <c r="F867" s="101"/>
      <c r="G867" s="101"/>
      <c r="H867" s="101"/>
      <c r="I867" s="101"/>
      <c r="J867" s="101"/>
      <c r="K867" s="101"/>
      <c r="L867" s="101"/>
      <c r="M867" s="53"/>
      <c r="N867" s="53"/>
      <c r="O867" s="53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</row>
    <row r="868" ht="12.75" customHeight="1">
      <c r="A868" s="101"/>
      <c r="B868" s="54"/>
      <c r="C868" s="102"/>
      <c r="D868" s="101"/>
      <c r="E868" s="101"/>
      <c r="F868" s="101"/>
      <c r="G868" s="101"/>
      <c r="H868" s="101"/>
      <c r="I868" s="101"/>
      <c r="J868" s="101"/>
      <c r="K868" s="101"/>
      <c r="L868" s="101"/>
      <c r="M868" s="53"/>
      <c r="N868" s="53"/>
      <c r="O868" s="53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</row>
    <row r="869" ht="12.75" customHeight="1">
      <c r="A869" s="101"/>
      <c r="B869" s="54"/>
      <c r="C869" s="102"/>
      <c r="D869" s="101"/>
      <c r="E869" s="101"/>
      <c r="F869" s="101"/>
      <c r="G869" s="101"/>
      <c r="H869" s="101"/>
      <c r="I869" s="101"/>
      <c r="J869" s="101"/>
      <c r="K869" s="101"/>
      <c r="L869" s="101"/>
      <c r="M869" s="53"/>
      <c r="N869" s="53"/>
      <c r="O869" s="53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</row>
    <row r="870" ht="12.75" customHeight="1">
      <c r="A870" s="101"/>
      <c r="B870" s="54"/>
      <c r="C870" s="102"/>
      <c r="D870" s="101"/>
      <c r="E870" s="101"/>
      <c r="F870" s="101"/>
      <c r="G870" s="101"/>
      <c r="H870" s="101"/>
      <c r="I870" s="101"/>
      <c r="J870" s="101"/>
      <c r="K870" s="101"/>
      <c r="L870" s="101"/>
      <c r="M870" s="53"/>
      <c r="N870" s="53"/>
      <c r="O870" s="53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</row>
    <row r="871" ht="12.75" customHeight="1">
      <c r="A871" s="101"/>
      <c r="B871" s="54"/>
      <c r="C871" s="102"/>
      <c r="D871" s="101"/>
      <c r="E871" s="101"/>
      <c r="F871" s="101"/>
      <c r="G871" s="101"/>
      <c r="H871" s="101"/>
      <c r="I871" s="101"/>
      <c r="J871" s="101"/>
      <c r="K871" s="101"/>
      <c r="L871" s="101"/>
      <c r="M871" s="53"/>
      <c r="N871" s="53"/>
      <c r="O871" s="53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</row>
    <row r="872" ht="12.75" customHeight="1">
      <c r="A872" s="101"/>
      <c r="B872" s="54"/>
      <c r="C872" s="102"/>
      <c r="D872" s="101"/>
      <c r="E872" s="101"/>
      <c r="F872" s="101"/>
      <c r="G872" s="101"/>
      <c r="H872" s="101"/>
      <c r="I872" s="101"/>
      <c r="J872" s="101"/>
      <c r="K872" s="101"/>
      <c r="L872" s="101"/>
      <c r="M872" s="53"/>
      <c r="N872" s="53"/>
      <c r="O872" s="53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</row>
    <row r="873" ht="12.75" customHeight="1">
      <c r="A873" s="101"/>
      <c r="B873" s="54"/>
      <c r="C873" s="102"/>
      <c r="D873" s="101"/>
      <c r="E873" s="101"/>
      <c r="F873" s="101"/>
      <c r="G873" s="101"/>
      <c r="H873" s="101"/>
      <c r="I873" s="101"/>
      <c r="J873" s="101"/>
      <c r="K873" s="101"/>
      <c r="L873" s="101"/>
      <c r="M873" s="53"/>
      <c r="N873" s="53"/>
      <c r="O873" s="53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</row>
    <row r="874" ht="12.75" customHeight="1">
      <c r="A874" s="101"/>
      <c r="B874" s="54"/>
      <c r="C874" s="102"/>
      <c r="D874" s="101"/>
      <c r="E874" s="101"/>
      <c r="F874" s="101"/>
      <c r="G874" s="101"/>
      <c r="H874" s="101"/>
      <c r="I874" s="101"/>
      <c r="J874" s="101"/>
      <c r="K874" s="101"/>
      <c r="L874" s="101"/>
      <c r="M874" s="53"/>
      <c r="N874" s="53"/>
      <c r="O874" s="53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</row>
    <row r="875" ht="12.75" customHeight="1">
      <c r="A875" s="101"/>
      <c r="B875" s="54"/>
      <c r="C875" s="102"/>
      <c r="D875" s="101"/>
      <c r="E875" s="101"/>
      <c r="F875" s="101"/>
      <c r="G875" s="101"/>
      <c r="H875" s="101"/>
      <c r="I875" s="101"/>
      <c r="J875" s="101"/>
      <c r="K875" s="101"/>
      <c r="L875" s="101"/>
      <c r="M875" s="53"/>
      <c r="N875" s="53"/>
      <c r="O875" s="53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</row>
    <row r="876" ht="12.75" customHeight="1">
      <c r="A876" s="101"/>
      <c r="B876" s="54"/>
      <c r="C876" s="102"/>
      <c r="D876" s="101"/>
      <c r="E876" s="101"/>
      <c r="F876" s="101"/>
      <c r="G876" s="101"/>
      <c r="H876" s="101"/>
      <c r="I876" s="101"/>
      <c r="J876" s="101"/>
      <c r="K876" s="101"/>
      <c r="L876" s="101"/>
      <c r="M876" s="53"/>
      <c r="N876" s="53"/>
      <c r="O876" s="53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</row>
    <row r="877" ht="12.75" customHeight="1">
      <c r="A877" s="101"/>
      <c r="B877" s="54"/>
      <c r="C877" s="102"/>
      <c r="D877" s="101"/>
      <c r="E877" s="101"/>
      <c r="F877" s="101"/>
      <c r="G877" s="101"/>
      <c r="H877" s="101"/>
      <c r="I877" s="101"/>
      <c r="J877" s="101"/>
      <c r="K877" s="101"/>
      <c r="L877" s="101"/>
      <c r="M877" s="53"/>
      <c r="N877" s="53"/>
      <c r="O877" s="53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</row>
    <row r="878" ht="12.75" customHeight="1">
      <c r="A878" s="101"/>
      <c r="B878" s="54"/>
      <c r="C878" s="102"/>
      <c r="D878" s="101"/>
      <c r="E878" s="101"/>
      <c r="F878" s="101"/>
      <c r="G878" s="101"/>
      <c r="H878" s="101"/>
      <c r="I878" s="101"/>
      <c r="J878" s="101"/>
      <c r="K878" s="101"/>
      <c r="L878" s="101"/>
      <c r="M878" s="53"/>
      <c r="N878" s="53"/>
      <c r="O878" s="53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</row>
    <row r="879" ht="12.75" customHeight="1">
      <c r="A879" s="101"/>
      <c r="B879" s="54"/>
      <c r="C879" s="102"/>
      <c r="D879" s="101"/>
      <c r="E879" s="101"/>
      <c r="F879" s="101"/>
      <c r="G879" s="101"/>
      <c r="H879" s="101"/>
      <c r="I879" s="101"/>
      <c r="J879" s="101"/>
      <c r="K879" s="101"/>
      <c r="L879" s="101"/>
      <c r="M879" s="53"/>
      <c r="N879" s="53"/>
      <c r="O879" s="53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</row>
    <row r="880" ht="12.75" customHeight="1">
      <c r="A880" s="101"/>
      <c r="B880" s="54"/>
      <c r="C880" s="102"/>
      <c r="D880" s="101"/>
      <c r="E880" s="101"/>
      <c r="F880" s="101"/>
      <c r="G880" s="101"/>
      <c r="H880" s="101"/>
      <c r="I880" s="101"/>
      <c r="J880" s="101"/>
      <c r="K880" s="101"/>
      <c r="L880" s="101"/>
      <c r="M880" s="53"/>
      <c r="N880" s="53"/>
      <c r="O880" s="53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</row>
    <row r="881" ht="12.75" customHeight="1">
      <c r="A881" s="101"/>
      <c r="B881" s="54"/>
      <c r="C881" s="102"/>
      <c r="D881" s="101"/>
      <c r="E881" s="101"/>
      <c r="F881" s="101"/>
      <c r="G881" s="101"/>
      <c r="H881" s="101"/>
      <c r="I881" s="101"/>
      <c r="J881" s="101"/>
      <c r="K881" s="101"/>
      <c r="L881" s="101"/>
      <c r="M881" s="53"/>
      <c r="N881" s="53"/>
      <c r="O881" s="53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</row>
    <row r="882" ht="12.75" customHeight="1">
      <c r="A882" s="101"/>
      <c r="B882" s="54"/>
      <c r="C882" s="102"/>
      <c r="D882" s="101"/>
      <c r="E882" s="101"/>
      <c r="F882" s="101"/>
      <c r="G882" s="101"/>
      <c r="H882" s="101"/>
      <c r="I882" s="101"/>
      <c r="J882" s="101"/>
      <c r="K882" s="101"/>
      <c r="L882" s="101"/>
      <c r="M882" s="53"/>
      <c r="N882" s="53"/>
      <c r="O882" s="53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</row>
    <row r="883" ht="12.75" customHeight="1">
      <c r="A883" s="101"/>
      <c r="B883" s="54"/>
      <c r="C883" s="102"/>
      <c r="D883" s="101"/>
      <c r="E883" s="101"/>
      <c r="F883" s="101"/>
      <c r="G883" s="101"/>
      <c r="H883" s="101"/>
      <c r="I883" s="101"/>
      <c r="J883" s="101"/>
      <c r="K883" s="101"/>
      <c r="L883" s="101"/>
      <c r="M883" s="53"/>
      <c r="N883" s="53"/>
      <c r="O883" s="53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</row>
    <row r="884" ht="12.75" customHeight="1">
      <c r="A884" s="101"/>
      <c r="B884" s="54"/>
      <c r="C884" s="102"/>
      <c r="D884" s="101"/>
      <c r="E884" s="101"/>
      <c r="F884" s="101"/>
      <c r="G884" s="101"/>
      <c r="H884" s="101"/>
      <c r="I884" s="101"/>
      <c r="J884" s="101"/>
      <c r="K884" s="101"/>
      <c r="L884" s="101"/>
      <c r="M884" s="53"/>
      <c r="N884" s="53"/>
      <c r="O884" s="53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</row>
    <row r="885" ht="12.75" customHeight="1">
      <c r="A885" s="101"/>
      <c r="B885" s="54"/>
      <c r="C885" s="102"/>
      <c r="D885" s="101"/>
      <c r="E885" s="101"/>
      <c r="F885" s="101"/>
      <c r="G885" s="101"/>
      <c r="H885" s="101"/>
      <c r="I885" s="101"/>
      <c r="J885" s="101"/>
      <c r="K885" s="101"/>
      <c r="L885" s="101"/>
      <c r="M885" s="53"/>
      <c r="N885" s="53"/>
      <c r="O885" s="53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</row>
    <row r="886" ht="12.75" customHeight="1">
      <c r="A886" s="101"/>
      <c r="B886" s="54"/>
      <c r="C886" s="102"/>
      <c r="D886" s="101"/>
      <c r="E886" s="101"/>
      <c r="F886" s="101"/>
      <c r="G886" s="101"/>
      <c r="H886" s="101"/>
      <c r="I886" s="101"/>
      <c r="J886" s="101"/>
      <c r="K886" s="101"/>
      <c r="L886" s="101"/>
      <c r="M886" s="53"/>
      <c r="N886" s="53"/>
      <c r="O886" s="53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</row>
    <row r="887" ht="12.75" customHeight="1">
      <c r="A887" s="101"/>
      <c r="B887" s="54"/>
      <c r="C887" s="102"/>
      <c r="D887" s="101"/>
      <c r="E887" s="101"/>
      <c r="F887" s="101"/>
      <c r="G887" s="101"/>
      <c r="H887" s="101"/>
      <c r="I887" s="101"/>
      <c r="J887" s="101"/>
      <c r="K887" s="101"/>
      <c r="L887" s="101"/>
      <c r="M887" s="53"/>
      <c r="N887" s="53"/>
      <c r="O887" s="53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</row>
    <row r="888" ht="12.75" customHeight="1">
      <c r="A888" s="101"/>
      <c r="B888" s="54"/>
      <c r="C888" s="102"/>
      <c r="D888" s="101"/>
      <c r="E888" s="101"/>
      <c r="F888" s="101"/>
      <c r="G888" s="101"/>
      <c r="H888" s="101"/>
      <c r="I888" s="101"/>
      <c r="J888" s="101"/>
      <c r="K888" s="101"/>
      <c r="L888" s="101"/>
      <c r="M888" s="53"/>
      <c r="N888" s="53"/>
      <c r="O888" s="53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</row>
    <row r="889" ht="12.75" customHeight="1">
      <c r="A889" s="101"/>
      <c r="B889" s="54"/>
      <c r="C889" s="102"/>
      <c r="D889" s="101"/>
      <c r="E889" s="101"/>
      <c r="F889" s="101"/>
      <c r="G889" s="101"/>
      <c r="H889" s="101"/>
      <c r="I889" s="101"/>
      <c r="J889" s="101"/>
      <c r="K889" s="101"/>
      <c r="L889" s="101"/>
      <c r="M889" s="53"/>
      <c r="N889" s="53"/>
      <c r="O889" s="53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</row>
    <row r="890" ht="12.75" customHeight="1">
      <c r="A890" s="101"/>
      <c r="B890" s="54"/>
      <c r="C890" s="102"/>
      <c r="D890" s="101"/>
      <c r="E890" s="101"/>
      <c r="F890" s="101"/>
      <c r="G890" s="101"/>
      <c r="H890" s="101"/>
      <c r="I890" s="101"/>
      <c r="J890" s="101"/>
      <c r="K890" s="101"/>
      <c r="L890" s="101"/>
      <c r="M890" s="53"/>
      <c r="N890" s="53"/>
      <c r="O890" s="53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</row>
    <row r="891" ht="12.75" customHeight="1">
      <c r="A891" s="101"/>
      <c r="B891" s="54"/>
      <c r="C891" s="102"/>
      <c r="D891" s="101"/>
      <c r="E891" s="101"/>
      <c r="F891" s="101"/>
      <c r="G891" s="101"/>
      <c r="H891" s="101"/>
      <c r="I891" s="101"/>
      <c r="J891" s="101"/>
      <c r="K891" s="101"/>
      <c r="L891" s="101"/>
      <c r="M891" s="53"/>
      <c r="N891" s="53"/>
      <c r="O891" s="53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</row>
    <row r="892" ht="12.75" customHeight="1">
      <c r="A892" s="101"/>
      <c r="B892" s="54"/>
      <c r="C892" s="102"/>
      <c r="D892" s="101"/>
      <c r="E892" s="101"/>
      <c r="F892" s="101"/>
      <c r="G892" s="101"/>
      <c r="H892" s="101"/>
      <c r="I892" s="101"/>
      <c r="J892" s="101"/>
      <c r="K892" s="101"/>
      <c r="L892" s="101"/>
      <c r="M892" s="53"/>
      <c r="N892" s="53"/>
      <c r="O892" s="53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</row>
    <row r="893" ht="12.75" customHeight="1">
      <c r="A893" s="101"/>
      <c r="B893" s="54"/>
      <c r="C893" s="102"/>
      <c r="D893" s="101"/>
      <c r="E893" s="101"/>
      <c r="F893" s="101"/>
      <c r="G893" s="101"/>
      <c r="H893" s="101"/>
      <c r="I893" s="101"/>
      <c r="J893" s="101"/>
      <c r="K893" s="101"/>
      <c r="L893" s="101"/>
      <c r="M893" s="53"/>
      <c r="N893" s="53"/>
      <c r="O893" s="53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</row>
    <row r="894" ht="12.75" customHeight="1">
      <c r="A894" s="101"/>
      <c r="B894" s="54"/>
      <c r="C894" s="102"/>
      <c r="D894" s="101"/>
      <c r="E894" s="101"/>
      <c r="F894" s="101"/>
      <c r="G894" s="101"/>
      <c r="H894" s="101"/>
      <c r="I894" s="101"/>
      <c r="J894" s="101"/>
      <c r="K894" s="101"/>
      <c r="L894" s="101"/>
      <c r="M894" s="53"/>
      <c r="N894" s="53"/>
      <c r="O894" s="53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</row>
    <row r="895" ht="12.75" customHeight="1">
      <c r="A895" s="101"/>
      <c r="B895" s="54"/>
      <c r="C895" s="102"/>
      <c r="D895" s="101"/>
      <c r="E895" s="101"/>
      <c r="F895" s="101"/>
      <c r="G895" s="101"/>
      <c r="H895" s="101"/>
      <c r="I895" s="101"/>
      <c r="J895" s="101"/>
      <c r="K895" s="101"/>
      <c r="L895" s="101"/>
      <c r="M895" s="53"/>
      <c r="N895" s="53"/>
      <c r="O895" s="53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</row>
    <row r="896" ht="12.75" customHeight="1">
      <c r="A896" s="101"/>
      <c r="B896" s="54"/>
      <c r="C896" s="102"/>
      <c r="D896" s="101"/>
      <c r="E896" s="101"/>
      <c r="F896" s="101"/>
      <c r="G896" s="101"/>
      <c r="H896" s="101"/>
      <c r="I896" s="101"/>
      <c r="J896" s="101"/>
      <c r="K896" s="101"/>
      <c r="L896" s="101"/>
      <c r="M896" s="53"/>
      <c r="N896" s="53"/>
      <c r="O896" s="53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</row>
    <row r="897" ht="12.75" customHeight="1">
      <c r="A897" s="101"/>
      <c r="B897" s="54"/>
      <c r="C897" s="102"/>
      <c r="D897" s="101"/>
      <c r="E897" s="101"/>
      <c r="F897" s="101"/>
      <c r="G897" s="101"/>
      <c r="H897" s="101"/>
      <c r="I897" s="101"/>
      <c r="J897" s="101"/>
      <c r="K897" s="101"/>
      <c r="L897" s="101"/>
      <c r="M897" s="53"/>
      <c r="N897" s="53"/>
      <c r="O897" s="53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</row>
    <row r="898" ht="12.75" customHeight="1">
      <c r="A898" s="101"/>
      <c r="B898" s="54"/>
      <c r="C898" s="102"/>
      <c r="D898" s="101"/>
      <c r="E898" s="101"/>
      <c r="F898" s="101"/>
      <c r="G898" s="101"/>
      <c r="H898" s="101"/>
      <c r="I898" s="101"/>
      <c r="J898" s="101"/>
      <c r="K898" s="101"/>
      <c r="L898" s="101"/>
      <c r="M898" s="53"/>
      <c r="N898" s="53"/>
      <c r="O898" s="53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</row>
    <row r="899" ht="12.75" customHeight="1">
      <c r="A899" s="101"/>
      <c r="B899" s="54"/>
      <c r="C899" s="102"/>
      <c r="D899" s="101"/>
      <c r="E899" s="101"/>
      <c r="F899" s="101"/>
      <c r="G899" s="101"/>
      <c r="H899" s="101"/>
      <c r="I899" s="101"/>
      <c r="J899" s="101"/>
      <c r="K899" s="101"/>
      <c r="L899" s="101"/>
      <c r="M899" s="53"/>
      <c r="N899" s="53"/>
      <c r="O899" s="53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</row>
    <row r="900" ht="12.75" customHeight="1">
      <c r="A900" s="101"/>
      <c r="B900" s="54"/>
      <c r="C900" s="102"/>
      <c r="D900" s="101"/>
      <c r="E900" s="101"/>
      <c r="F900" s="101"/>
      <c r="G900" s="101"/>
      <c r="H900" s="101"/>
      <c r="I900" s="101"/>
      <c r="J900" s="101"/>
      <c r="K900" s="101"/>
      <c r="L900" s="101"/>
      <c r="M900" s="53"/>
      <c r="N900" s="53"/>
      <c r="O900" s="53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</row>
    <row r="901" ht="12.75" customHeight="1">
      <c r="A901" s="101"/>
      <c r="B901" s="54"/>
      <c r="C901" s="102"/>
      <c r="D901" s="101"/>
      <c r="E901" s="101"/>
      <c r="F901" s="101"/>
      <c r="G901" s="101"/>
      <c r="H901" s="101"/>
      <c r="I901" s="101"/>
      <c r="J901" s="101"/>
      <c r="K901" s="101"/>
      <c r="L901" s="101"/>
      <c r="M901" s="53"/>
      <c r="N901" s="53"/>
      <c r="O901" s="53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</row>
    <row r="902" ht="12.75" customHeight="1">
      <c r="A902" s="101"/>
      <c r="B902" s="54"/>
      <c r="C902" s="102"/>
      <c r="D902" s="101"/>
      <c r="E902" s="101"/>
      <c r="F902" s="101"/>
      <c r="G902" s="101"/>
      <c r="H902" s="101"/>
      <c r="I902" s="101"/>
      <c r="J902" s="101"/>
      <c r="K902" s="101"/>
      <c r="L902" s="101"/>
      <c r="M902" s="53"/>
      <c r="N902" s="53"/>
      <c r="O902" s="53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</row>
    <row r="903" ht="12.75" customHeight="1">
      <c r="A903" s="101"/>
      <c r="B903" s="54"/>
      <c r="C903" s="102"/>
      <c r="D903" s="101"/>
      <c r="E903" s="101"/>
      <c r="F903" s="101"/>
      <c r="G903" s="101"/>
      <c r="H903" s="101"/>
      <c r="I903" s="101"/>
      <c r="J903" s="101"/>
      <c r="K903" s="101"/>
      <c r="L903" s="101"/>
      <c r="M903" s="53"/>
      <c r="N903" s="53"/>
      <c r="O903" s="53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</row>
    <row r="904" ht="12.75" customHeight="1">
      <c r="A904" s="101"/>
      <c r="B904" s="54"/>
      <c r="C904" s="102"/>
      <c r="D904" s="101"/>
      <c r="E904" s="101"/>
      <c r="F904" s="101"/>
      <c r="G904" s="101"/>
      <c r="H904" s="101"/>
      <c r="I904" s="101"/>
      <c r="J904" s="101"/>
      <c r="K904" s="101"/>
      <c r="L904" s="101"/>
      <c r="M904" s="53"/>
      <c r="N904" s="53"/>
      <c r="O904" s="53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</row>
    <row r="905" ht="12.75" customHeight="1">
      <c r="A905" s="101"/>
      <c r="B905" s="54"/>
      <c r="C905" s="102"/>
      <c r="D905" s="101"/>
      <c r="E905" s="101"/>
      <c r="F905" s="101"/>
      <c r="G905" s="101"/>
      <c r="H905" s="101"/>
      <c r="I905" s="101"/>
      <c r="J905" s="101"/>
      <c r="K905" s="101"/>
      <c r="L905" s="101"/>
      <c r="M905" s="53"/>
      <c r="N905" s="53"/>
      <c r="O905" s="53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</row>
    <row r="906" ht="12.75" customHeight="1">
      <c r="A906" s="101"/>
      <c r="B906" s="54"/>
      <c r="C906" s="102"/>
      <c r="D906" s="101"/>
      <c r="E906" s="101"/>
      <c r="F906" s="101"/>
      <c r="G906" s="101"/>
      <c r="H906" s="101"/>
      <c r="I906" s="101"/>
      <c r="J906" s="101"/>
      <c r="K906" s="101"/>
      <c r="L906" s="101"/>
      <c r="M906" s="53"/>
      <c r="N906" s="53"/>
      <c r="O906" s="53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</row>
    <row r="907" ht="12.75" customHeight="1">
      <c r="A907" s="101"/>
      <c r="B907" s="54"/>
      <c r="C907" s="102"/>
      <c r="D907" s="101"/>
      <c r="E907" s="101"/>
      <c r="F907" s="101"/>
      <c r="G907" s="101"/>
      <c r="H907" s="101"/>
      <c r="I907" s="101"/>
      <c r="J907" s="101"/>
      <c r="K907" s="101"/>
      <c r="L907" s="101"/>
      <c r="M907" s="53"/>
      <c r="N907" s="53"/>
      <c r="O907" s="53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</row>
    <row r="908" ht="12.75" customHeight="1">
      <c r="A908" s="101"/>
      <c r="B908" s="54"/>
      <c r="C908" s="102"/>
      <c r="D908" s="101"/>
      <c r="E908" s="101"/>
      <c r="F908" s="101"/>
      <c r="G908" s="101"/>
      <c r="H908" s="101"/>
      <c r="I908" s="101"/>
      <c r="J908" s="101"/>
      <c r="K908" s="101"/>
      <c r="L908" s="101"/>
      <c r="M908" s="53"/>
      <c r="N908" s="53"/>
      <c r="O908" s="53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</row>
    <row r="909" ht="12.75" customHeight="1">
      <c r="A909" s="101"/>
      <c r="B909" s="54"/>
      <c r="C909" s="102"/>
      <c r="D909" s="101"/>
      <c r="E909" s="101"/>
      <c r="F909" s="101"/>
      <c r="G909" s="101"/>
      <c r="H909" s="101"/>
      <c r="I909" s="101"/>
      <c r="J909" s="101"/>
      <c r="K909" s="101"/>
      <c r="L909" s="101"/>
      <c r="M909" s="53"/>
      <c r="N909" s="53"/>
      <c r="O909" s="53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</row>
    <row r="910" ht="12.75" customHeight="1">
      <c r="A910" s="101"/>
      <c r="B910" s="54"/>
      <c r="C910" s="102"/>
      <c r="D910" s="101"/>
      <c r="E910" s="101"/>
      <c r="F910" s="101"/>
      <c r="G910" s="101"/>
      <c r="H910" s="101"/>
      <c r="I910" s="101"/>
      <c r="J910" s="101"/>
      <c r="K910" s="101"/>
      <c r="L910" s="101"/>
      <c r="M910" s="53"/>
      <c r="N910" s="53"/>
      <c r="O910" s="53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</row>
    <row r="911" ht="12.75" customHeight="1">
      <c r="A911" s="101"/>
      <c r="B911" s="54"/>
      <c r="C911" s="102"/>
      <c r="D911" s="101"/>
      <c r="E911" s="101"/>
      <c r="F911" s="101"/>
      <c r="G911" s="101"/>
      <c r="H911" s="101"/>
      <c r="I911" s="101"/>
      <c r="J911" s="101"/>
      <c r="K911" s="101"/>
      <c r="L911" s="101"/>
      <c r="M911" s="53"/>
      <c r="N911" s="53"/>
      <c r="O911" s="53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</row>
    <row r="912" ht="12.75" customHeight="1">
      <c r="A912" s="101"/>
      <c r="B912" s="54"/>
      <c r="C912" s="102"/>
      <c r="D912" s="101"/>
      <c r="E912" s="101"/>
      <c r="F912" s="101"/>
      <c r="G912" s="101"/>
      <c r="H912" s="101"/>
      <c r="I912" s="101"/>
      <c r="J912" s="101"/>
      <c r="K912" s="101"/>
      <c r="L912" s="101"/>
      <c r="M912" s="53"/>
      <c r="N912" s="53"/>
      <c r="O912" s="53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</row>
    <row r="913" ht="12.75" customHeight="1">
      <c r="A913" s="101"/>
      <c r="B913" s="54"/>
      <c r="C913" s="102"/>
      <c r="D913" s="101"/>
      <c r="E913" s="101"/>
      <c r="F913" s="101"/>
      <c r="G913" s="101"/>
      <c r="H913" s="101"/>
      <c r="I913" s="101"/>
      <c r="J913" s="101"/>
      <c r="K913" s="101"/>
      <c r="L913" s="101"/>
      <c r="M913" s="53"/>
      <c r="N913" s="53"/>
      <c r="O913" s="53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</row>
    <row r="914" ht="12.75" customHeight="1">
      <c r="A914" s="101"/>
      <c r="B914" s="54"/>
      <c r="C914" s="102"/>
      <c r="D914" s="101"/>
      <c r="E914" s="101"/>
      <c r="F914" s="101"/>
      <c r="G914" s="101"/>
      <c r="H914" s="101"/>
      <c r="I914" s="101"/>
      <c r="J914" s="101"/>
      <c r="K914" s="101"/>
      <c r="L914" s="101"/>
      <c r="M914" s="53"/>
      <c r="N914" s="53"/>
      <c r="O914" s="53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</row>
    <row r="915" ht="12.75" customHeight="1">
      <c r="A915" s="101"/>
      <c r="B915" s="54"/>
      <c r="C915" s="102"/>
      <c r="D915" s="101"/>
      <c r="E915" s="101"/>
      <c r="F915" s="101"/>
      <c r="G915" s="101"/>
      <c r="H915" s="101"/>
      <c r="I915" s="101"/>
      <c r="J915" s="101"/>
      <c r="K915" s="101"/>
      <c r="L915" s="101"/>
      <c r="M915" s="53"/>
      <c r="N915" s="53"/>
      <c r="O915" s="53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</row>
    <row r="916" ht="12.75" customHeight="1">
      <c r="A916" s="101"/>
      <c r="B916" s="54"/>
      <c r="C916" s="102"/>
      <c r="D916" s="101"/>
      <c r="E916" s="101"/>
      <c r="F916" s="101"/>
      <c r="G916" s="101"/>
      <c r="H916" s="101"/>
      <c r="I916" s="101"/>
      <c r="J916" s="101"/>
      <c r="K916" s="101"/>
      <c r="L916" s="101"/>
      <c r="M916" s="53"/>
      <c r="N916" s="53"/>
      <c r="O916" s="53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</row>
    <row r="917" ht="12.75" customHeight="1">
      <c r="A917" s="101"/>
      <c r="B917" s="54"/>
      <c r="C917" s="102"/>
      <c r="D917" s="101"/>
      <c r="E917" s="101"/>
      <c r="F917" s="101"/>
      <c r="G917" s="101"/>
      <c r="H917" s="101"/>
      <c r="I917" s="101"/>
      <c r="J917" s="101"/>
      <c r="K917" s="101"/>
      <c r="L917" s="101"/>
      <c r="M917" s="53"/>
      <c r="N917" s="53"/>
      <c r="O917" s="53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</row>
    <row r="918" ht="12.75" customHeight="1">
      <c r="A918" s="101"/>
      <c r="B918" s="54"/>
      <c r="C918" s="102"/>
      <c r="D918" s="101"/>
      <c r="E918" s="101"/>
      <c r="F918" s="101"/>
      <c r="G918" s="101"/>
      <c r="H918" s="101"/>
      <c r="I918" s="101"/>
      <c r="J918" s="101"/>
      <c r="K918" s="101"/>
      <c r="L918" s="101"/>
      <c r="M918" s="53"/>
      <c r="N918" s="53"/>
      <c r="O918" s="53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</row>
    <row r="919" ht="12.75" customHeight="1">
      <c r="A919" s="101"/>
      <c r="B919" s="54"/>
      <c r="C919" s="102"/>
      <c r="D919" s="101"/>
      <c r="E919" s="101"/>
      <c r="F919" s="101"/>
      <c r="G919" s="101"/>
      <c r="H919" s="101"/>
      <c r="I919" s="101"/>
      <c r="J919" s="101"/>
      <c r="K919" s="101"/>
      <c r="L919" s="101"/>
      <c r="M919" s="53"/>
      <c r="N919" s="53"/>
      <c r="O919" s="53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</row>
    <row r="920" ht="12.75" customHeight="1">
      <c r="A920" s="101"/>
      <c r="B920" s="54"/>
      <c r="C920" s="102"/>
      <c r="D920" s="101"/>
      <c r="E920" s="101"/>
      <c r="F920" s="101"/>
      <c r="G920" s="101"/>
      <c r="H920" s="101"/>
      <c r="I920" s="101"/>
      <c r="J920" s="101"/>
      <c r="K920" s="101"/>
      <c r="L920" s="101"/>
      <c r="M920" s="53"/>
      <c r="N920" s="53"/>
      <c r="O920" s="53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</row>
    <row r="921" ht="12.75" customHeight="1">
      <c r="A921" s="101"/>
      <c r="B921" s="54"/>
      <c r="C921" s="102"/>
      <c r="D921" s="101"/>
      <c r="E921" s="101"/>
      <c r="F921" s="101"/>
      <c r="G921" s="101"/>
      <c r="H921" s="101"/>
      <c r="I921" s="101"/>
      <c r="J921" s="101"/>
      <c r="K921" s="101"/>
      <c r="L921" s="101"/>
      <c r="M921" s="53"/>
      <c r="N921" s="53"/>
      <c r="O921" s="53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</row>
    <row r="922" ht="12.75" customHeight="1">
      <c r="A922" s="101"/>
      <c r="B922" s="54"/>
      <c r="C922" s="102"/>
      <c r="D922" s="101"/>
      <c r="E922" s="101"/>
      <c r="F922" s="101"/>
      <c r="G922" s="101"/>
      <c r="H922" s="101"/>
      <c r="I922" s="101"/>
      <c r="J922" s="101"/>
      <c r="K922" s="101"/>
      <c r="L922" s="101"/>
      <c r="M922" s="53"/>
      <c r="N922" s="53"/>
      <c r="O922" s="53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</row>
    <row r="923" ht="12.75" customHeight="1">
      <c r="A923" s="101"/>
      <c r="B923" s="54"/>
      <c r="C923" s="102"/>
      <c r="D923" s="101"/>
      <c r="E923" s="101"/>
      <c r="F923" s="101"/>
      <c r="G923" s="101"/>
      <c r="H923" s="101"/>
      <c r="I923" s="101"/>
      <c r="J923" s="101"/>
      <c r="K923" s="101"/>
      <c r="L923" s="101"/>
      <c r="M923" s="53"/>
      <c r="N923" s="53"/>
      <c r="O923" s="53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</row>
    <row r="924" ht="12.75" customHeight="1">
      <c r="A924" s="101"/>
      <c r="B924" s="54"/>
      <c r="C924" s="102"/>
      <c r="D924" s="101"/>
      <c r="E924" s="101"/>
      <c r="F924" s="101"/>
      <c r="G924" s="101"/>
      <c r="H924" s="101"/>
      <c r="I924" s="101"/>
      <c r="J924" s="101"/>
      <c r="K924" s="101"/>
      <c r="L924" s="101"/>
      <c r="M924" s="53"/>
      <c r="N924" s="53"/>
      <c r="O924" s="53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</row>
    <row r="925" ht="12.75" customHeight="1">
      <c r="A925" s="101"/>
      <c r="B925" s="54"/>
      <c r="C925" s="102"/>
      <c r="D925" s="101"/>
      <c r="E925" s="101"/>
      <c r="F925" s="101"/>
      <c r="G925" s="101"/>
      <c r="H925" s="101"/>
      <c r="I925" s="101"/>
      <c r="J925" s="101"/>
      <c r="K925" s="101"/>
      <c r="L925" s="101"/>
      <c r="M925" s="53"/>
      <c r="N925" s="53"/>
      <c r="O925" s="53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</row>
    <row r="926" ht="12.75" customHeight="1">
      <c r="A926" s="101"/>
      <c r="B926" s="54"/>
      <c r="C926" s="102"/>
      <c r="D926" s="101"/>
      <c r="E926" s="101"/>
      <c r="F926" s="101"/>
      <c r="G926" s="101"/>
      <c r="H926" s="101"/>
      <c r="I926" s="101"/>
      <c r="J926" s="101"/>
      <c r="K926" s="101"/>
      <c r="L926" s="101"/>
      <c r="M926" s="53"/>
      <c r="N926" s="53"/>
      <c r="O926" s="53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</row>
    <row r="927" ht="12.75" customHeight="1">
      <c r="A927" s="101"/>
      <c r="B927" s="54"/>
      <c r="C927" s="102"/>
      <c r="D927" s="101"/>
      <c r="E927" s="101"/>
      <c r="F927" s="101"/>
      <c r="G927" s="101"/>
      <c r="H927" s="101"/>
      <c r="I927" s="101"/>
      <c r="J927" s="101"/>
      <c r="K927" s="101"/>
      <c r="L927" s="101"/>
      <c r="M927" s="53"/>
      <c r="N927" s="53"/>
      <c r="O927" s="53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</row>
    <row r="928" ht="12.75" customHeight="1">
      <c r="A928" s="101"/>
      <c r="B928" s="54"/>
      <c r="C928" s="102"/>
      <c r="D928" s="101"/>
      <c r="E928" s="101"/>
      <c r="F928" s="101"/>
      <c r="G928" s="101"/>
      <c r="H928" s="101"/>
      <c r="I928" s="101"/>
      <c r="J928" s="101"/>
      <c r="K928" s="101"/>
      <c r="L928" s="101"/>
      <c r="M928" s="53"/>
      <c r="N928" s="53"/>
      <c r="O928" s="53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</row>
    <row r="929" ht="12.75" customHeight="1">
      <c r="A929" s="101"/>
      <c r="B929" s="54"/>
      <c r="C929" s="102"/>
      <c r="D929" s="101"/>
      <c r="E929" s="101"/>
      <c r="F929" s="101"/>
      <c r="G929" s="101"/>
      <c r="H929" s="101"/>
      <c r="I929" s="101"/>
      <c r="J929" s="101"/>
      <c r="K929" s="101"/>
      <c r="L929" s="101"/>
      <c r="M929" s="53"/>
      <c r="N929" s="53"/>
      <c r="O929" s="53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</row>
    <row r="930" ht="12.75" customHeight="1">
      <c r="A930" s="101"/>
      <c r="B930" s="54"/>
      <c r="C930" s="102"/>
      <c r="D930" s="101"/>
      <c r="E930" s="101"/>
      <c r="F930" s="101"/>
      <c r="G930" s="101"/>
      <c r="H930" s="101"/>
      <c r="I930" s="101"/>
      <c r="J930" s="101"/>
      <c r="K930" s="101"/>
      <c r="L930" s="101"/>
      <c r="M930" s="53"/>
      <c r="N930" s="53"/>
      <c r="O930" s="53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</row>
    <row r="931" ht="12.75" customHeight="1">
      <c r="A931" s="101"/>
      <c r="B931" s="54"/>
      <c r="C931" s="102"/>
      <c r="D931" s="101"/>
      <c r="E931" s="101"/>
      <c r="F931" s="101"/>
      <c r="G931" s="101"/>
      <c r="H931" s="101"/>
      <c r="I931" s="101"/>
      <c r="J931" s="101"/>
      <c r="K931" s="101"/>
      <c r="L931" s="101"/>
      <c r="M931" s="53"/>
      <c r="N931" s="53"/>
      <c r="O931" s="53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</row>
    <row r="932" ht="12.75" customHeight="1">
      <c r="A932" s="101"/>
      <c r="B932" s="54"/>
      <c r="C932" s="102"/>
      <c r="D932" s="101"/>
      <c r="E932" s="101"/>
      <c r="F932" s="101"/>
      <c r="G932" s="101"/>
      <c r="H932" s="101"/>
      <c r="I932" s="101"/>
      <c r="J932" s="101"/>
      <c r="K932" s="101"/>
      <c r="L932" s="101"/>
      <c r="M932" s="53"/>
      <c r="N932" s="53"/>
      <c r="O932" s="53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</row>
    <row r="933" ht="12.75" customHeight="1">
      <c r="A933" s="101"/>
      <c r="B933" s="54"/>
      <c r="C933" s="102"/>
      <c r="D933" s="101"/>
      <c r="E933" s="101"/>
      <c r="F933" s="101"/>
      <c r="G933" s="101"/>
      <c r="H933" s="101"/>
      <c r="I933" s="101"/>
      <c r="J933" s="101"/>
      <c r="K933" s="101"/>
      <c r="L933" s="101"/>
      <c r="M933" s="53"/>
      <c r="N933" s="53"/>
      <c r="O933" s="53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</row>
    <row r="934" ht="12.75" customHeight="1">
      <c r="A934" s="101"/>
      <c r="B934" s="54"/>
      <c r="C934" s="102"/>
      <c r="D934" s="101"/>
      <c r="E934" s="101"/>
      <c r="F934" s="101"/>
      <c r="G934" s="101"/>
      <c r="H934" s="101"/>
      <c r="I934" s="101"/>
      <c r="J934" s="101"/>
      <c r="K934" s="101"/>
      <c r="L934" s="101"/>
      <c r="M934" s="53"/>
      <c r="N934" s="53"/>
      <c r="O934" s="53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</row>
    <row r="935" ht="12.75" customHeight="1">
      <c r="A935" s="101"/>
      <c r="B935" s="54"/>
      <c r="C935" s="102"/>
      <c r="D935" s="101"/>
      <c r="E935" s="101"/>
      <c r="F935" s="101"/>
      <c r="G935" s="101"/>
      <c r="H935" s="101"/>
      <c r="I935" s="101"/>
      <c r="J935" s="101"/>
      <c r="K935" s="101"/>
      <c r="L935" s="101"/>
      <c r="M935" s="53"/>
      <c r="N935" s="53"/>
      <c r="O935" s="53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</row>
    <row r="936" ht="12.75" customHeight="1">
      <c r="A936" s="101"/>
      <c r="B936" s="54"/>
      <c r="C936" s="102"/>
      <c r="D936" s="101"/>
      <c r="E936" s="101"/>
      <c r="F936" s="101"/>
      <c r="G936" s="101"/>
      <c r="H936" s="101"/>
      <c r="I936" s="101"/>
      <c r="J936" s="101"/>
      <c r="K936" s="101"/>
      <c r="L936" s="101"/>
      <c r="M936" s="53"/>
      <c r="N936" s="53"/>
      <c r="O936" s="53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</row>
    <row r="937" ht="12.75" customHeight="1">
      <c r="A937" s="101"/>
      <c r="B937" s="54"/>
      <c r="C937" s="102"/>
      <c r="D937" s="101"/>
      <c r="E937" s="101"/>
      <c r="F937" s="101"/>
      <c r="G937" s="101"/>
      <c r="H937" s="101"/>
      <c r="I937" s="101"/>
      <c r="J937" s="101"/>
      <c r="K937" s="101"/>
      <c r="L937" s="101"/>
      <c r="M937" s="53"/>
      <c r="N937" s="53"/>
      <c r="O937" s="53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</row>
    <row r="938" ht="12.75" customHeight="1">
      <c r="A938" s="101"/>
      <c r="B938" s="54"/>
      <c r="C938" s="102"/>
      <c r="D938" s="101"/>
      <c r="E938" s="101"/>
      <c r="F938" s="101"/>
      <c r="G938" s="101"/>
      <c r="H938" s="101"/>
      <c r="I938" s="101"/>
      <c r="J938" s="101"/>
      <c r="K938" s="101"/>
      <c r="L938" s="101"/>
      <c r="M938" s="53"/>
      <c r="N938" s="53"/>
      <c r="O938" s="53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</row>
    <row r="939" ht="12.75" customHeight="1">
      <c r="A939" s="101"/>
      <c r="B939" s="54"/>
      <c r="C939" s="102"/>
      <c r="D939" s="101"/>
      <c r="E939" s="101"/>
      <c r="F939" s="101"/>
      <c r="G939" s="101"/>
      <c r="H939" s="101"/>
      <c r="I939" s="101"/>
      <c r="J939" s="101"/>
      <c r="K939" s="101"/>
      <c r="L939" s="101"/>
      <c r="M939" s="53"/>
      <c r="N939" s="53"/>
      <c r="O939" s="53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</row>
    <row r="940" ht="12.75" customHeight="1">
      <c r="A940" s="101"/>
      <c r="B940" s="54"/>
      <c r="C940" s="102"/>
      <c r="D940" s="101"/>
      <c r="E940" s="101"/>
      <c r="F940" s="101"/>
      <c r="G940" s="101"/>
      <c r="H940" s="101"/>
      <c r="I940" s="101"/>
      <c r="J940" s="101"/>
      <c r="K940" s="101"/>
      <c r="L940" s="101"/>
      <c r="M940" s="53"/>
      <c r="N940" s="53"/>
      <c r="O940" s="53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</row>
    <row r="941" ht="12.75" customHeight="1">
      <c r="A941" s="101"/>
      <c r="B941" s="54"/>
      <c r="C941" s="102"/>
      <c r="D941" s="101"/>
      <c r="E941" s="101"/>
      <c r="F941" s="101"/>
      <c r="G941" s="101"/>
      <c r="H941" s="101"/>
      <c r="I941" s="101"/>
      <c r="J941" s="101"/>
      <c r="K941" s="101"/>
      <c r="L941" s="101"/>
      <c r="M941" s="53"/>
      <c r="N941" s="53"/>
      <c r="O941" s="53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</row>
    <row r="942" ht="12.75" customHeight="1">
      <c r="A942" s="101"/>
      <c r="B942" s="54"/>
      <c r="C942" s="102"/>
      <c r="D942" s="101"/>
      <c r="E942" s="101"/>
      <c r="F942" s="101"/>
      <c r="G942" s="101"/>
      <c r="H942" s="101"/>
      <c r="I942" s="101"/>
      <c r="J942" s="101"/>
      <c r="K942" s="101"/>
      <c r="L942" s="101"/>
      <c r="M942" s="53"/>
      <c r="N942" s="53"/>
      <c r="O942" s="53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</row>
    <row r="943" ht="12.75" customHeight="1">
      <c r="A943" s="101"/>
      <c r="B943" s="54"/>
      <c r="C943" s="102"/>
      <c r="D943" s="101"/>
      <c r="E943" s="101"/>
      <c r="F943" s="101"/>
      <c r="G943" s="101"/>
      <c r="H943" s="101"/>
      <c r="I943" s="101"/>
      <c r="J943" s="101"/>
      <c r="K943" s="101"/>
      <c r="L943" s="101"/>
      <c r="M943" s="53"/>
      <c r="N943" s="53"/>
      <c r="O943" s="53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</row>
    <row r="944" ht="12.75" customHeight="1">
      <c r="A944" s="101"/>
      <c r="B944" s="54"/>
      <c r="C944" s="102"/>
      <c r="D944" s="101"/>
      <c r="E944" s="101"/>
      <c r="F944" s="101"/>
      <c r="G944" s="101"/>
      <c r="H944" s="101"/>
      <c r="I944" s="101"/>
      <c r="J944" s="101"/>
      <c r="K944" s="101"/>
      <c r="L944" s="101"/>
      <c r="M944" s="53"/>
      <c r="N944" s="53"/>
      <c r="O944" s="53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</row>
    <row r="945" ht="12.75" customHeight="1">
      <c r="A945" s="101"/>
      <c r="B945" s="54"/>
      <c r="C945" s="102"/>
      <c r="D945" s="101"/>
      <c r="E945" s="101"/>
      <c r="F945" s="101"/>
      <c r="G945" s="101"/>
      <c r="H945" s="101"/>
      <c r="I945" s="101"/>
      <c r="J945" s="101"/>
      <c r="K945" s="101"/>
      <c r="L945" s="101"/>
      <c r="M945" s="53"/>
      <c r="N945" s="53"/>
      <c r="O945" s="53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</row>
    <row r="946" ht="12.75" customHeight="1">
      <c r="A946" s="101"/>
      <c r="B946" s="54"/>
      <c r="C946" s="102"/>
      <c r="D946" s="101"/>
      <c r="E946" s="101"/>
      <c r="F946" s="101"/>
      <c r="G946" s="101"/>
      <c r="H946" s="101"/>
      <c r="I946" s="101"/>
      <c r="J946" s="101"/>
      <c r="K946" s="101"/>
      <c r="L946" s="101"/>
      <c r="M946" s="53"/>
      <c r="N946" s="53"/>
      <c r="O946" s="53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</row>
    <row r="947" ht="12.75" customHeight="1">
      <c r="A947" s="101"/>
      <c r="B947" s="54"/>
      <c r="C947" s="102"/>
      <c r="D947" s="101"/>
      <c r="E947" s="101"/>
      <c r="F947" s="101"/>
      <c r="G947" s="101"/>
      <c r="H947" s="101"/>
      <c r="I947" s="101"/>
      <c r="J947" s="101"/>
      <c r="K947" s="101"/>
      <c r="L947" s="101"/>
      <c r="M947" s="53"/>
      <c r="N947" s="53"/>
      <c r="O947" s="53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</row>
    <row r="948" ht="12.75" customHeight="1">
      <c r="A948" s="101"/>
      <c r="B948" s="54"/>
      <c r="C948" s="102"/>
      <c r="D948" s="101"/>
      <c r="E948" s="101"/>
      <c r="F948" s="101"/>
      <c r="G948" s="101"/>
      <c r="H948" s="101"/>
      <c r="I948" s="101"/>
      <c r="J948" s="101"/>
      <c r="K948" s="101"/>
      <c r="L948" s="101"/>
      <c r="M948" s="53"/>
      <c r="N948" s="53"/>
      <c r="O948" s="53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</row>
    <row r="949" ht="12.75" customHeight="1">
      <c r="A949" s="101"/>
      <c r="B949" s="54"/>
      <c r="C949" s="102"/>
      <c r="D949" s="101"/>
      <c r="E949" s="101"/>
      <c r="F949" s="101"/>
      <c r="G949" s="101"/>
      <c r="H949" s="101"/>
      <c r="I949" s="101"/>
      <c r="J949" s="101"/>
      <c r="K949" s="101"/>
      <c r="L949" s="101"/>
      <c r="M949" s="53"/>
      <c r="N949" s="53"/>
      <c r="O949" s="53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</row>
    <row r="950" ht="12.75" customHeight="1">
      <c r="A950" s="101"/>
      <c r="B950" s="54"/>
      <c r="C950" s="102"/>
      <c r="D950" s="101"/>
      <c r="E950" s="101"/>
      <c r="F950" s="101"/>
      <c r="G950" s="101"/>
      <c r="H950" s="101"/>
      <c r="I950" s="101"/>
      <c r="J950" s="101"/>
      <c r="K950" s="101"/>
      <c r="L950" s="101"/>
      <c r="M950" s="53"/>
      <c r="N950" s="53"/>
      <c r="O950" s="53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</row>
    <row r="951" ht="12.75" customHeight="1">
      <c r="A951" s="101"/>
      <c r="B951" s="54"/>
      <c r="C951" s="102"/>
      <c r="D951" s="101"/>
      <c r="E951" s="101"/>
      <c r="F951" s="101"/>
      <c r="G951" s="101"/>
      <c r="H951" s="101"/>
      <c r="I951" s="101"/>
      <c r="J951" s="101"/>
      <c r="K951" s="101"/>
      <c r="L951" s="101"/>
      <c r="M951" s="53"/>
      <c r="N951" s="53"/>
      <c r="O951" s="53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</row>
    <row r="952" ht="12.75" customHeight="1">
      <c r="A952" s="101"/>
      <c r="B952" s="54"/>
      <c r="C952" s="102"/>
      <c r="D952" s="101"/>
      <c r="E952" s="101"/>
      <c r="F952" s="101"/>
      <c r="G952" s="101"/>
      <c r="H952" s="101"/>
      <c r="I952" s="101"/>
      <c r="J952" s="101"/>
      <c r="K952" s="101"/>
      <c r="L952" s="101"/>
      <c r="M952" s="53"/>
      <c r="N952" s="53"/>
      <c r="O952" s="53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</row>
    <row r="953" ht="12.75" customHeight="1">
      <c r="A953" s="101"/>
      <c r="B953" s="54"/>
      <c r="C953" s="102"/>
      <c r="D953" s="101"/>
      <c r="E953" s="101"/>
      <c r="F953" s="101"/>
      <c r="G953" s="101"/>
      <c r="H953" s="101"/>
      <c r="I953" s="101"/>
      <c r="J953" s="101"/>
      <c r="K953" s="101"/>
      <c r="L953" s="101"/>
      <c r="M953" s="53"/>
      <c r="N953" s="53"/>
      <c r="O953" s="53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</row>
    <row r="954" ht="12.75" customHeight="1">
      <c r="A954" s="101"/>
      <c r="B954" s="54"/>
      <c r="C954" s="102"/>
      <c r="D954" s="101"/>
      <c r="E954" s="101"/>
      <c r="F954" s="101"/>
      <c r="G954" s="101"/>
      <c r="H954" s="101"/>
      <c r="I954" s="101"/>
      <c r="J954" s="101"/>
      <c r="K954" s="101"/>
      <c r="L954" s="101"/>
      <c r="M954" s="53"/>
      <c r="N954" s="53"/>
      <c r="O954" s="53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</row>
    <row r="955" ht="12.75" customHeight="1">
      <c r="A955" s="101"/>
      <c r="B955" s="54"/>
      <c r="C955" s="102"/>
      <c r="D955" s="101"/>
      <c r="E955" s="101"/>
      <c r="F955" s="101"/>
      <c r="G955" s="101"/>
      <c r="H955" s="101"/>
      <c r="I955" s="101"/>
      <c r="J955" s="101"/>
      <c r="K955" s="101"/>
      <c r="L955" s="101"/>
      <c r="M955" s="53"/>
      <c r="N955" s="53"/>
      <c r="O955" s="53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</row>
    <row r="956" ht="12.75" customHeight="1">
      <c r="A956" s="101"/>
      <c r="B956" s="54"/>
      <c r="C956" s="102"/>
      <c r="D956" s="101"/>
      <c r="E956" s="101"/>
      <c r="F956" s="101"/>
      <c r="G956" s="101"/>
      <c r="H956" s="101"/>
      <c r="I956" s="101"/>
      <c r="J956" s="101"/>
      <c r="K956" s="101"/>
      <c r="L956" s="101"/>
      <c r="M956" s="53"/>
      <c r="N956" s="53"/>
      <c r="O956" s="53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</row>
    <row r="957" ht="12.75" customHeight="1">
      <c r="A957" s="101"/>
      <c r="B957" s="54"/>
      <c r="C957" s="102"/>
      <c r="D957" s="101"/>
      <c r="E957" s="101"/>
      <c r="F957" s="101"/>
      <c r="G957" s="101"/>
      <c r="H957" s="101"/>
      <c r="I957" s="101"/>
      <c r="J957" s="101"/>
      <c r="K957" s="101"/>
      <c r="L957" s="101"/>
      <c r="M957" s="53"/>
      <c r="N957" s="53"/>
      <c r="O957" s="53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</row>
    <row r="958" ht="12.75" customHeight="1">
      <c r="A958" s="101"/>
      <c r="B958" s="54"/>
      <c r="C958" s="102"/>
      <c r="D958" s="101"/>
      <c r="E958" s="101"/>
      <c r="F958" s="101"/>
      <c r="G958" s="101"/>
      <c r="H958" s="101"/>
      <c r="I958" s="101"/>
      <c r="J958" s="101"/>
      <c r="K958" s="101"/>
      <c r="L958" s="101"/>
      <c r="M958" s="53"/>
      <c r="N958" s="53"/>
      <c r="O958" s="53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</row>
    <row r="959" ht="12.75" customHeight="1">
      <c r="A959" s="101"/>
      <c r="B959" s="54"/>
      <c r="C959" s="102"/>
      <c r="D959" s="101"/>
      <c r="E959" s="101"/>
      <c r="F959" s="101"/>
      <c r="G959" s="101"/>
      <c r="H959" s="101"/>
      <c r="I959" s="101"/>
      <c r="J959" s="101"/>
      <c r="K959" s="101"/>
      <c r="L959" s="101"/>
      <c r="M959" s="53"/>
      <c r="N959" s="53"/>
      <c r="O959" s="53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</row>
    <row r="960" ht="12.75" customHeight="1">
      <c r="A960" s="101"/>
      <c r="B960" s="54"/>
      <c r="C960" s="102"/>
      <c r="D960" s="101"/>
      <c r="E960" s="101"/>
      <c r="F960" s="101"/>
      <c r="G960" s="101"/>
      <c r="H960" s="101"/>
      <c r="I960" s="101"/>
      <c r="J960" s="101"/>
      <c r="K960" s="101"/>
      <c r="L960" s="101"/>
      <c r="M960" s="53"/>
      <c r="N960" s="53"/>
      <c r="O960" s="53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</row>
    <row r="961" ht="12.75" customHeight="1">
      <c r="A961" s="101"/>
      <c r="B961" s="54"/>
      <c r="C961" s="102"/>
      <c r="D961" s="101"/>
      <c r="E961" s="101"/>
      <c r="F961" s="101"/>
      <c r="G961" s="101"/>
      <c r="H961" s="101"/>
      <c r="I961" s="101"/>
      <c r="J961" s="101"/>
      <c r="K961" s="101"/>
      <c r="L961" s="101"/>
      <c r="M961" s="53"/>
      <c r="N961" s="53"/>
      <c r="O961" s="53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</row>
    <row r="962" ht="12.75" customHeight="1">
      <c r="A962" s="101"/>
      <c r="B962" s="54"/>
      <c r="C962" s="102"/>
      <c r="D962" s="101"/>
      <c r="E962" s="101"/>
      <c r="F962" s="101"/>
      <c r="G962" s="101"/>
      <c r="H962" s="101"/>
      <c r="I962" s="101"/>
      <c r="J962" s="101"/>
      <c r="K962" s="101"/>
      <c r="L962" s="101"/>
      <c r="M962" s="53"/>
      <c r="N962" s="53"/>
      <c r="O962" s="53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</row>
    <row r="963" ht="12.75" customHeight="1">
      <c r="A963" s="101"/>
      <c r="B963" s="54"/>
      <c r="C963" s="102"/>
      <c r="D963" s="101"/>
      <c r="E963" s="101"/>
      <c r="F963" s="101"/>
      <c r="G963" s="101"/>
      <c r="H963" s="101"/>
      <c r="I963" s="101"/>
      <c r="J963" s="101"/>
      <c r="K963" s="101"/>
      <c r="L963" s="101"/>
      <c r="M963" s="53"/>
      <c r="N963" s="53"/>
      <c r="O963" s="53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</row>
    <row r="964" ht="12.75" customHeight="1">
      <c r="A964" s="101"/>
      <c r="B964" s="54"/>
      <c r="C964" s="102"/>
      <c r="D964" s="101"/>
      <c r="E964" s="101"/>
      <c r="F964" s="101"/>
      <c r="G964" s="101"/>
      <c r="H964" s="101"/>
      <c r="I964" s="101"/>
      <c r="J964" s="101"/>
      <c r="K964" s="101"/>
      <c r="L964" s="101"/>
      <c r="M964" s="53"/>
      <c r="N964" s="53"/>
      <c r="O964" s="53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</row>
    <row r="965" ht="12.75" customHeight="1">
      <c r="A965" s="101"/>
      <c r="B965" s="54"/>
      <c r="C965" s="102"/>
      <c r="D965" s="101"/>
      <c r="E965" s="101"/>
      <c r="F965" s="101"/>
      <c r="G965" s="101"/>
      <c r="H965" s="101"/>
      <c r="I965" s="101"/>
      <c r="J965" s="101"/>
      <c r="K965" s="101"/>
      <c r="L965" s="101"/>
      <c r="M965" s="53"/>
      <c r="N965" s="53"/>
      <c r="O965" s="53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</row>
    <row r="966" ht="12.75" customHeight="1">
      <c r="A966" s="101"/>
      <c r="B966" s="54"/>
      <c r="C966" s="102"/>
      <c r="D966" s="101"/>
      <c r="E966" s="101"/>
      <c r="F966" s="101"/>
      <c r="G966" s="101"/>
      <c r="H966" s="101"/>
      <c r="I966" s="101"/>
      <c r="J966" s="101"/>
      <c r="K966" s="101"/>
      <c r="L966" s="101"/>
      <c r="M966" s="53"/>
      <c r="N966" s="53"/>
      <c r="O966" s="53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</row>
    <row r="967" ht="12.75" customHeight="1">
      <c r="A967" s="101"/>
      <c r="B967" s="54"/>
      <c r="C967" s="102"/>
      <c r="D967" s="101"/>
      <c r="E967" s="101"/>
      <c r="F967" s="101"/>
      <c r="G967" s="101"/>
      <c r="H967" s="101"/>
      <c r="I967" s="101"/>
      <c r="J967" s="101"/>
      <c r="K967" s="101"/>
      <c r="L967" s="101"/>
      <c r="M967" s="53"/>
      <c r="N967" s="53"/>
      <c r="O967" s="53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</row>
    <row r="968" ht="12.75" customHeight="1">
      <c r="A968" s="101"/>
      <c r="B968" s="54"/>
      <c r="C968" s="102"/>
      <c r="D968" s="101"/>
      <c r="E968" s="101"/>
      <c r="F968" s="101"/>
      <c r="G968" s="101"/>
      <c r="H968" s="101"/>
      <c r="I968" s="101"/>
      <c r="J968" s="101"/>
      <c r="K968" s="101"/>
      <c r="L968" s="101"/>
      <c r="M968" s="53"/>
      <c r="N968" s="53"/>
      <c r="O968" s="53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</row>
    <row r="969" ht="12.75" customHeight="1">
      <c r="A969" s="101"/>
      <c r="B969" s="54"/>
      <c r="C969" s="102"/>
      <c r="D969" s="101"/>
      <c r="E969" s="101"/>
      <c r="F969" s="101"/>
      <c r="G969" s="101"/>
      <c r="H969" s="101"/>
      <c r="I969" s="101"/>
      <c r="J969" s="101"/>
      <c r="K969" s="101"/>
      <c r="L969" s="101"/>
      <c r="M969" s="53"/>
      <c r="N969" s="53"/>
      <c r="O969" s="53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</row>
    <row r="970" ht="12.75" customHeight="1">
      <c r="A970" s="101"/>
      <c r="B970" s="54"/>
      <c r="C970" s="102"/>
      <c r="D970" s="101"/>
      <c r="E970" s="101"/>
      <c r="F970" s="101"/>
      <c r="G970" s="101"/>
      <c r="H970" s="101"/>
      <c r="I970" s="101"/>
      <c r="J970" s="101"/>
      <c r="K970" s="101"/>
      <c r="L970" s="101"/>
      <c r="M970" s="53"/>
      <c r="N970" s="53"/>
      <c r="O970" s="53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</row>
    <row r="971" ht="12.75" customHeight="1">
      <c r="A971" s="101"/>
      <c r="B971" s="54"/>
      <c r="C971" s="102"/>
      <c r="D971" s="101"/>
      <c r="E971" s="101"/>
      <c r="F971" s="101"/>
      <c r="G971" s="101"/>
      <c r="H971" s="101"/>
      <c r="I971" s="101"/>
      <c r="J971" s="101"/>
      <c r="K971" s="101"/>
      <c r="L971" s="101"/>
      <c r="M971" s="53"/>
      <c r="N971" s="53"/>
      <c r="O971" s="53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</row>
    <row r="972" ht="12.75" customHeight="1">
      <c r="A972" s="101"/>
      <c r="B972" s="54"/>
      <c r="C972" s="102"/>
      <c r="D972" s="101"/>
      <c r="E972" s="101"/>
      <c r="F972" s="101"/>
      <c r="G972" s="101"/>
      <c r="H972" s="101"/>
      <c r="I972" s="101"/>
      <c r="J972" s="101"/>
      <c r="K972" s="101"/>
      <c r="L972" s="101"/>
      <c r="M972" s="53"/>
      <c r="N972" s="53"/>
      <c r="O972" s="53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</row>
    <row r="973" ht="12.75" customHeight="1">
      <c r="A973" s="101"/>
      <c r="B973" s="54"/>
      <c r="C973" s="102"/>
      <c r="D973" s="101"/>
      <c r="E973" s="101"/>
      <c r="F973" s="101"/>
      <c r="G973" s="101"/>
      <c r="H973" s="101"/>
      <c r="I973" s="101"/>
      <c r="J973" s="101"/>
      <c r="K973" s="101"/>
      <c r="L973" s="101"/>
      <c r="M973" s="53"/>
      <c r="N973" s="53"/>
      <c r="O973" s="53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</row>
    <row r="974" ht="12.75" customHeight="1">
      <c r="A974" s="101"/>
      <c r="B974" s="54"/>
      <c r="C974" s="102"/>
      <c r="D974" s="101"/>
      <c r="E974" s="101"/>
      <c r="F974" s="101"/>
      <c r="G974" s="101"/>
      <c r="H974" s="101"/>
      <c r="I974" s="101"/>
      <c r="J974" s="101"/>
      <c r="K974" s="101"/>
      <c r="L974" s="101"/>
      <c r="M974" s="53"/>
      <c r="N974" s="53"/>
      <c r="O974" s="53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</row>
    <row r="975" ht="12.75" customHeight="1">
      <c r="A975" s="101"/>
      <c r="B975" s="54"/>
      <c r="C975" s="102"/>
      <c r="D975" s="101"/>
      <c r="E975" s="101"/>
      <c r="F975" s="101"/>
      <c r="G975" s="101"/>
      <c r="H975" s="101"/>
      <c r="I975" s="101"/>
      <c r="J975" s="101"/>
      <c r="K975" s="101"/>
      <c r="L975" s="101"/>
      <c r="M975" s="53"/>
      <c r="N975" s="53"/>
      <c r="O975" s="53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</row>
    <row r="976" ht="12.75" customHeight="1">
      <c r="A976" s="101"/>
      <c r="B976" s="54"/>
      <c r="C976" s="102"/>
      <c r="D976" s="101"/>
      <c r="E976" s="101"/>
      <c r="F976" s="101"/>
      <c r="G976" s="101"/>
      <c r="H976" s="101"/>
      <c r="I976" s="101"/>
      <c r="J976" s="101"/>
      <c r="K976" s="101"/>
      <c r="L976" s="101"/>
      <c r="M976" s="53"/>
      <c r="N976" s="53"/>
      <c r="O976" s="53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</row>
    <row r="977" ht="12.75" customHeight="1">
      <c r="A977" s="101"/>
      <c r="B977" s="54"/>
      <c r="C977" s="102"/>
      <c r="D977" s="101"/>
      <c r="E977" s="101"/>
      <c r="F977" s="101"/>
      <c r="G977" s="101"/>
      <c r="H977" s="101"/>
      <c r="I977" s="101"/>
      <c r="J977" s="101"/>
      <c r="K977" s="101"/>
      <c r="L977" s="101"/>
      <c r="M977" s="53"/>
      <c r="N977" s="53"/>
      <c r="O977" s="53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</row>
    <row r="978" ht="12.75" customHeight="1">
      <c r="A978" s="101"/>
      <c r="B978" s="54"/>
      <c r="C978" s="102"/>
      <c r="D978" s="101"/>
      <c r="E978" s="101"/>
      <c r="F978" s="101"/>
      <c r="G978" s="101"/>
      <c r="H978" s="101"/>
      <c r="I978" s="101"/>
      <c r="J978" s="101"/>
      <c r="K978" s="101"/>
      <c r="L978" s="101"/>
      <c r="M978" s="53"/>
      <c r="N978" s="53"/>
      <c r="O978" s="53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</row>
    <row r="979" ht="12.75" customHeight="1">
      <c r="A979" s="101"/>
      <c r="B979" s="54"/>
      <c r="C979" s="102"/>
      <c r="D979" s="101"/>
      <c r="E979" s="101"/>
      <c r="F979" s="101"/>
      <c r="G979" s="101"/>
      <c r="H979" s="101"/>
      <c r="I979" s="101"/>
      <c r="J979" s="101"/>
      <c r="K979" s="101"/>
      <c r="L979" s="101"/>
      <c r="M979" s="53"/>
      <c r="N979" s="53"/>
      <c r="O979" s="53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</row>
    <row r="980" ht="12.75" customHeight="1">
      <c r="A980" s="101"/>
      <c r="B980" s="54"/>
      <c r="C980" s="102"/>
      <c r="D980" s="101"/>
      <c r="E980" s="101"/>
      <c r="F980" s="101"/>
      <c r="G980" s="101"/>
      <c r="H980" s="101"/>
      <c r="I980" s="101"/>
      <c r="J980" s="101"/>
      <c r="K980" s="101"/>
      <c r="L980" s="101"/>
      <c r="M980" s="53"/>
      <c r="N980" s="53"/>
      <c r="O980" s="53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</row>
    <row r="981" ht="12.75" customHeight="1">
      <c r="A981" s="101"/>
      <c r="B981" s="54"/>
      <c r="C981" s="102"/>
      <c r="D981" s="101"/>
      <c r="E981" s="101"/>
      <c r="F981" s="101"/>
      <c r="G981" s="101"/>
      <c r="H981" s="101"/>
      <c r="I981" s="101"/>
      <c r="J981" s="101"/>
      <c r="K981" s="101"/>
      <c r="L981" s="101"/>
      <c r="M981" s="53"/>
      <c r="N981" s="53"/>
      <c r="O981" s="53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</row>
    <row r="982" ht="12.75" customHeight="1">
      <c r="A982" s="101"/>
      <c r="B982" s="54"/>
      <c r="C982" s="102"/>
      <c r="D982" s="101"/>
      <c r="E982" s="101"/>
      <c r="F982" s="101"/>
      <c r="G982" s="101"/>
      <c r="H982" s="101"/>
      <c r="I982" s="101"/>
      <c r="J982" s="101"/>
      <c r="K982" s="101"/>
      <c r="L982" s="101"/>
      <c r="M982" s="53"/>
      <c r="N982" s="53"/>
      <c r="O982" s="53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</row>
    <row r="983" ht="12.75" customHeight="1">
      <c r="A983" s="101"/>
      <c r="B983" s="54"/>
      <c r="C983" s="102"/>
      <c r="D983" s="101"/>
      <c r="E983" s="101"/>
      <c r="F983" s="101"/>
      <c r="G983" s="101"/>
      <c r="H983" s="101"/>
      <c r="I983" s="101"/>
      <c r="J983" s="101"/>
      <c r="K983" s="101"/>
      <c r="L983" s="101"/>
      <c r="M983" s="53"/>
      <c r="N983" s="53"/>
      <c r="O983" s="53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</row>
    <row r="984" ht="12.75" customHeight="1">
      <c r="A984" s="101"/>
      <c r="B984" s="54"/>
      <c r="C984" s="102"/>
      <c r="D984" s="101"/>
      <c r="E984" s="101"/>
      <c r="F984" s="101"/>
      <c r="G984" s="101"/>
      <c r="H984" s="101"/>
      <c r="I984" s="101"/>
      <c r="J984" s="101"/>
      <c r="K984" s="101"/>
      <c r="L984" s="101"/>
      <c r="M984" s="53"/>
      <c r="N984" s="53"/>
      <c r="O984" s="53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</row>
    <row r="985" ht="12.75" customHeight="1">
      <c r="A985" s="101"/>
      <c r="B985" s="54"/>
      <c r="C985" s="102"/>
      <c r="D985" s="101"/>
      <c r="E985" s="101"/>
      <c r="F985" s="101"/>
      <c r="G985" s="101"/>
      <c r="H985" s="101"/>
      <c r="I985" s="101"/>
      <c r="J985" s="101"/>
      <c r="K985" s="101"/>
      <c r="L985" s="101"/>
      <c r="M985" s="53"/>
      <c r="N985" s="53"/>
      <c r="O985" s="53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</row>
    <row r="986" ht="12.75" customHeight="1">
      <c r="A986" s="101"/>
      <c r="B986" s="54"/>
      <c r="C986" s="102"/>
      <c r="D986" s="101"/>
      <c r="E986" s="101"/>
      <c r="F986" s="101"/>
      <c r="G986" s="101"/>
      <c r="H986" s="101"/>
      <c r="I986" s="101"/>
      <c r="J986" s="101"/>
      <c r="K986" s="101"/>
      <c r="L986" s="101"/>
      <c r="M986" s="53"/>
      <c r="N986" s="53"/>
      <c r="O986" s="53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</row>
    <row r="987" ht="12.75" customHeight="1">
      <c r="A987" s="101"/>
      <c r="B987" s="54"/>
      <c r="C987" s="102"/>
      <c r="D987" s="101"/>
      <c r="E987" s="101"/>
      <c r="F987" s="101"/>
      <c r="G987" s="101"/>
      <c r="H987" s="101"/>
      <c r="I987" s="101"/>
      <c r="J987" s="101"/>
      <c r="K987" s="101"/>
      <c r="L987" s="101"/>
      <c r="M987" s="53"/>
      <c r="N987" s="53"/>
      <c r="O987" s="53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</row>
    <row r="988" ht="12.75" customHeight="1">
      <c r="A988" s="101"/>
      <c r="B988" s="54"/>
      <c r="C988" s="102"/>
      <c r="D988" s="101"/>
      <c r="E988" s="101"/>
      <c r="F988" s="101"/>
      <c r="G988" s="101"/>
      <c r="H988" s="101"/>
      <c r="I988" s="101"/>
      <c r="J988" s="101"/>
      <c r="K988" s="101"/>
      <c r="L988" s="101"/>
      <c r="M988" s="53"/>
      <c r="N988" s="53"/>
      <c r="O988" s="53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</row>
    <row r="989" ht="12.75" customHeight="1">
      <c r="A989" s="101"/>
      <c r="B989" s="54"/>
      <c r="C989" s="102"/>
      <c r="D989" s="101"/>
      <c r="E989" s="101"/>
      <c r="F989" s="101"/>
      <c r="G989" s="101"/>
      <c r="H989" s="101"/>
      <c r="I989" s="101"/>
      <c r="J989" s="101"/>
      <c r="K989" s="101"/>
      <c r="L989" s="101"/>
      <c r="M989" s="53"/>
      <c r="N989" s="53"/>
      <c r="O989" s="53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</row>
    <row r="990" ht="12.75" customHeight="1">
      <c r="A990" s="101"/>
      <c r="B990" s="54"/>
      <c r="C990" s="102"/>
      <c r="D990" s="101"/>
      <c r="E990" s="101"/>
      <c r="F990" s="101"/>
      <c r="G990" s="101"/>
      <c r="H990" s="101"/>
      <c r="I990" s="101"/>
      <c r="J990" s="101"/>
      <c r="K990" s="101"/>
      <c r="L990" s="101"/>
      <c r="M990" s="53"/>
      <c r="N990" s="53"/>
      <c r="O990" s="53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</row>
    <row r="991" ht="12.75" customHeight="1">
      <c r="A991" s="101"/>
      <c r="B991" s="54"/>
      <c r="C991" s="102"/>
      <c r="D991" s="101"/>
      <c r="E991" s="101"/>
      <c r="F991" s="101"/>
      <c r="G991" s="101"/>
      <c r="H991" s="101"/>
      <c r="I991" s="101"/>
      <c r="J991" s="101"/>
      <c r="K991" s="101"/>
      <c r="L991" s="101"/>
      <c r="M991" s="53"/>
      <c r="N991" s="53"/>
      <c r="O991" s="53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</row>
    <row r="992" ht="12.75" customHeight="1">
      <c r="A992" s="101"/>
      <c r="B992" s="54"/>
      <c r="C992" s="102"/>
      <c r="D992" s="101"/>
      <c r="E992" s="101"/>
      <c r="F992" s="101"/>
      <c r="G992" s="101"/>
      <c r="H992" s="101"/>
      <c r="I992" s="101"/>
      <c r="J992" s="101"/>
      <c r="K992" s="101"/>
      <c r="L992" s="101"/>
      <c r="M992" s="53"/>
      <c r="N992" s="53"/>
      <c r="O992" s="53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</row>
    <row r="993" ht="12.75" customHeight="1">
      <c r="A993" s="101"/>
      <c r="B993" s="54"/>
      <c r="C993" s="102"/>
      <c r="D993" s="101"/>
      <c r="E993" s="101"/>
      <c r="F993" s="101"/>
      <c r="G993" s="101"/>
      <c r="H993" s="101"/>
      <c r="I993" s="101"/>
      <c r="J993" s="101"/>
      <c r="K993" s="101"/>
      <c r="L993" s="101"/>
      <c r="M993" s="53"/>
      <c r="N993" s="53"/>
      <c r="O993" s="53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</row>
    <row r="994" ht="12.75" customHeight="1">
      <c r="A994" s="101"/>
      <c r="B994" s="54"/>
      <c r="C994" s="102"/>
      <c r="D994" s="101"/>
      <c r="E994" s="101"/>
      <c r="F994" s="101"/>
      <c r="G994" s="101"/>
      <c r="H994" s="101"/>
      <c r="I994" s="101"/>
      <c r="J994" s="101"/>
      <c r="K994" s="101"/>
      <c r="L994" s="101"/>
      <c r="M994" s="53"/>
      <c r="N994" s="53"/>
      <c r="O994" s="53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</row>
    <row r="995" ht="12.75" customHeight="1">
      <c r="A995" s="101"/>
      <c r="B995" s="54"/>
      <c r="C995" s="102"/>
      <c r="D995" s="101"/>
      <c r="E995" s="101"/>
      <c r="F995" s="101"/>
      <c r="G995" s="101"/>
      <c r="H995" s="101"/>
      <c r="I995" s="101"/>
      <c r="J995" s="101"/>
      <c r="K995" s="101"/>
      <c r="L995" s="101"/>
      <c r="M995" s="53"/>
      <c r="N995" s="53"/>
      <c r="O995" s="53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</row>
    <row r="996" ht="12.75" customHeight="1">
      <c r="A996" s="101"/>
      <c r="B996" s="54"/>
      <c r="C996" s="102"/>
      <c r="D996" s="101"/>
      <c r="E996" s="101"/>
      <c r="F996" s="101"/>
      <c r="G996" s="101"/>
      <c r="H996" s="101"/>
      <c r="I996" s="101"/>
      <c r="J996" s="101"/>
      <c r="K996" s="101"/>
      <c r="L996" s="101"/>
      <c r="M996" s="53"/>
      <c r="N996" s="53"/>
      <c r="O996" s="53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</row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29"/>
    <col customWidth="1" min="2" max="2" width="6.86"/>
    <col customWidth="1" min="3" max="3" width="10.43"/>
    <col customWidth="1" min="4" max="4" width="44.86"/>
    <col customWidth="1" min="5" max="5" width="9.86"/>
    <col customWidth="1" min="6" max="6" width="5.43"/>
    <col customWidth="1" min="7" max="7" width="3.0"/>
    <col customWidth="1" min="8" max="8" width="5.57"/>
    <col customWidth="1" min="9" max="9" width="6.86"/>
    <col customWidth="1" min="10" max="10" width="13.57"/>
    <col customWidth="1" min="11" max="11" width="8.0"/>
    <col customWidth="1" min="12" max="12" width="12.71"/>
    <col customWidth="1" min="13" max="13" width="10.43"/>
    <col customWidth="1" min="14" max="14" width="17.43"/>
    <col customWidth="1" min="15" max="15" width="15.29"/>
    <col customWidth="1" min="16" max="16" width="0.43"/>
    <col customWidth="1" min="17" max="17" width="14.14"/>
    <col customWidth="1" min="18" max="19" width="8.71"/>
    <col customWidth="1" min="20" max="20" width="13.14"/>
    <col customWidth="1" min="21" max="21" width="12.71"/>
    <col customWidth="1" min="22" max="27" width="8.71"/>
  </cols>
  <sheetData>
    <row r="1" ht="55.5" customHeight="1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</row>
    <row r="2" ht="34.5" customHeight="1">
      <c r="A2" s="124" t="s">
        <v>136</v>
      </c>
      <c r="B2" s="125" t="s">
        <v>16</v>
      </c>
      <c r="C2" s="34"/>
      <c r="D2" s="35"/>
      <c r="E2" s="125" t="s">
        <v>17</v>
      </c>
      <c r="F2" s="34"/>
      <c r="G2" s="35"/>
      <c r="H2" s="126"/>
      <c r="I2" s="126"/>
      <c r="J2" s="125"/>
      <c r="K2" s="35"/>
      <c r="L2" s="126"/>
      <c r="M2" s="126"/>
      <c r="N2" s="127" t="s">
        <v>137</v>
      </c>
      <c r="O2" s="128" t="s">
        <v>138</v>
      </c>
      <c r="P2" s="126"/>
      <c r="Q2" s="129" t="s">
        <v>139</v>
      </c>
      <c r="R2" s="130" t="s">
        <v>25</v>
      </c>
      <c r="S2" s="131" t="s">
        <v>26</v>
      </c>
      <c r="T2" s="132" t="s">
        <v>27</v>
      </c>
      <c r="U2" s="132" t="s">
        <v>140</v>
      </c>
    </row>
    <row r="3">
      <c r="A3" s="133">
        <v>700700.0</v>
      </c>
      <c r="B3" s="134" t="s">
        <v>141</v>
      </c>
      <c r="C3" s="34"/>
      <c r="D3" s="35"/>
      <c r="E3" s="135">
        <v>20.0</v>
      </c>
      <c r="F3" s="34"/>
      <c r="G3" s="35"/>
      <c r="H3" s="136"/>
      <c r="I3" s="137">
        <v>20.0</v>
      </c>
      <c r="J3" s="138" t="s">
        <v>142</v>
      </c>
      <c r="K3" s="35"/>
      <c r="L3" s="138" t="s">
        <v>143</v>
      </c>
      <c r="M3" s="35"/>
      <c r="N3" s="139">
        <f t="shared" ref="N3:N21" si="1">J3*(1-0.31)</f>
        <v>3741.8079</v>
      </c>
      <c r="O3" s="140">
        <f t="shared" ref="O3:O21" si="2">N3*1.45</f>
        <v>5425.621455</v>
      </c>
      <c r="P3" s="141"/>
      <c r="Q3" s="142">
        <f t="shared" ref="Q3:Q21" si="3">N3*1.5</f>
        <v>5612.71185</v>
      </c>
      <c r="R3" s="143"/>
      <c r="S3" s="144">
        <f t="shared" ref="S3:S21" si="4">E3-R3</f>
        <v>20</v>
      </c>
      <c r="T3" s="145">
        <f t="shared" ref="T3:T21" si="5">ROUNDUP(O3,-2)</f>
        <v>5500</v>
      </c>
      <c r="U3" s="145">
        <f t="shared" ref="U3:U21" si="6">ROUNDUP(Q3,-2)</f>
        <v>5700</v>
      </c>
    </row>
    <row r="4">
      <c r="A4" s="133">
        <v>700704.0</v>
      </c>
      <c r="B4" s="146" t="s">
        <v>144</v>
      </c>
      <c r="C4" s="34"/>
      <c r="D4" s="35"/>
      <c r="E4" s="135">
        <v>20.0</v>
      </c>
      <c r="F4" s="34"/>
      <c r="G4" s="35"/>
      <c r="H4" s="136"/>
      <c r="I4" s="137">
        <v>20.0</v>
      </c>
      <c r="J4" s="147">
        <v>8881.3</v>
      </c>
      <c r="K4" s="35"/>
      <c r="L4" s="138" t="s">
        <v>145</v>
      </c>
      <c r="M4" s="35"/>
      <c r="N4" s="139">
        <f t="shared" si="1"/>
        <v>6128.097</v>
      </c>
      <c r="O4" s="140">
        <f t="shared" si="2"/>
        <v>8885.74065</v>
      </c>
      <c r="P4" s="141"/>
      <c r="Q4" s="142">
        <f t="shared" si="3"/>
        <v>9192.1455</v>
      </c>
      <c r="R4" s="143"/>
      <c r="S4" s="144">
        <f t="shared" si="4"/>
        <v>20</v>
      </c>
      <c r="T4" s="145">
        <f t="shared" si="5"/>
        <v>8900</v>
      </c>
      <c r="U4" s="145">
        <f t="shared" si="6"/>
        <v>9200</v>
      </c>
    </row>
    <row r="5">
      <c r="A5" s="133">
        <v>701000.0</v>
      </c>
      <c r="B5" s="134" t="s">
        <v>146</v>
      </c>
      <c r="C5" s="34"/>
      <c r="D5" s="35"/>
      <c r="E5" s="135">
        <v>20.0</v>
      </c>
      <c r="F5" s="34"/>
      <c r="G5" s="35"/>
      <c r="H5" s="136"/>
      <c r="I5" s="137">
        <v>20.0</v>
      </c>
      <c r="J5" s="138" t="s">
        <v>147</v>
      </c>
      <c r="K5" s="35"/>
      <c r="L5" s="138" t="s">
        <v>148</v>
      </c>
      <c r="M5" s="35"/>
      <c r="N5" s="139">
        <f t="shared" si="1"/>
        <v>4048.7061</v>
      </c>
      <c r="O5" s="140">
        <f t="shared" si="2"/>
        <v>5870.623845</v>
      </c>
      <c r="P5" s="141"/>
      <c r="Q5" s="142">
        <f t="shared" si="3"/>
        <v>6073.05915</v>
      </c>
      <c r="R5" s="143"/>
      <c r="S5" s="144">
        <f t="shared" si="4"/>
        <v>20</v>
      </c>
      <c r="T5" s="145">
        <f t="shared" si="5"/>
        <v>5900</v>
      </c>
      <c r="U5" s="145">
        <f t="shared" si="6"/>
        <v>6100</v>
      </c>
    </row>
    <row r="6">
      <c r="A6" s="133">
        <v>701004.0</v>
      </c>
      <c r="B6" s="148" t="s">
        <v>149</v>
      </c>
      <c r="C6" s="34"/>
      <c r="D6" s="35"/>
      <c r="E6" s="135">
        <v>20.0</v>
      </c>
      <c r="F6" s="34"/>
      <c r="G6" s="35"/>
      <c r="H6" s="136"/>
      <c r="I6" s="137">
        <v>20.0</v>
      </c>
      <c r="J6" s="138" t="s">
        <v>150</v>
      </c>
      <c r="K6" s="35"/>
      <c r="L6" s="138" t="s">
        <v>151</v>
      </c>
      <c r="M6" s="35"/>
      <c r="N6" s="139">
        <f t="shared" si="1"/>
        <v>7288.8495</v>
      </c>
      <c r="O6" s="140">
        <f t="shared" si="2"/>
        <v>10568.83178</v>
      </c>
      <c r="P6" s="141"/>
      <c r="Q6" s="142">
        <f t="shared" si="3"/>
        <v>10933.27425</v>
      </c>
      <c r="R6" s="143"/>
      <c r="S6" s="144">
        <f t="shared" si="4"/>
        <v>20</v>
      </c>
      <c r="T6" s="145">
        <f t="shared" si="5"/>
        <v>10600</v>
      </c>
      <c r="U6" s="145">
        <f t="shared" si="6"/>
        <v>11000</v>
      </c>
    </row>
    <row r="7">
      <c r="A7" s="133">
        <v>701008.0</v>
      </c>
      <c r="B7" s="138" t="s">
        <v>152</v>
      </c>
      <c r="C7" s="34"/>
      <c r="D7" s="35"/>
      <c r="E7" s="135">
        <v>10.0</v>
      </c>
      <c r="F7" s="34"/>
      <c r="G7" s="35"/>
      <c r="H7" s="136"/>
      <c r="I7" s="137">
        <v>10.0</v>
      </c>
      <c r="J7" s="138" t="s">
        <v>153</v>
      </c>
      <c r="K7" s="35"/>
      <c r="L7" s="147">
        <v>111332.1</v>
      </c>
      <c r="M7" s="35"/>
      <c r="N7" s="139">
        <f t="shared" si="1"/>
        <v>7681.9149</v>
      </c>
      <c r="O7" s="140">
        <f t="shared" si="2"/>
        <v>11138.77661</v>
      </c>
      <c r="P7" s="141"/>
      <c r="Q7" s="142">
        <f t="shared" si="3"/>
        <v>11522.87235</v>
      </c>
      <c r="R7" s="143"/>
      <c r="S7" s="144">
        <f t="shared" si="4"/>
        <v>10</v>
      </c>
      <c r="T7" s="145">
        <f t="shared" si="5"/>
        <v>11200</v>
      </c>
      <c r="U7" s="145">
        <f t="shared" si="6"/>
        <v>11600</v>
      </c>
    </row>
    <row r="8">
      <c r="A8" s="133">
        <v>701015.0</v>
      </c>
      <c r="B8" s="149" t="s">
        <v>154</v>
      </c>
      <c r="C8" s="34"/>
      <c r="D8" s="35"/>
      <c r="E8" s="135">
        <v>2.0</v>
      </c>
      <c r="F8" s="34"/>
      <c r="G8" s="35"/>
      <c r="H8" s="136"/>
      <c r="I8" s="137">
        <v>2.0</v>
      </c>
      <c r="J8" s="138" t="s">
        <v>155</v>
      </c>
      <c r="K8" s="35"/>
      <c r="L8" s="138" t="s">
        <v>156</v>
      </c>
      <c r="M8" s="35"/>
      <c r="N8" s="139">
        <f t="shared" si="1"/>
        <v>17694.5946</v>
      </c>
      <c r="O8" s="140">
        <f t="shared" si="2"/>
        <v>25657.16217</v>
      </c>
      <c r="P8" s="141"/>
      <c r="Q8" s="142">
        <f t="shared" si="3"/>
        <v>26541.8919</v>
      </c>
      <c r="R8" s="143"/>
      <c r="S8" s="144">
        <f t="shared" si="4"/>
        <v>2</v>
      </c>
      <c r="T8" s="145">
        <f t="shared" si="5"/>
        <v>25700</v>
      </c>
      <c r="U8" s="145">
        <f t="shared" si="6"/>
        <v>26600</v>
      </c>
    </row>
    <row r="9">
      <c r="A9" s="133">
        <v>701500.0</v>
      </c>
      <c r="B9" s="134" t="s">
        <v>157</v>
      </c>
      <c r="C9" s="34"/>
      <c r="D9" s="35"/>
      <c r="E9" s="135">
        <v>20.0</v>
      </c>
      <c r="F9" s="34"/>
      <c r="G9" s="35"/>
      <c r="H9" s="136"/>
      <c r="I9" s="137">
        <v>20.0</v>
      </c>
      <c r="J9" s="138" t="s">
        <v>158</v>
      </c>
      <c r="K9" s="35"/>
      <c r="L9" s="138" t="s">
        <v>159</v>
      </c>
      <c r="M9" s="35"/>
      <c r="N9" s="139">
        <f t="shared" si="1"/>
        <v>4493.004</v>
      </c>
      <c r="O9" s="140">
        <f t="shared" si="2"/>
        <v>6514.8558</v>
      </c>
      <c r="P9" s="141"/>
      <c r="Q9" s="142">
        <f t="shared" si="3"/>
        <v>6739.506</v>
      </c>
      <c r="R9" s="143"/>
      <c r="S9" s="144">
        <f t="shared" si="4"/>
        <v>20</v>
      </c>
      <c r="T9" s="145">
        <f t="shared" si="5"/>
        <v>6600</v>
      </c>
      <c r="U9" s="145">
        <f t="shared" si="6"/>
        <v>6800</v>
      </c>
    </row>
    <row r="10">
      <c r="A10" s="133">
        <v>701504.0</v>
      </c>
      <c r="B10" s="148" t="s">
        <v>160</v>
      </c>
      <c r="C10" s="34"/>
      <c r="D10" s="35"/>
      <c r="E10" s="135">
        <v>20.0</v>
      </c>
      <c r="F10" s="34"/>
      <c r="G10" s="35"/>
      <c r="H10" s="136"/>
      <c r="I10" s="137">
        <v>20.0</v>
      </c>
      <c r="J10" s="138" t="s">
        <v>161</v>
      </c>
      <c r="K10" s="35"/>
      <c r="L10" s="138" t="s">
        <v>162</v>
      </c>
      <c r="M10" s="35"/>
      <c r="N10" s="139">
        <f t="shared" si="1"/>
        <v>9889.0386</v>
      </c>
      <c r="O10" s="140">
        <f t="shared" si="2"/>
        <v>14339.10597</v>
      </c>
      <c r="P10" s="141"/>
      <c r="Q10" s="142">
        <f t="shared" si="3"/>
        <v>14833.5579</v>
      </c>
      <c r="R10" s="143"/>
      <c r="S10" s="144">
        <f t="shared" si="4"/>
        <v>20</v>
      </c>
      <c r="T10" s="145">
        <f t="shared" si="5"/>
        <v>14400</v>
      </c>
      <c r="U10" s="145">
        <f t="shared" si="6"/>
        <v>14900</v>
      </c>
    </row>
    <row r="11">
      <c r="A11" s="133">
        <v>701515.0</v>
      </c>
      <c r="B11" s="149" t="s">
        <v>163</v>
      </c>
      <c r="C11" s="34"/>
      <c r="D11" s="35"/>
      <c r="E11" s="135">
        <v>2.0</v>
      </c>
      <c r="F11" s="34"/>
      <c r="G11" s="35"/>
      <c r="H11" s="136"/>
      <c r="I11" s="137">
        <v>2.0</v>
      </c>
      <c r="J11" s="138" t="s">
        <v>164</v>
      </c>
      <c r="K11" s="35"/>
      <c r="L11" s="138" t="s">
        <v>165</v>
      </c>
      <c r="M11" s="35"/>
      <c r="N11" s="139">
        <f t="shared" si="1"/>
        <v>19835.8854</v>
      </c>
      <c r="O11" s="140">
        <f t="shared" si="2"/>
        <v>28762.03383</v>
      </c>
      <c r="P11" s="141"/>
      <c r="Q11" s="142">
        <f t="shared" si="3"/>
        <v>29753.8281</v>
      </c>
      <c r="R11" s="143"/>
      <c r="S11" s="144">
        <f t="shared" si="4"/>
        <v>2</v>
      </c>
      <c r="T11" s="145">
        <f t="shared" si="5"/>
        <v>28800</v>
      </c>
      <c r="U11" s="145">
        <f t="shared" si="6"/>
        <v>29800</v>
      </c>
    </row>
    <row r="12">
      <c r="A12" s="133">
        <v>733109.0</v>
      </c>
      <c r="B12" s="150" t="s">
        <v>166</v>
      </c>
      <c r="C12" s="34"/>
      <c r="D12" s="35"/>
      <c r="E12" s="135">
        <v>20.0</v>
      </c>
      <c r="F12" s="34"/>
      <c r="G12" s="35"/>
      <c r="H12" s="136"/>
      <c r="I12" s="137">
        <v>20.0</v>
      </c>
      <c r="J12" s="138" t="s">
        <v>167</v>
      </c>
      <c r="K12" s="35"/>
      <c r="L12" s="138" t="s">
        <v>168</v>
      </c>
      <c r="M12" s="35"/>
      <c r="N12" s="139">
        <f t="shared" si="1"/>
        <v>2639.112</v>
      </c>
      <c r="O12" s="140">
        <f t="shared" si="2"/>
        <v>3826.7124</v>
      </c>
      <c r="P12" s="141"/>
      <c r="Q12" s="142">
        <f t="shared" si="3"/>
        <v>3958.668</v>
      </c>
      <c r="R12" s="143"/>
      <c r="S12" s="144">
        <f t="shared" si="4"/>
        <v>20</v>
      </c>
      <c r="T12" s="145">
        <f t="shared" si="5"/>
        <v>3900</v>
      </c>
      <c r="U12" s="145">
        <f t="shared" si="6"/>
        <v>4000</v>
      </c>
    </row>
    <row r="13">
      <c r="A13" s="133">
        <v>736203.0</v>
      </c>
      <c r="B13" s="150" t="s">
        <v>169</v>
      </c>
      <c r="C13" s="34"/>
      <c r="D13" s="35"/>
      <c r="E13" s="135">
        <v>10.0</v>
      </c>
      <c r="F13" s="34"/>
      <c r="G13" s="35"/>
      <c r="H13" s="136"/>
      <c r="I13" s="137">
        <v>10.0</v>
      </c>
      <c r="J13" s="138" t="s">
        <v>170</v>
      </c>
      <c r="K13" s="35"/>
      <c r="L13" s="138" t="s">
        <v>171</v>
      </c>
      <c r="M13" s="35"/>
      <c r="N13" s="139">
        <f t="shared" si="1"/>
        <v>4107.432</v>
      </c>
      <c r="O13" s="140">
        <f t="shared" si="2"/>
        <v>5955.7764</v>
      </c>
      <c r="P13" s="141"/>
      <c r="Q13" s="142">
        <f t="shared" si="3"/>
        <v>6161.148</v>
      </c>
      <c r="R13" s="143"/>
      <c r="S13" s="144">
        <f t="shared" si="4"/>
        <v>10</v>
      </c>
      <c r="T13" s="145">
        <f t="shared" si="5"/>
        <v>6000</v>
      </c>
      <c r="U13" s="145">
        <f t="shared" si="6"/>
        <v>6200</v>
      </c>
    </row>
    <row r="14">
      <c r="A14" s="133">
        <v>736209.0</v>
      </c>
      <c r="B14" s="150" t="s">
        <v>172</v>
      </c>
      <c r="C14" s="34"/>
      <c r="D14" s="35"/>
      <c r="E14" s="135">
        <v>10.0</v>
      </c>
      <c r="F14" s="34"/>
      <c r="G14" s="35"/>
      <c r="H14" s="136"/>
      <c r="I14" s="137">
        <v>10.0</v>
      </c>
      <c r="J14" s="138" t="s">
        <v>173</v>
      </c>
      <c r="K14" s="35"/>
      <c r="L14" s="138" t="s">
        <v>174</v>
      </c>
      <c r="M14" s="35"/>
      <c r="N14" s="139">
        <f t="shared" si="1"/>
        <v>4107.432</v>
      </c>
      <c r="O14" s="140">
        <f t="shared" si="2"/>
        <v>5955.7764</v>
      </c>
      <c r="P14" s="141"/>
      <c r="Q14" s="142">
        <f t="shared" si="3"/>
        <v>6161.148</v>
      </c>
      <c r="R14" s="151">
        <v>1.0</v>
      </c>
      <c r="S14" s="144">
        <f t="shared" si="4"/>
        <v>9</v>
      </c>
      <c r="T14" s="145">
        <f t="shared" si="5"/>
        <v>6000</v>
      </c>
      <c r="U14" s="145">
        <f t="shared" si="6"/>
        <v>6200</v>
      </c>
    </row>
    <row r="15">
      <c r="A15" s="152">
        <v>5500900.0</v>
      </c>
      <c r="B15" s="138" t="s">
        <v>175</v>
      </c>
      <c r="C15" s="34"/>
      <c r="D15" s="35"/>
      <c r="E15" s="135">
        <v>150.0</v>
      </c>
      <c r="F15" s="34"/>
      <c r="G15" s="35"/>
      <c r="H15" s="136"/>
      <c r="I15" s="137">
        <v>150.0</v>
      </c>
      <c r="J15" s="138" t="s">
        <v>176</v>
      </c>
      <c r="K15" s="35"/>
      <c r="L15" s="138" t="s">
        <v>177</v>
      </c>
      <c r="M15" s="35"/>
      <c r="N15" s="139">
        <f t="shared" si="1"/>
        <v>1334.3634</v>
      </c>
      <c r="O15" s="140">
        <f t="shared" si="2"/>
        <v>1934.82693</v>
      </c>
      <c r="P15" s="141"/>
      <c r="Q15" s="142">
        <f t="shared" si="3"/>
        <v>2001.5451</v>
      </c>
      <c r="R15" s="143"/>
      <c r="S15" s="144">
        <f t="shared" si="4"/>
        <v>150</v>
      </c>
      <c r="T15" s="145">
        <f t="shared" si="5"/>
        <v>2000</v>
      </c>
      <c r="U15" s="145">
        <f t="shared" si="6"/>
        <v>2100</v>
      </c>
    </row>
    <row r="16">
      <c r="A16" s="152">
        <v>5600102.0</v>
      </c>
      <c r="B16" s="138" t="s">
        <v>178</v>
      </c>
      <c r="C16" s="34"/>
      <c r="D16" s="35"/>
      <c r="E16" s="135">
        <v>250.0</v>
      </c>
      <c r="F16" s="34"/>
      <c r="G16" s="35"/>
      <c r="H16" s="136"/>
      <c r="I16" s="137">
        <v>250.0</v>
      </c>
      <c r="J16" s="138" t="s">
        <v>179</v>
      </c>
      <c r="K16" s="35"/>
      <c r="L16" s="138" t="s">
        <v>180</v>
      </c>
      <c r="M16" s="35"/>
      <c r="N16" s="139">
        <f t="shared" si="1"/>
        <v>718.6764</v>
      </c>
      <c r="O16" s="140">
        <f t="shared" si="2"/>
        <v>1042.08078</v>
      </c>
      <c r="P16" s="141"/>
      <c r="Q16" s="142">
        <f t="shared" si="3"/>
        <v>1078.0146</v>
      </c>
      <c r="R16" s="143"/>
      <c r="S16" s="144">
        <f t="shared" si="4"/>
        <v>250</v>
      </c>
      <c r="T16" s="145">
        <f t="shared" si="5"/>
        <v>1100</v>
      </c>
      <c r="U16" s="145">
        <f t="shared" si="6"/>
        <v>1100</v>
      </c>
    </row>
    <row r="17">
      <c r="A17" s="152">
        <v>5600902.0</v>
      </c>
      <c r="B17" s="138" t="s">
        <v>181</v>
      </c>
      <c r="C17" s="34"/>
      <c r="D17" s="35"/>
      <c r="E17" s="135">
        <v>300.0</v>
      </c>
      <c r="F17" s="34"/>
      <c r="G17" s="35"/>
      <c r="H17" s="136"/>
      <c r="I17" s="137">
        <v>300.0</v>
      </c>
      <c r="J17" s="138" t="s">
        <v>182</v>
      </c>
      <c r="K17" s="35"/>
      <c r="L17" s="138" t="s">
        <v>183</v>
      </c>
      <c r="M17" s="35"/>
      <c r="N17" s="139">
        <f t="shared" si="1"/>
        <v>445.2984</v>
      </c>
      <c r="O17" s="140">
        <f t="shared" si="2"/>
        <v>645.68268</v>
      </c>
      <c r="P17" s="141"/>
      <c r="Q17" s="142">
        <f t="shared" si="3"/>
        <v>667.9476</v>
      </c>
      <c r="R17" s="143"/>
      <c r="S17" s="144">
        <f t="shared" si="4"/>
        <v>300</v>
      </c>
      <c r="T17" s="145">
        <f t="shared" si="5"/>
        <v>700</v>
      </c>
      <c r="U17" s="145">
        <f t="shared" si="6"/>
        <v>700</v>
      </c>
    </row>
    <row r="18">
      <c r="A18" s="152">
        <v>5601602.0</v>
      </c>
      <c r="B18" s="138" t="s">
        <v>184</v>
      </c>
      <c r="C18" s="34"/>
      <c r="D18" s="35"/>
      <c r="E18" s="135">
        <v>150.0</v>
      </c>
      <c r="F18" s="34"/>
      <c r="G18" s="35"/>
      <c r="H18" s="136"/>
      <c r="I18" s="137">
        <v>150.0</v>
      </c>
      <c r="J18" s="138" t="s">
        <v>185</v>
      </c>
      <c r="K18" s="35"/>
      <c r="L18" s="138" t="s">
        <v>186</v>
      </c>
      <c r="M18" s="35"/>
      <c r="N18" s="139">
        <f t="shared" si="1"/>
        <v>108.0678</v>
      </c>
      <c r="O18" s="140">
        <f t="shared" si="2"/>
        <v>156.69831</v>
      </c>
      <c r="P18" s="141"/>
      <c r="Q18" s="142">
        <f t="shared" si="3"/>
        <v>162.1017</v>
      </c>
      <c r="R18" s="143"/>
      <c r="S18" s="144">
        <f t="shared" si="4"/>
        <v>150</v>
      </c>
      <c r="T18" s="145">
        <f t="shared" si="5"/>
        <v>200</v>
      </c>
      <c r="U18" s="145">
        <f t="shared" si="6"/>
        <v>200</v>
      </c>
    </row>
    <row r="19">
      <c r="A19" s="152">
        <v>5601704.0</v>
      </c>
      <c r="B19" s="138" t="s">
        <v>187</v>
      </c>
      <c r="C19" s="34"/>
      <c r="D19" s="35"/>
      <c r="E19" s="135">
        <v>250.0</v>
      </c>
      <c r="F19" s="34"/>
      <c r="G19" s="35"/>
      <c r="H19" s="136"/>
      <c r="I19" s="137">
        <v>250.0</v>
      </c>
      <c r="J19" s="138" t="s">
        <v>188</v>
      </c>
      <c r="K19" s="35"/>
      <c r="L19" s="138" t="s">
        <v>189</v>
      </c>
      <c r="M19" s="35"/>
      <c r="N19" s="139">
        <f t="shared" si="1"/>
        <v>1099.1907</v>
      </c>
      <c r="O19" s="140">
        <f t="shared" si="2"/>
        <v>1593.826515</v>
      </c>
      <c r="P19" s="141"/>
      <c r="Q19" s="142">
        <f t="shared" si="3"/>
        <v>1648.78605</v>
      </c>
      <c r="R19" s="143"/>
      <c r="S19" s="144">
        <f t="shared" si="4"/>
        <v>250</v>
      </c>
      <c r="T19" s="145">
        <f t="shared" si="5"/>
        <v>1600</v>
      </c>
      <c r="U19" s="145">
        <f t="shared" si="6"/>
        <v>1700</v>
      </c>
    </row>
    <row r="20">
      <c r="A20" s="153" t="s">
        <v>190</v>
      </c>
      <c r="B20" s="154" t="s">
        <v>191</v>
      </c>
      <c r="C20" s="34"/>
      <c r="D20" s="35"/>
      <c r="E20" s="135">
        <v>40.0</v>
      </c>
      <c r="F20" s="34"/>
      <c r="G20" s="35"/>
      <c r="H20" s="136"/>
      <c r="I20" s="137">
        <v>40.0</v>
      </c>
      <c r="J20" s="138" t="s">
        <v>192</v>
      </c>
      <c r="K20" s="35"/>
      <c r="L20" s="138" t="s">
        <v>193</v>
      </c>
      <c r="M20" s="35"/>
      <c r="N20" s="139">
        <f t="shared" si="1"/>
        <v>2581.9386</v>
      </c>
      <c r="O20" s="140">
        <f t="shared" si="2"/>
        <v>3743.81097</v>
      </c>
      <c r="P20" s="141"/>
      <c r="Q20" s="142">
        <f t="shared" si="3"/>
        <v>3872.9079</v>
      </c>
      <c r="R20" s="143"/>
      <c r="S20" s="144">
        <f t="shared" si="4"/>
        <v>40</v>
      </c>
      <c r="T20" s="145">
        <f t="shared" si="5"/>
        <v>3800</v>
      </c>
      <c r="U20" s="145">
        <f t="shared" si="6"/>
        <v>3900</v>
      </c>
    </row>
    <row r="21" ht="16.5" customHeight="1">
      <c r="A21" s="153" t="s">
        <v>194</v>
      </c>
      <c r="B21" s="154" t="s">
        <v>195</v>
      </c>
      <c r="C21" s="34"/>
      <c r="D21" s="35"/>
      <c r="E21" s="135">
        <v>20.0</v>
      </c>
      <c r="F21" s="34"/>
      <c r="G21" s="35"/>
      <c r="H21" s="136"/>
      <c r="I21" s="137">
        <v>20.0</v>
      </c>
      <c r="J21" s="138" t="s">
        <v>196</v>
      </c>
      <c r="K21" s="35"/>
      <c r="L21" s="138" t="s">
        <v>197</v>
      </c>
      <c r="M21" s="35"/>
      <c r="N21" s="139">
        <f t="shared" si="1"/>
        <v>4513.7247</v>
      </c>
      <c r="O21" s="140">
        <f t="shared" si="2"/>
        <v>6544.900815</v>
      </c>
      <c r="P21" s="141"/>
      <c r="Q21" s="142">
        <f t="shared" si="3"/>
        <v>6770.58705</v>
      </c>
      <c r="R21" s="143"/>
      <c r="S21" s="144">
        <f t="shared" si="4"/>
        <v>20</v>
      </c>
      <c r="T21" s="145">
        <f t="shared" si="5"/>
        <v>6600</v>
      </c>
      <c r="U21" s="145">
        <f t="shared" si="6"/>
        <v>6800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79">
    <mergeCell ref="B9:D9"/>
    <mergeCell ref="B10:D10"/>
    <mergeCell ref="E10:G10"/>
    <mergeCell ref="J10:K10"/>
    <mergeCell ref="L10:M10"/>
    <mergeCell ref="B11:D11"/>
    <mergeCell ref="E11:G11"/>
    <mergeCell ref="B12:D12"/>
    <mergeCell ref="E12:G12"/>
    <mergeCell ref="J12:K12"/>
    <mergeCell ref="L12:M12"/>
    <mergeCell ref="E13:G13"/>
    <mergeCell ref="J13:K13"/>
    <mergeCell ref="L13:M13"/>
    <mergeCell ref="J15:K15"/>
    <mergeCell ref="L15:M15"/>
    <mergeCell ref="B13:D13"/>
    <mergeCell ref="B14:D14"/>
    <mergeCell ref="E14:G14"/>
    <mergeCell ref="J14:K14"/>
    <mergeCell ref="L14:M14"/>
    <mergeCell ref="B15:D15"/>
    <mergeCell ref="E15:G15"/>
    <mergeCell ref="B16:D16"/>
    <mergeCell ref="E16:G16"/>
    <mergeCell ref="J16:K16"/>
    <mergeCell ref="L16:M16"/>
    <mergeCell ref="E17:G17"/>
    <mergeCell ref="J17:K17"/>
    <mergeCell ref="L17:M17"/>
    <mergeCell ref="B17:D17"/>
    <mergeCell ref="B18:D18"/>
    <mergeCell ref="E18:G18"/>
    <mergeCell ref="J18:K18"/>
    <mergeCell ref="L18:M18"/>
    <mergeCell ref="B19:D19"/>
    <mergeCell ref="E19:G19"/>
    <mergeCell ref="B2:D2"/>
    <mergeCell ref="E2:G2"/>
    <mergeCell ref="J2:K2"/>
    <mergeCell ref="B3:D3"/>
    <mergeCell ref="E3:G3"/>
    <mergeCell ref="J3:K3"/>
    <mergeCell ref="L3:M3"/>
    <mergeCell ref="B4:D4"/>
    <mergeCell ref="E4:G4"/>
    <mergeCell ref="J4:K4"/>
    <mergeCell ref="L4:M4"/>
    <mergeCell ref="E5:G5"/>
    <mergeCell ref="J5:K5"/>
    <mergeCell ref="L5:M5"/>
    <mergeCell ref="J7:K7"/>
    <mergeCell ref="L7:M7"/>
    <mergeCell ref="B5:D5"/>
    <mergeCell ref="B6:D6"/>
    <mergeCell ref="E6:G6"/>
    <mergeCell ref="J6:K6"/>
    <mergeCell ref="L6:M6"/>
    <mergeCell ref="B7:D7"/>
    <mergeCell ref="E7:G7"/>
    <mergeCell ref="B8:D8"/>
    <mergeCell ref="E8:G8"/>
    <mergeCell ref="J8:K8"/>
    <mergeCell ref="L8:M8"/>
    <mergeCell ref="E9:G9"/>
    <mergeCell ref="J9:K9"/>
    <mergeCell ref="L9:M9"/>
    <mergeCell ref="J11:K11"/>
    <mergeCell ref="L11:M11"/>
    <mergeCell ref="J20:K20"/>
    <mergeCell ref="J21:K21"/>
    <mergeCell ref="J19:K19"/>
    <mergeCell ref="L19:M19"/>
    <mergeCell ref="B20:D20"/>
    <mergeCell ref="E20:G20"/>
    <mergeCell ref="L20:M20"/>
    <mergeCell ref="B21:D21"/>
    <mergeCell ref="E21:G21"/>
    <mergeCell ref="L21:M2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29"/>
    <col customWidth="1" min="2" max="2" width="6.86"/>
    <col customWidth="1" min="3" max="3" width="10.43"/>
    <col customWidth="1" min="4" max="4" width="44.86"/>
    <col customWidth="1" min="5" max="5" width="8.71"/>
    <col customWidth="1" hidden="1" min="6" max="6" width="5.43"/>
    <col customWidth="1" min="7" max="7" width="3.0"/>
    <col customWidth="1" min="8" max="8" width="5.57"/>
    <col customWidth="1" min="9" max="9" width="6.86"/>
    <col customWidth="1" min="10" max="10" width="13.57"/>
    <col customWidth="1" hidden="1" min="11" max="11" width="8.0"/>
    <col customWidth="1" min="12" max="12" width="12.71"/>
    <col customWidth="1" min="13" max="13" width="10.43"/>
    <col customWidth="1" min="14" max="14" width="17.43"/>
    <col customWidth="1" min="15" max="15" width="15.29"/>
    <col customWidth="1" min="16" max="16" width="1.86"/>
    <col customWidth="1" min="17" max="17" width="14.14"/>
    <col customWidth="1" min="18" max="19" width="8.71"/>
    <col customWidth="1" min="20" max="20" width="13.14"/>
    <col customWidth="1" min="21" max="21" width="12.71"/>
    <col customWidth="1" min="22" max="27" width="8.71"/>
  </cols>
  <sheetData>
    <row r="1" ht="55.5" customHeight="1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</row>
    <row r="2" ht="34.5" customHeight="1">
      <c r="A2" s="124" t="s">
        <v>136</v>
      </c>
      <c r="B2" s="125" t="s">
        <v>16</v>
      </c>
      <c r="C2" s="34"/>
      <c r="D2" s="35"/>
      <c r="E2" s="125" t="s">
        <v>17</v>
      </c>
      <c r="F2" s="34"/>
      <c r="G2" s="35"/>
      <c r="H2" s="126"/>
      <c r="I2" s="126"/>
      <c r="J2" s="125"/>
      <c r="K2" s="35"/>
      <c r="L2" s="126"/>
      <c r="M2" s="126"/>
      <c r="N2" s="127" t="s">
        <v>137</v>
      </c>
      <c r="O2" s="128" t="s">
        <v>138</v>
      </c>
      <c r="P2" s="126"/>
      <c r="Q2" s="129" t="s">
        <v>139</v>
      </c>
      <c r="R2" s="130" t="s">
        <v>25</v>
      </c>
      <c r="S2" s="131" t="s">
        <v>26</v>
      </c>
      <c r="T2" s="132" t="s">
        <v>27</v>
      </c>
      <c r="U2" s="132" t="s">
        <v>140</v>
      </c>
    </row>
    <row r="3">
      <c r="A3" s="133">
        <v>700700.0</v>
      </c>
      <c r="B3" s="134" t="s">
        <v>141</v>
      </c>
      <c r="C3" s="34"/>
      <c r="D3" s="35"/>
      <c r="E3" s="135">
        <v>20.0</v>
      </c>
      <c r="F3" s="34"/>
      <c r="G3" s="35"/>
      <c r="H3" s="136"/>
      <c r="I3" s="137">
        <v>20.0</v>
      </c>
      <c r="J3" s="138" t="s">
        <v>198</v>
      </c>
      <c r="K3" s="35"/>
      <c r="L3" s="138" t="s">
        <v>199</v>
      </c>
      <c r="M3" s="35"/>
      <c r="N3" s="139">
        <f t="shared" ref="N3:N21" si="1">J3*(1-0.31)</f>
        <v>3741.8079</v>
      </c>
      <c r="O3" s="140">
        <f t="shared" ref="O3:O21" si="2">N3/(1-0.45)</f>
        <v>6803.287091</v>
      </c>
      <c r="P3" s="141"/>
      <c r="Q3" s="142">
        <f t="shared" ref="Q3:Q21" si="3">N3/(1-0.5)</f>
        <v>7483.6158</v>
      </c>
      <c r="R3" s="143"/>
      <c r="S3" s="144">
        <f t="shared" ref="S3:S21" si="4">E3-R3</f>
        <v>20</v>
      </c>
      <c r="T3" s="145">
        <f t="shared" ref="T3:T21" si="5">ROUNDUP(O3,-2)</f>
        <v>6900</v>
      </c>
      <c r="U3" s="145">
        <f t="shared" ref="U3:U21" si="6">ROUNDUP(Q3,-2)</f>
        <v>7500</v>
      </c>
    </row>
    <row r="4">
      <c r="A4" s="133">
        <v>700704.0</v>
      </c>
      <c r="B4" s="148" t="s">
        <v>200</v>
      </c>
      <c r="C4" s="34"/>
      <c r="D4" s="35"/>
      <c r="E4" s="135">
        <v>20.0</v>
      </c>
      <c r="F4" s="34"/>
      <c r="G4" s="35"/>
      <c r="H4" s="136"/>
      <c r="I4" s="137">
        <v>20.0</v>
      </c>
      <c r="J4" s="147">
        <v>8881.3</v>
      </c>
      <c r="K4" s="35"/>
      <c r="L4" s="138" t="s">
        <v>201</v>
      </c>
      <c r="M4" s="35"/>
      <c r="N4" s="139">
        <f t="shared" si="1"/>
        <v>6128.097</v>
      </c>
      <c r="O4" s="140">
        <f t="shared" si="2"/>
        <v>11141.99455</v>
      </c>
      <c r="P4" s="141"/>
      <c r="Q4" s="142">
        <f t="shared" si="3"/>
        <v>12256.194</v>
      </c>
      <c r="R4" s="143"/>
      <c r="S4" s="144">
        <f t="shared" si="4"/>
        <v>20</v>
      </c>
      <c r="T4" s="145">
        <f t="shared" si="5"/>
        <v>11200</v>
      </c>
      <c r="U4" s="145">
        <f t="shared" si="6"/>
        <v>12300</v>
      </c>
    </row>
    <row r="5">
      <c r="A5" s="133">
        <v>701000.0</v>
      </c>
      <c r="B5" s="134" t="s">
        <v>146</v>
      </c>
      <c r="C5" s="34"/>
      <c r="D5" s="35"/>
      <c r="E5" s="135">
        <v>20.0</v>
      </c>
      <c r="F5" s="34"/>
      <c r="G5" s="35"/>
      <c r="H5" s="136"/>
      <c r="I5" s="137">
        <v>20.0</v>
      </c>
      <c r="J5" s="138" t="s">
        <v>202</v>
      </c>
      <c r="K5" s="35"/>
      <c r="L5" s="138" t="s">
        <v>203</v>
      </c>
      <c r="M5" s="35"/>
      <c r="N5" s="139">
        <f t="shared" si="1"/>
        <v>4048.7061</v>
      </c>
      <c r="O5" s="140">
        <f t="shared" si="2"/>
        <v>7361.283818</v>
      </c>
      <c r="P5" s="141"/>
      <c r="Q5" s="142">
        <f t="shared" si="3"/>
        <v>8097.4122</v>
      </c>
      <c r="R5" s="143"/>
      <c r="S5" s="144">
        <f t="shared" si="4"/>
        <v>20</v>
      </c>
      <c r="T5" s="145">
        <f t="shared" si="5"/>
        <v>7400</v>
      </c>
      <c r="U5" s="145">
        <f t="shared" si="6"/>
        <v>8100</v>
      </c>
    </row>
    <row r="6">
      <c r="A6" s="133">
        <v>701004.0</v>
      </c>
      <c r="B6" s="148" t="s">
        <v>204</v>
      </c>
      <c r="C6" s="34"/>
      <c r="D6" s="35"/>
      <c r="E6" s="135">
        <v>20.0</v>
      </c>
      <c r="F6" s="34"/>
      <c r="G6" s="35"/>
      <c r="H6" s="136"/>
      <c r="I6" s="137">
        <v>20.0</v>
      </c>
      <c r="J6" s="138" t="s">
        <v>205</v>
      </c>
      <c r="K6" s="35"/>
      <c r="L6" s="138" t="s">
        <v>206</v>
      </c>
      <c r="M6" s="35"/>
      <c r="N6" s="139">
        <f t="shared" si="1"/>
        <v>7288.8495</v>
      </c>
      <c r="O6" s="140">
        <f t="shared" si="2"/>
        <v>13252.45364</v>
      </c>
      <c r="P6" s="141"/>
      <c r="Q6" s="142">
        <f t="shared" si="3"/>
        <v>14577.699</v>
      </c>
      <c r="R6" s="143"/>
      <c r="S6" s="144">
        <f t="shared" si="4"/>
        <v>20</v>
      </c>
      <c r="T6" s="145">
        <f t="shared" si="5"/>
        <v>13300</v>
      </c>
      <c r="U6" s="145">
        <f t="shared" si="6"/>
        <v>14600</v>
      </c>
    </row>
    <row r="7">
      <c r="A7" s="133">
        <v>701008.0</v>
      </c>
      <c r="B7" s="138" t="s">
        <v>207</v>
      </c>
      <c r="C7" s="34"/>
      <c r="D7" s="35"/>
      <c r="E7" s="135">
        <v>10.0</v>
      </c>
      <c r="F7" s="34"/>
      <c r="G7" s="35"/>
      <c r="H7" s="136"/>
      <c r="I7" s="137">
        <v>10.0</v>
      </c>
      <c r="J7" s="138" t="s">
        <v>208</v>
      </c>
      <c r="K7" s="35"/>
      <c r="L7" s="138" t="s">
        <v>209</v>
      </c>
      <c r="M7" s="35"/>
      <c r="N7" s="139">
        <f t="shared" si="1"/>
        <v>7681.9149</v>
      </c>
      <c r="O7" s="140">
        <f t="shared" si="2"/>
        <v>13967.118</v>
      </c>
      <c r="P7" s="141"/>
      <c r="Q7" s="142">
        <f t="shared" si="3"/>
        <v>15363.8298</v>
      </c>
      <c r="R7" s="143"/>
      <c r="S7" s="144">
        <f t="shared" si="4"/>
        <v>10</v>
      </c>
      <c r="T7" s="145">
        <f t="shared" si="5"/>
        <v>14000</v>
      </c>
      <c r="U7" s="145">
        <f t="shared" si="6"/>
        <v>15400</v>
      </c>
    </row>
    <row r="8">
      <c r="A8" s="133">
        <v>701015.0</v>
      </c>
      <c r="B8" s="149" t="s">
        <v>210</v>
      </c>
      <c r="C8" s="34"/>
      <c r="D8" s="35"/>
      <c r="E8" s="135">
        <v>2.0</v>
      </c>
      <c r="F8" s="34"/>
      <c r="G8" s="35"/>
      <c r="H8" s="136"/>
      <c r="I8" s="137">
        <v>2.0</v>
      </c>
      <c r="J8" s="138" t="s">
        <v>211</v>
      </c>
      <c r="K8" s="35"/>
      <c r="L8" s="138" t="s">
        <v>212</v>
      </c>
      <c r="M8" s="35"/>
      <c r="N8" s="139">
        <f t="shared" si="1"/>
        <v>17694.5946</v>
      </c>
      <c r="O8" s="140">
        <f t="shared" si="2"/>
        <v>32171.99018</v>
      </c>
      <c r="P8" s="141"/>
      <c r="Q8" s="142">
        <f t="shared" si="3"/>
        <v>35389.1892</v>
      </c>
      <c r="R8" s="143"/>
      <c r="S8" s="144">
        <f t="shared" si="4"/>
        <v>2</v>
      </c>
      <c r="T8" s="145">
        <f t="shared" si="5"/>
        <v>32200</v>
      </c>
      <c r="U8" s="145">
        <f t="shared" si="6"/>
        <v>35400</v>
      </c>
    </row>
    <row r="9">
      <c r="A9" s="133">
        <v>701500.0</v>
      </c>
      <c r="B9" s="134" t="s">
        <v>157</v>
      </c>
      <c r="C9" s="34"/>
      <c r="D9" s="35"/>
      <c r="E9" s="135">
        <v>20.0</v>
      </c>
      <c r="F9" s="34"/>
      <c r="G9" s="35"/>
      <c r="H9" s="136"/>
      <c r="I9" s="137">
        <v>20.0</v>
      </c>
      <c r="J9" s="138" t="s">
        <v>213</v>
      </c>
      <c r="K9" s="35"/>
      <c r="L9" s="138" t="s">
        <v>214</v>
      </c>
      <c r="M9" s="35"/>
      <c r="N9" s="139">
        <f t="shared" si="1"/>
        <v>4493.004</v>
      </c>
      <c r="O9" s="140">
        <f t="shared" si="2"/>
        <v>8169.098182</v>
      </c>
      <c r="P9" s="141"/>
      <c r="Q9" s="142">
        <f t="shared" si="3"/>
        <v>8986.008</v>
      </c>
      <c r="R9" s="143"/>
      <c r="S9" s="144">
        <f t="shared" si="4"/>
        <v>20</v>
      </c>
      <c r="T9" s="145">
        <f t="shared" si="5"/>
        <v>8200</v>
      </c>
      <c r="U9" s="145">
        <f t="shared" si="6"/>
        <v>9000</v>
      </c>
    </row>
    <row r="10">
      <c r="A10" s="133">
        <v>701504.0</v>
      </c>
      <c r="B10" s="148" t="s">
        <v>215</v>
      </c>
      <c r="C10" s="34"/>
      <c r="D10" s="35"/>
      <c r="E10" s="135">
        <v>20.0</v>
      </c>
      <c r="F10" s="34"/>
      <c r="G10" s="35"/>
      <c r="H10" s="136"/>
      <c r="I10" s="137">
        <v>20.0</v>
      </c>
      <c r="J10" s="138" t="s">
        <v>216</v>
      </c>
      <c r="K10" s="35"/>
      <c r="L10" s="138" t="s">
        <v>217</v>
      </c>
      <c r="M10" s="35"/>
      <c r="N10" s="139">
        <f t="shared" si="1"/>
        <v>9889.0386</v>
      </c>
      <c r="O10" s="140">
        <f t="shared" si="2"/>
        <v>17980.07018</v>
      </c>
      <c r="P10" s="141"/>
      <c r="Q10" s="142">
        <f t="shared" si="3"/>
        <v>19778.0772</v>
      </c>
      <c r="R10" s="143"/>
      <c r="S10" s="144">
        <f t="shared" si="4"/>
        <v>20</v>
      </c>
      <c r="T10" s="145">
        <f t="shared" si="5"/>
        <v>18000</v>
      </c>
      <c r="U10" s="145">
        <f t="shared" si="6"/>
        <v>19800</v>
      </c>
    </row>
    <row r="11">
      <c r="A11" s="133">
        <v>701515.0</v>
      </c>
      <c r="B11" s="149" t="s">
        <v>218</v>
      </c>
      <c r="C11" s="34"/>
      <c r="D11" s="35"/>
      <c r="E11" s="135">
        <v>2.0</v>
      </c>
      <c r="F11" s="34"/>
      <c r="G11" s="35"/>
      <c r="H11" s="136"/>
      <c r="I11" s="137">
        <v>2.0</v>
      </c>
      <c r="J11" s="138" t="s">
        <v>219</v>
      </c>
      <c r="K11" s="35"/>
      <c r="L11" s="138" t="s">
        <v>220</v>
      </c>
      <c r="M11" s="35"/>
      <c r="N11" s="139">
        <f t="shared" si="1"/>
        <v>19835.8854</v>
      </c>
      <c r="O11" s="140">
        <f t="shared" si="2"/>
        <v>36065.24618</v>
      </c>
      <c r="P11" s="141"/>
      <c r="Q11" s="142">
        <f t="shared" si="3"/>
        <v>39671.7708</v>
      </c>
      <c r="R11" s="143"/>
      <c r="S11" s="144">
        <f t="shared" si="4"/>
        <v>2</v>
      </c>
      <c r="T11" s="145">
        <f t="shared" si="5"/>
        <v>36100</v>
      </c>
      <c r="U11" s="145">
        <f t="shared" si="6"/>
        <v>39700</v>
      </c>
    </row>
    <row r="12">
      <c r="A12" s="133">
        <v>733109.0</v>
      </c>
      <c r="B12" s="150" t="s">
        <v>221</v>
      </c>
      <c r="C12" s="34"/>
      <c r="D12" s="35"/>
      <c r="E12" s="135">
        <v>20.0</v>
      </c>
      <c r="F12" s="34"/>
      <c r="G12" s="35"/>
      <c r="H12" s="136"/>
      <c r="I12" s="137">
        <v>20.0</v>
      </c>
      <c r="J12" s="138" t="s">
        <v>222</v>
      </c>
      <c r="K12" s="35"/>
      <c r="L12" s="138" t="s">
        <v>223</v>
      </c>
      <c r="M12" s="35"/>
      <c r="N12" s="139">
        <f t="shared" si="1"/>
        <v>2639.112</v>
      </c>
      <c r="O12" s="140">
        <f t="shared" si="2"/>
        <v>4798.385455</v>
      </c>
      <c r="P12" s="141"/>
      <c r="Q12" s="142">
        <f t="shared" si="3"/>
        <v>5278.224</v>
      </c>
      <c r="R12" s="143"/>
      <c r="S12" s="144">
        <f t="shared" si="4"/>
        <v>20</v>
      </c>
      <c r="T12" s="145">
        <f t="shared" si="5"/>
        <v>4800</v>
      </c>
      <c r="U12" s="145">
        <f t="shared" si="6"/>
        <v>5300</v>
      </c>
    </row>
    <row r="13">
      <c r="A13" s="133">
        <v>736203.0</v>
      </c>
      <c r="B13" s="150" t="s">
        <v>224</v>
      </c>
      <c r="C13" s="34"/>
      <c r="D13" s="35"/>
      <c r="E13" s="135">
        <v>10.0</v>
      </c>
      <c r="F13" s="34"/>
      <c r="G13" s="35"/>
      <c r="H13" s="136"/>
      <c r="I13" s="137">
        <v>10.0</v>
      </c>
      <c r="J13" s="138" t="s">
        <v>225</v>
      </c>
      <c r="K13" s="35"/>
      <c r="L13" s="138" t="s">
        <v>226</v>
      </c>
      <c r="M13" s="35"/>
      <c r="N13" s="139">
        <f t="shared" si="1"/>
        <v>4107.432</v>
      </c>
      <c r="O13" s="140">
        <f t="shared" si="2"/>
        <v>7468.058182</v>
      </c>
      <c r="P13" s="141"/>
      <c r="Q13" s="142">
        <f t="shared" si="3"/>
        <v>8214.864</v>
      </c>
      <c r="R13" s="143"/>
      <c r="S13" s="144">
        <f t="shared" si="4"/>
        <v>10</v>
      </c>
      <c r="T13" s="145">
        <f t="shared" si="5"/>
        <v>7500</v>
      </c>
      <c r="U13" s="145">
        <f t="shared" si="6"/>
        <v>8300</v>
      </c>
    </row>
    <row r="14">
      <c r="A14" s="133">
        <v>736209.0</v>
      </c>
      <c r="B14" s="150" t="s">
        <v>227</v>
      </c>
      <c r="C14" s="34"/>
      <c r="D14" s="35"/>
      <c r="E14" s="135">
        <v>10.0</v>
      </c>
      <c r="F14" s="34"/>
      <c r="G14" s="35"/>
      <c r="H14" s="136"/>
      <c r="I14" s="137">
        <v>10.0</v>
      </c>
      <c r="J14" s="138" t="s">
        <v>228</v>
      </c>
      <c r="K14" s="35"/>
      <c r="L14" s="138" t="s">
        <v>229</v>
      </c>
      <c r="M14" s="35"/>
      <c r="N14" s="139">
        <f t="shared" si="1"/>
        <v>4107.432</v>
      </c>
      <c r="O14" s="140">
        <f t="shared" si="2"/>
        <v>7468.058182</v>
      </c>
      <c r="P14" s="141"/>
      <c r="Q14" s="142">
        <f t="shared" si="3"/>
        <v>8214.864</v>
      </c>
      <c r="R14" s="151">
        <v>1.0</v>
      </c>
      <c r="S14" s="144">
        <f t="shared" si="4"/>
        <v>9</v>
      </c>
      <c r="T14" s="145">
        <f t="shared" si="5"/>
        <v>7500</v>
      </c>
      <c r="U14" s="145">
        <f t="shared" si="6"/>
        <v>8300</v>
      </c>
    </row>
    <row r="15">
      <c r="A15" s="152">
        <v>5500900.0</v>
      </c>
      <c r="B15" s="138" t="s">
        <v>230</v>
      </c>
      <c r="C15" s="34"/>
      <c r="D15" s="35"/>
      <c r="E15" s="135">
        <v>150.0</v>
      </c>
      <c r="F15" s="34"/>
      <c r="G15" s="35"/>
      <c r="H15" s="136"/>
      <c r="I15" s="137">
        <v>150.0</v>
      </c>
      <c r="J15" s="138" t="s">
        <v>231</v>
      </c>
      <c r="K15" s="35"/>
      <c r="L15" s="138" t="s">
        <v>232</v>
      </c>
      <c r="M15" s="35"/>
      <c r="N15" s="139">
        <f t="shared" si="1"/>
        <v>1334.3634</v>
      </c>
      <c r="O15" s="140">
        <f t="shared" si="2"/>
        <v>2426.115273</v>
      </c>
      <c r="P15" s="141"/>
      <c r="Q15" s="142">
        <f t="shared" si="3"/>
        <v>2668.7268</v>
      </c>
      <c r="R15" s="143"/>
      <c r="S15" s="144">
        <f t="shared" si="4"/>
        <v>150</v>
      </c>
      <c r="T15" s="145">
        <f t="shared" si="5"/>
        <v>2500</v>
      </c>
      <c r="U15" s="145">
        <f t="shared" si="6"/>
        <v>2700</v>
      </c>
    </row>
    <row r="16">
      <c r="A16" s="152">
        <v>5600102.0</v>
      </c>
      <c r="B16" s="138" t="s">
        <v>233</v>
      </c>
      <c r="C16" s="34"/>
      <c r="D16" s="35"/>
      <c r="E16" s="135">
        <v>250.0</v>
      </c>
      <c r="F16" s="34"/>
      <c r="G16" s="35"/>
      <c r="H16" s="136"/>
      <c r="I16" s="137">
        <v>250.0</v>
      </c>
      <c r="J16" s="138" t="s">
        <v>234</v>
      </c>
      <c r="K16" s="35"/>
      <c r="L16" s="138" t="s">
        <v>235</v>
      </c>
      <c r="M16" s="35"/>
      <c r="N16" s="139">
        <f t="shared" si="1"/>
        <v>718.6764</v>
      </c>
      <c r="O16" s="140">
        <f t="shared" si="2"/>
        <v>1306.684364</v>
      </c>
      <c r="P16" s="141"/>
      <c r="Q16" s="142">
        <f t="shared" si="3"/>
        <v>1437.3528</v>
      </c>
      <c r="R16" s="143"/>
      <c r="S16" s="144">
        <f t="shared" si="4"/>
        <v>250</v>
      </c>
      <c r="T16" s="145">
        <f t="shared" si="5"/>
        <v>1400</v>
      </c>
      <c r="U16" s="145">
        <f t="shared" si="6"/>
        <v>1500</v>
      </c>
    </row>
    <row r="17">
      <c r="A17" s="152">
        <v>5600902.0</v>
      </c>
      <c r="B17" s="138" t="s">
        <v>236</v>
      </c>
      <c r="C17" s="34"/>
      <c r="D17" s="35"/>
      <c r="E17" s="135">
        <v>300.0</v>
      </c>
      <c r="F17" s="34"/>
      <c r="G17" s="35"/>
      <c r="H17" s="136"/>
      <c r="I17" s="137">
        <v>300.0</v>
      </c>
      <c r="J17" s="138" t="s">
        <v>237</v>
      </c>
      <c r="K17" s="35"/>
      <c r="L17" s="138" t="s">
        <v>238</v>
      </c>
      <c r="M17" s="35"/>
      <c r="N17" s="139">
        <f t="shared" si="1"/>
        <v>445.2984</v>
      </c>
      <c r="O17" s="140">
        <f t="shared" si="2"/>
        <v>809.6334545</v>
      </c>
      <c r="P17" s="141"/>
      <c r="Q17" s="142">
        <f t="shared" si="3"/>
        <v>890.5968</v>
      </c>
      <c r="R17" s="143"/>
      <c r="S17" s="144">
        <f t="shared" si="4"/>
        <v>300</v>
      </c>
      <c r="T17" s="145">
        <f t="shared" si="5"/>
        <v>900</v>
      </c>
      <c r="U17" s="145">
        <f t="shared" si="6"/>
        <v>900</v>
      </c>
    </row>
    <row r="18">
      <c r="A18" s="152">
        <v>5601602.0</v>
      </c>
      <c r="B18" s="138" t="s">
        <v>239</v>
      </c>
      <c r="C18" s="34"/>
      <c r="D18" s="35"/>
      <c r="E18" s="135">
        <v>150.0</v>
      </c>
      <c r="F18" s="34"/>
      <c r="G18" s="35"/>
      <c r="H18" s="136"/>
      <c r="I18" s="137">
        <v>150.0</v>
      </c>
      <c r="J18" s="138" t="s">
        <v>240</v>
      </c>
      <c r="K18" s="35"/>
      <c r="L18" s="138" t="s">
        <v>241</v>
      </c>
      <c r="M18" s="35"/>
      <c r="N18" s="139">
        <f t="shared" si="1"/>
        <v>108.0678</v>
      </c>
      <c r="O18" s="140">
        <f t="shared" si="2"/>
        <v>196.4869091</v>
      </c>
      <c r="P18" s="141"/>
      <c r="Q18" s="142">
        <f t="shared" si="3"/>
        <v>216.1356</v>
      </c>
      <c r="R18" s="143"/>
      <c r="S18" s="144">
        <f t="shared" si="4"/>
        <v>150</v>
      </c>
      <c r="T18" s="145">
        <f t="shared" si="5"/>
        <v>200</v>
      </c>
      <c r="U18" s="145">
        <f t="shared" si="6"/>
        <v>300</v>
      </c>
    </row>
    <row r="19">
      <c r="A19" s="152">
        <v>5601704.0</v>
      </c>
      <c r="B19" s="138" t="s">
        <v>242</v>
      </c>
      <c r="C19" s="34"/>
      <c r="D19" s="35"/>
      <c r="E19" s="135">
        <v>250.0</v>
      </c>
      <c r="F19" s="34"/>
      <c r="G19" s="35"/>
      <c r="H19" s="136"/>
      <c r="I19" s="137">
        <v>250.0</v>
      </c>
      <c r="J19" s="138" t="s">
        <v>243</v>
      </c>
      <c r="K19" s="35"/>
      <c r="L19" s="138" t="s">
        <v>244</v>
      </c>
      <c r="M19" s="35"/>
      <c r="N19" s="139">
        <f t="shared" si="1"/>
        <v>1099.1907</v>
      </c>
      <c r="O19" s="140">
        <f t="shared" si="2"/>
        <v>1998.528545</v>
      </c>
      <c r="P19" s="141"/>
      <c r="Q19" s="142">
        <f t="shared" si="3"/>
        <v>2198.3814</v>
      </c>
      <c r="R19" s="143"/>
      <c r="S19" s="144">
        <f t="shared" si="4"/>
        <v>250</v>
      </c>
      <c r="T19" s="145">
        <f t="shared" si="5"/>
        <v>2000</v>
      </c>
      <c r="U19" s="145">
        <f t="shared" si="6"/>
        <v>2200</v>
      </c>
    </row>
    <row r="20">
      <c r="A20" s="153" t="s">
        <v>245</v>
      </c>
      <c r="B20" s="154" t="s">
        <v>246</v>
      </c>
      <c r="C20" s="34"/>
      <c r="D20" s="35"/>
      <c r="E20" s="135">
        <v>40.0</v>
      </c>
      <c r="F20" s="34"/>
      <c r="G20" s="35"/>
      <c r="H20" s="136"/>
      <c r="I20" s="137">
        <v>40.0</v>
      </c>
      <c r="J20" s="138" t="s">
        <v>247</v>
      </c>
      <c r="K20" s="35"/>
      <c r="L20" s="138" t="s">
        <v>248</v>
      </c>
      <c r="M20" s="35"/>
      <c r="N20" s="139">
        <f t="shared" si="1"/>
        <v>2581.9386</v>
      </c>
      <c r="O20" s="140">
        <f t="shared" si="2"/>
        <v>4694.433818</v>
      </c>
      <c r="P20" s="141"/>
      <c r="Q20" s="142">
        <f t="shared" si="3"/>
        <v>5163.8772</v>
      </c>
      <c r="R20" s="143"/>
      <c r="S20" s="144">
        <f t="shared" si="4"/>
        <v>40</v>
      </c>
      <c r="T20" s="145">
        <f t="shared" si="5"/>
        <v>4700</v>
      </c>
      <c r="U20" s="145">
        <f t="shared" si="6"/>
        <v>5200</v>
      </c>
    </row>
    <row r="21" ht="16.5" customHeight="1">
      <c r="A21" s="153" t="s">
        <v>249</v>
      </c>
      <c r="B21" s="154" t="s">
        <v>250</v>
      </c>
      <c r="C21" s="34"/>
      <c r="D21" s="35"/>
      <c r="E21" s="135">
        <v>20.0</v>
      </c>
      <c r="F21" s="34"/>
      <c r="G21" s="35"/>
      <c r="H21" s="136"/>
      <c r="I21" s="137">
        <v>20.0</v>
      </c>
      <c r="J21" s="138" t="s">
        <v>251</v>
      </c>
      <c r="K21" s="35"/>
      <c r="L21" s="138" t="s">
        <v>252</v>
      </c>
      <c r="M21" s="35"/>
      <c r="N21" s="139">
        <f t="shared" si="1"/>
        <v>4513.7247</v>
      </c>
      <c r="O21" s="140">
        <f t="shared" si="2"/>
        <v>8206.772182</v>
      </c>
      <c r="P21" s="141"/>
      <c r="Q21" s="142">
        <f t="shared" si="3"/>
        <v>9027.4494</v>
      </c>
      <c r="R21" s="143"/>
      <c r="S21" s="144">
        <f t="shared" si="4"/>
        <v>20</v>
      </c>
      <c r="T21" s="145">
        <f t="shared" si="5"/>
        <v>8300</v>
      </c>
      <c r="U21" s="145">
        <f t="shared" si="6"/>
        <v>9100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79">
    <mergeCell ref="B9:D9"/>
    <mergeCell ref="B10:D10"/>
    <mergeCell ref="E10:G10"/>
    <mergeCell ref="J10:K10"/>
    <mergeCell ref="L10:M10"/>
    <mergeCell ref="B11:D11"/>
    <mergeCell ref="E11:G11"/>
    <mergeCell ref="B12:D12"/>
    <mergeCell ref="E12:G12"/>
    <mergeCell ref="J12:K12"/>
    <mergeCell ref="L12:M12"/>
    <mergeCell ref="E13:G13"/>
    <mergeCell ref="J13:K13"/>
    <mergeCell ref="L13:M13"/>
    <mergeCell ref="J15:K15"/>
    <mergeCell ref="L15:M15"/>
    <mergeCell ref="B13:D13"/>
    <mergeCell ref="B14:D14"/>
    <mergeCell ref="E14:G14"/>
    <mergeCell ref="J14:K14"/>
    <mergeCell ref="L14:M14"/>
    <mergeCell ref="B15:D15"/>
    <mergeCell ref="E15:G15"/>
    <mergeCell ref="B16:D16"/>
    <mergeCell ref="E16:G16"/>
    <mergeCell ref="J16:K16"/>
    <mergeCell ref="L16:M16"/>
    <mergeCell ref="E17:G17"/>
    <mergeCell ref="J17:K17"/>
    <mergeCell ref="L17:M17"/>
    <mergeCell ref="B17:D17"/>
    <mergeCell ref="B18:D18"/>
    <mergeCell ref="E18:G18"/>
    <mergeCell ref="J18:K18"/>
    <mergeCell ref="L18:M18"/>
    <mergeCell ref="B19:D19"/>
    <mergeCell ref="E19:G19"/>
    <mergeCell ref="B2:D2"/>
    <mergeCell ref="E2:G2"/>
    <mergeCell ref="J2:K2"/>
    <mergeCell ref="B3:D3"/>
    <mergeCell ref="E3:G3"/>
    <mergeCell ref="J3:K3"/>
    <mergeCell ref="L3:M3"/>
    <mergeCell ref="B4:D4"/>
    <mergeCell ref="E4:G4"/>
    <mergeCell ref="J4:K4"/>
    <mergeCell ref="L4:M4"/>
    <mergeCell ref="E5:G5"/>
    <mergeCell ref="J5:K5"/>
    <mergeCell ref="L5:M5"/>
    <mergeCell ref="J7:K7"/>
    <mergeCell ref="L7:M7"/>
    <mergeCell ref="B5:D5"/>
    <mergeCell ref="B6:D6"/>
    <mergeCell ref="E6:G6"/>
    <mergeCell ref="J6:K6"/>
    <mergeCell ref="L6:M6"/>
    <mergeCell ref="B7:D7"/>
    <mergeCell ref="E7:G7"/>
    <mergeCell ref="B8:D8"/>
    <mergeCell ref="E8:G8"/>
    <mergeCell ref="J8:K8"/>
    <mergeCell ref="L8:M8"/>
    <mergeCell ref="E9:G9"/>
    <mergeCell ref="J9:K9"/>
    <mergeCell ref="L9:M9"/>
    <mergeCell ref="J11:K11"/>
    <mergeCell ref="L11:M11"/>
    <mergeCell ref="J20:K20"/>
    <mergeCell ref="J21:K21"/>
    <mergeCell ref="J19:K19"/>
    <mergeCell ref="L19:M19"/>
    <mergeCell ref="B20:D20"/>
    <mergeCell ref="E20:G20"/>
    <mergeCell ref="L20:M20"/>
    <mergeCell ref="B21:D21"/>
    <mergeCell ref="E21:G21"/>
    <mergeCell ref="L21:M2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hidden="1" min="1" max="1" width="4.57"/>
    <col customWidth="1" min="2" max="2" width="14.86"/>
    <col customWidth="1" min="3" max="3" width="49.14"/>
    <col customWidth="1" min="4" max="4" width="29.43"/>
    <col customWidth="1" min="5" max="5" width="3.43"/>
    <col customWidth="1" min="6" max="6" width="11.57"/>
    <col customWidth="1" min="7" max="7" width="7.71"/>
    <col customWidth="1" min="8" max="8" width="1.86"/>
    <col customWidth="1" min="9" max="9" width="4.43"/>
    <col customWidth="1" min="10" max="10" width="0.43"/>
    <col customWidth="1" min="11" max="11" width="12.57"/>
    <col customWidth="1" min="12" max="12" width="16.0"/>
    <col customWidth="1" min="13" max="14" width="18.0"/>
    <col customWidth="1" min="15" max="15" width="1.29"/>
    <col customWidth="1" min="16" max="16" width="16.29"/>
    <col customWidth="1" min="17" max="19" width="9.0"/>
    <col customWidth="1" min="20" max="20" width="11.0"/>
    <col customWidth="1" min="21" max="28" width="9.0"/>
  </cols>
  <sheetData>
    <row r="1" ht="39.0" customHeight="1">
      <c r="A1" s="155"/>
      <c r="B1" s="156" t="s">
        <v>253</v>
      </c>
    </row>
    <row r="2" ht="36.0" customHeight="1">
      <c r="A2" s="157" t="s">
        <v>254</v>
      </c>
      <c r="B2" s="124" t="s">
        <v>255</v>
      </c>
      <c r="C2" s="125" t="s">
        <v>16</v>
      </c>
      <c r="D2" s="35"/>
      <c r="E2" s="126" t="s">
        <v>256</v>
      </c>
      <c r="F2" s="158" t="s">
        <v>257</v>
      </c>
      <c r="G2" s="159" t="s">
        <v>258</v>
      </c>
      <c r="H2" s="35"/>
      <c r="I2" s="159" t="s">
        <v>259</v>
      </c>
      <c r="J2" s="35"/>
      <c r="K2" s="160" t="s">
        <v>260</v>
      </c>
      <c r="L2" s="161" t="s">
        <v>261</v>
      </c>
      <c r="M2" s="162" t="s">
        <v>262</v>
      </c>
      <c r="N2" s="163" t="s">
        <v>263</v>
      </c>
      <c r="O2" s="164"/>
      <c r="P2" s="165" t="s">
        <v>24</v>
      </c>
      <c r="Q2" s="166" t="s">
        <v>25</v>
      </c>
      <c r="R2" s="167" t="s">
        <v>26</v>
      </c>
      <c r="T2" s="168" t="s">
        <v>27</v>
      </c>
      <c r="X2" s="132" t="s">
        <v>140</v>
      </c>
    </row>
    <row r="3" ht="1.5" customHeight="1">
      <c r="A3" s="169"/>
      <c r="B3" s="170"/>
      <c r="C3" s="171"/>
      <c r="D3" s="171"/>
      <c r="E3" s="172"/>
      <c r="F3" s="171"/>
      <c r="G3" s="171"/>
      <c r="H3" s="171"/>
      <c r="I3" s="171"/>
      <c r="J3" s="171"/>
      <c r="K3" s="171"/>
      <c r="L3" s="173"/>
      <c r="M3" s="174"/>
      <c r="N3" s="175"/>
      <c r="O3" s="176"/>
      <c r="P3" s="177"/>
      <c r="Q3" s="178"/>
      <c r="R3" s="179"/>
    </row>
    <row r="4">
      <c r="A4" s="180">
        <v>1.0</v>
      </c>
      <c r="B4" s="181">
        <v>758517.0</v>
      </c>
      <c r="C4" s="182" t="s">
        <v>264</v>
      </c>
      <c r="D4" s="35"/>
      <c r="E4" s="183">
        <v>240.0</v>
      </c>
      <c r="F4" s="184">
        <v>1176.0</v>
      </c>
      <c r="G4" s="185">
        <v>21.0</v>
      </c>
      <c r="H4" s="35"/>
      <c r="I4" s="185">
        <v>50.0</v>
      </c>
      <c r="J4" s="35"/>
      <c r="K4" s="184">
        <v>141120.0</v>
      </c>
      <c r="L4" s="186">
        <f t="shared" ref="L4:L30" si="1">K4/E4</f>
        <v>588</v>
      </c>
      <c r="M4" s="187">
        <f t="shared" ref="M4:M70" si="2">L4*1.21</f>
        <v>711.48</v>
      </c>
      <c r="N4" s="188">
        <f t="shared" ref="N4:N70" si="3">M4/(1-0.45)</f>
        <v>1293.6</v>
      </c>
      <c r="O4" s="189"/>
      <c r="P4" s="190">
        <f t="shared" ref="P4:P70" si="4">M4/(1-0.5)</f>
        <v>1422.96</v>
      </c>
      <c r="Q4" s="191">
        <v>2.0</v>
      </c>
      <c r="R4" s="192">
        <f t="shared" ref="R4:R70" si="5">E4-Q4</f>
        <v>238</v>
      </c>
      <c r="T4" s="145">
        <f t="shared" ref="T4:T70" si="6"> ROUNDUP(N4,-2)</f>
        <v>1300</v>
      </c>
      <c r="X4" s="145">
        <f t="shared" ref="X4:X70" si="7">ROUNDUP(P4,-2)</f>
        <v>1500</v>
      </c>
    </row>
    <row r="5">
      <c r="A5" s="180">
        <v>2.0</v>
      </c>
      <c r="B5" s="181">
        <v>758518.0</v>
      </c>
      <c r="C5" s="182" t="s">
        <v>265</v>
      </c>
      <c r="D5" s="35"/>
      <c r="E5" s="183">
        <v>240.0</v>
      </c>
      <c r="F5" s="184">
        <v>2112.0</v>
      </c>
      <c r="G5" s="185">
        <v>21.0</v>
      </c>
      <c r="H5" s="35"/>
      <c r="I5" s="185">
        <v>50.0</v>
      </c>
      <c r="J5" s="35"/>
      <c r="K5" s="184">
        <v>253440.0</v>
      </c>
      <c r="L5" s="186">
        <f t="shared" si="1"/>
        <v>1056</v>
      </c>
      <c r="M5" s="187">
        <f t="shared" si="2"/>
        <v>1277.76</v>
      </c>
      <c r="N5" s="188">
        <f t="shared" si="3"/>
        <v>2323.2</v>
      </c>
      <c r="O5" s="189"/>
      <c r="P5" s="190">
        <f t="shared" si="4"/>
        <v>2555.52</v>
      </c>
      <c r="Q5" s="191">
        <v>4.0</v>
      </c>
      <c r="R5" s="192">
        <f t="shared" si="5"/>
        <v>236</v>
      </c>
      <c r="T5" s="145">
        <f t="shared" si="6"/>
        <v>2400</v>
      </c>
      <c r="X5" s="145">
        <f t="shared" si="7"/>
        <v>2600</v>
      </c>
    </row>
    <row r="6">
      <c r="A6" s="180">
        <v>3.0</v>
      </c>
      <c r="B6" s="181">
        <v>758511.0</v>
      </c>
      <c r="C6" s="193" t="s">
        <v>266</v>
      </c>
      <c r="D6" s="35"/>
      <c r="E6" s="183">
        <v>240.0</v>
      </c>
      <c r="F6" s="194">
        <v>672.0</v>
      </c>
      <c r="G6" s="185">
        <v>21.0</v>
      </c>
      <c r="H6" s="35"/>
      <c r="I6" s="185">
        <v>50.0</v>
      </c>
      <c r="J6" s="35"/>
      <c r="K6" s="184">
        <v>80640.0</v>
      </c>
      <c r="L6" s="186">
        <f t="shared" si="1"/>
        <v>336</v>
      </c>
      <c r="M6" s="187">
        <f t="shared" si="2"/>
        <v>406.56</v>
      </c>
      <c r="N6" s="188">
        <f t="shared" si="3"/>
        <v>739.2</v>
      </c>
      <c r="O6" s="189"/>
      <c r="P6" s="190">
        <f t="shared" si="4"/>
        <v>813.12</v>
      </c>
      <c r="Q6" s="195"/>
      <c r="R6" s="192">
        <f t="shared" si="5"/>
        <v>240</v>
      </c>
      <c r="T6" s="145">
        <f t="shared" si="6"/>
        <v>800</v>
      </c>
      <c r="X6" s="145">
        <f t="shared" si="7"/>
        <v>900</v>
      </c>
    </row>
    <row r="7">
      <c r="A7" s="180">
        <v>4.0</v>
      </c>
      <c r="B7" s="181">
        <v>427559.0</v>
      </c>
      <c r="C7" s="196" t="s">
        <v>267</v>
      </c>
      <c r="D7" s="35"/>
      <c r="E7" s="183">
        <v>6.0</v>
      </c>
      <c r="F7" s="184">
        <v>5544.0</v>
      </c>
      <c r="G7" s="185">
        <v>21.0</v>
      </c>
      <c r="H7" s="35"/>
      <c r="I7" s="185">
        <v>50.0</v>
      </c>
      <c r="J7" s="35"/>
      <c r="K7" s="184">
        <v>16632.0</v>
      </c>
      <c r="L7" s="186">
        <f t="shared" si="1"/>
        <v>2772</v>
      </c>
      <c r="M7" s="187">
        <f t="shared" si="2"/>
        <v>3354.12</v>
      </c>
      <c r="N7" s="188">
        <f t="shared" si="3"/>
        <v>6098.4</v>
      </c>
      <c r="O7" s="189"/>
      <c r="P7" s="190">
        <f t="shared" si="4"/>
        <v>6708.24</v>
      </c>
      <c r="Q7" s="197">
        <v>2.0</v>
      </c>
      <c r="R7" s="192">
        <f t="shared" si="5"/>
        <v>4</v>
      </c>
      <c r="T7" s="145">
        <f t="shared" si="6"/>
        <v>6100</v>
      </c>
      <c r="X7" s="145">
        <f t="shared" si="7"/>
        <v>6800</v>
      </c>
    </row>
    <row r="8">
      <c r="A8" s="180">
        <v>5.0</v>
      </c>
      <c r="B8" s="181">
        <v>427551.0</v>
      </c>
      <c r="C8" s="196" t="s">
        <v>268</v>
      </c>
      <c r="D8" s="35"/>
      <c r="E8" s="183">
        <v>6.0</v>
      </c>
      <c r="F8" s="184">
        <v>5184.0</v>
      </c>
      <c r="G8" s="185">
        <v>21.0</v>
      </c>
      <c r="H8" s="35"/>
      <c r="I8" s="185">
        <v>50.0</v>
      </c>
      <c r="J8" s="35"/>
      <c r="K8" s="184">
        <v>15552.0</v>
      </c>
      <c r="L8" s="186">
        <f t="shared" si="1"/>
        <v>2592</v>
      </c>
      <c r="M8" s="187">
        <f t="shared" si="2"/>
        <v>3136.32</v>
      </c>
      <c r="N8" s="188">
        <f t="shared" si="3"/>
        <v>5702.4</v>
      </c>
      <c r="O8" s="189"/>
      <c r="P8" s="190">
        <f t="shared" si="4"/>
        <v>6272.64</v>
      </c>
      <c r="Q8" s="195"/>
      <c r="R8" s="192">
        <f t="shared" si="5"/>
        <v>6</v>
      </c>
      <c r="T8" s="145">
        <f t="shared" si="6"/>
        <v>5800</v>
      </c>
      <c r="X8" s="145">
        <f t="shared" si="7"/>
        <v>6300</v>
      </c>
    </row>
    <row r="9">
      <c r="A9" s="180">
        <v>6.0</v>
      </c>
      <c r="B9" s="181">
        <v>427611.0</v>
      </c>
      <c r="C9" s="196" t="s">
        <v>269</v>
      </c>
      <c r="D9" s="35"/>
      <c r="E9" s="183">
        <v>6.0</v>
      </c>
      <c r="F9" s="184">
        <v>4788.0</v>
      </c>
      <c r="G9" s="185">
        <v>21.0</v>
      </c>
      <c r="H9" s="35"/>
      <c r="I9" s="185">
        <v>50.0</v>
      </c>
      <c r="J9" s="35"/>
      <c r="K9" s="184">
        <v>14364.0</v>
      </c>
      <c r="L9" s="186">
        <f t="shared" si="1"/>
        <v>2394</v>
      </c>
      <c r="M9" s="187">
        <f t="shared" si="2"/>
        <v>2896.74</v>
      </c>
      <c r="N9" s="188">
        <f t="shared" si="3"/>
        <v>5266.8</v>
      </c>
      <c r="O9" s="189"/>
      <c r="P9" s="190">
        <f t="shared" si="4"/>
        <v>5793.48</v>
      </c>
      <c r="Q9" s="195"/>
      <c r="R9" s="192">
        <f t="shared" si="5"/>
        <v>6</v>
      </c>
      <c r="T9" s="145">
        <f t="shared" si="6"/>
        <v>5300</v>
      </c>
      <c r="X9" s="145">
        <f t="shared" si="7"/>
        <v>5800</v>
      </c>
    </row>
    <row r="10" ht="18.75" customHeight="1">
      <c r="A10" s="180">
        <v>7.0</v>
      </c>
      <c r="B10" s="181">
        <v>427546.0</v>
      </c>
      <c r="C10" s="196" t="s">
        <v>270</v>
      </c>
      <c r="D10" s="35"/>
      <c r="E10" s="183">
        <v>6.0</v>
      </c>
      <c r="F10" s="184">
        <v>2520.0</v>
      </c>
      <c r="G10" s="185">
        <v>21.0</v>
      </c>
      <c r="H10" s="35"/>
      <c r="I10" s="185">
        <v>50.0</v>
      </c>
      <c r="J10" s="35"/>
      <c r="K10" s="184">
        <v>7560.0</v>
      </c>
      <c r="L10" s="186">
        <f t="shared" si="1"/>
        <v>1260</v>
      </c>
      <c r="M10" s="187">
        <f t="shared" si="2"/>
        <v>1524.6</v>
      </c>
      <c r="N10" s="188">
        <f t="shared" si="3"/>
        <v>2772</v>
      </c>
      <c r="O10" s="189"/>
      <c r="P10" s="190">
        <f t="shared" si="4"/>
        <v>3049.2</v>
      </c>
      <c r="Q10" s="195"/>
      <c r="R10" s="192">
        <f t="shared" si="5"/>
        <v>6</v>
      </c>
      <c r="T10" s="145">
        <f t="shared" si="6"/>
        <v>2800</v>
      </c>
      <c r="X10" s="145">
        <f t="shared" si="7"/>
        <v>3100</v>
      </c>
    </row>
    <row r="11" ht="18.75" customHeight="1">
      <c r="A11" s="180">
        <v>8.0</v>
      </c>
      <c r="B11" s="181">
        <v>427548.0</v>
      </c>
      <c r="C11" s="196" t="s">
        <v>271</v>
      </c>
      <c r="D11" s="35"/>
      <c r="E11" s="183">
        <v>6.0</v>
      </c>
      <c r="F11" s="184">
        <v>2016.0</v>
      </c>
      <c r="G11" s="185">
        <v>21.0</v>
      </c>
      <c r="H11" s="35"/>
      <c r="I11" s="185">
        <v>50.0</v>
      </c>
      <c r="J11" s="35"/>
      <c r="K11" s="184">
        <v>6048.0</v>
      </c>
      <c r="L11" s="186">
        <f t="shared" si="1"/>
        <v>1008</v>
      </c>
      <c r="M11" s="187">
        <f t="shared" si="2"/>
        <v>1219.68</v>
      </c>
      <c r="N11" s="188">
        <f t="shared" si="3"/>
        <v>2217.6</v>
      </c>
      <c r="O11" s="189"/>
      <c r="P11" s="190">
        <f t="shared" si="4"/>
        <v>2439.36</v>
      </c>
      <c r="Q11" s="191">
        <v>1.0</v>
      </c>
      <c r="R11" s="192">
        <f t="shared" si="5"/>
        <v>5</v>
      </c>
      <c r="T11" s="145">
        <f t="shared" si="6"/>
        <v>2300</v>
      </c>
      <c r="X11" s="145">
        <f t="shared" si="7"/>
        <v>2500</v>
      </c>
    </row>
    <row r="12" ht="18.0" customHeight="1">
      <c r="A12" s="180">
        <v>10.0</v>
      </c>
      <c r="B12" s="181">
        <v>326982.0</v>
      </c>
      <c r="C12" s="198" t="s">
        <v>272</v>
      </c>
      <c r="D12" s="35"/>
      <c r="E12" s="183">
        <v>12.0</v>
      </c>
      <c r="F12" s="184">
        <v>10834.92</v>
      </c>
      <c r="G12" s="185">
        <v>21.0</v>
      </c>
      <c r="H12" s="35"/>
      <c r="I12" s="185">
        <v>50.0</v>
      </c>
      <c r="J12" s="35"/>
      <c r="K12" s="184">
        <v>65009.5</v>
      </c>
      <c r="L12" s="186">
        <f t="shared" si="1"/>
        <v>5417.458333</v>
      </c>
      <c r="M12" s="187">
        <f t="shared" si="2"/>
        <v>6555.124583</v>
      </c>
      <c r="N12" s="188">
        <f t="shared" si="3"/>
        <v>11918.40833</v>
      </c>
      <c r="O12" s="189"/>
      <c r="P12" s="190">
        <f t="shared" si="4"/>
        <v>13110.24917</v>
      </c>
      <c r="Q12" s="195"/>
      <c r="R12" s="192">
        <f t="shared" si="5"/>
        <v>12</v>
      </c>
      <c r="T12" s="145">
        <f t="shared" si="6"/>
        <v>12000</v>
      </c>
      <c r="X12" s="145">
        <f t="shared" si="7"/>
        <v>13200</v>
      </c>
    </row>
    <row r="13" ht="18.75" customHeight="1">
      <c r="A13" s="199"/>
      <c r="B13" s="181">
        <v>321897.0</v>
      </c>
      <c r="C13" s="198" t="s">
        <v>273</v>
      </c>
      <c r="D13" s="35"/>
      <c r="E13" s="183">
        <v>12.0</v>
      </c>
      <c r="F13" s="184">
        <v>13155.08</v>
      </c>
      <c r="G13" s="185">
        <v>21.0</v>
      </c>
      <c r="H13" s="35"/>
      <c r="I13" s="185">
        <v>50.0</v>
      </c>
      <c r="J13" s="35"/>
      <c r="K13" s="184">
        <v>78930.48</v>
      </c>
      <c r="L13" s="186">
        <f t="shared" si="1"/>
        <v>6577.54</v>
      </c>
      <c r="M13" s="187">
        <f t="shared" si="2"/>
        <v>7958.8234</v>
      </c>
      <c r="N13" s="188">
        <f t="shared" si="3"/>
        <v>14470.588</v>
      </c>
      <c r="O13" s="189"/>
      <c r="P13" s="190">
        <f t="shared" si="4"/>
        <v>15917.6468</v>
      </c>
      <c r="Q13" s="195"/>
      <c r="R13" s="192">
        <f t="shared" si="5"/>
        <v>12</v>
      </c>
      <c r="T13" s="145">
        <f t="shared" si="6"/>
        <v>14500</v>
      </c>
      <c r="X13" s="145">
        <f t="shared" si="7"/>
        <v>16000</v>
      </c>
    </row>
    <row r="14" ht="19.5" customHeight="1">
      <c r="A14" s="180">
        <v>11.0</v>
      </c>
      <c r="B14" s="181">
        <v>321900.0</v>
      </c>
      <c r="C14" s="198" t="s">
        <v>274</v>
      </c>
      <c r="D14" s="35"/>
      <c r="E14" s="183">
        <v>12.0</v>
      </c>
      <c r="F14" s="184">
        <v>13155.08</v>
      </c>
      <c r="G14" s="185">
        <v>21.0</v>
      </c>
      <c r="H14" s="35"/>
      <c r="I14" s="185">
        <v>50.0</v>
      </c>
      <c r="J14" s="35"/>
      <c r="K14" s="184">
        <v>78930.48</v>
      </c>
      <c r="L14" s="186">
        <f t="shared" si="1"/>
        <v>6577.54</v>
      </c>
      <c r="M14" s="187">
        <f t="shared" si="2"/>
        <v>7958.8234</v>
      </c>
      <c r="N14" s="188">
        <f t="shared" si="3"/>
        <v>14470.588</v>
      </c>
      <c r="O14" s="189"/>
      <c r="P14" s="190">
        <f t="shared" si="4"/>
        <v>15917.6468</v>
      </c>
      <c r="Q14" s="195"/>
      <c r="R14" s="192">
        <f t="shared" si="5"/>
        <v>12</v>
      </c>
      <c r="T14" s="145">
        <f t="shared" si="6"/>
        <v>14500</v>
      </c>
      <c r="X14" s="145">
        <f t="shared" si="7"/>
        <v>16000</v>
      </c>
    </row>
    <row r="15" ht="19.5" customHeight="1">
      <c r="A15" s="180">
        <v>12.0</v>
      </c>
      <c r="B15" s="181">
        <v>321903.0</v>
      </c>
      <c r="C15" s="198" t="s">
        <v>275</v>
      </c>
      <c r="D15" s="35"/>
      <c r="E15" s="183">
        <v>12.0</v>
      </c>
      <c r="F15" s="184">
        <v>13155.08</v>
      </c>
      <c r="G15" s="185">
        <v>21.0</v>
      </c>
      <c r="H15" s="35"/>
      <c r="I15" s="185">
        <v>50.0</v>
      </c>
      <c r="J15" s="35"/>
      <c r="K15" s="184">
        <v>78930.48</v>
      </c>
      <c r="L15" s="186">
        <f t="shared" si="1"/>
        <v>6577.54</v>
      </c>
      <c r="M15" s="187">
        <f t="shared" si="2"/>
        <v>7958.8234</v>
      </c>
      <c r="N15" s="188">
        <f t="shared" si="3"/>
        <v>14470.588</v>
      </c>
      <c r="O15" s="189"/>
      <c r="P15" s="190">
        <f t="shared" si="4"/>
        <v>15917.6468</v>
      </c>
      <c r="Q15" s="195"/>
      <c r="R15" s="192">
        <f t="shared" si="5"/>
        <v>12</v>
      </c>
      <c r="T15" s="145">
        <f t="shared" si="6"/>
        <v>14500</v>
      </c>
      <c r="X15" s="145">
        <f t="shared" si="7"/>
        <v>16000</v>
      </c>
    </row>
    <row r="16" ht="19.5" customHeight="1">
      <c r="A16" s="180">
        <v>13.0</v>
      </c>
      <c r="B16" s="181">
        <v>321916.0</v>
      </c>
      <c r="C16" s="200" t="s">
        <v>276</v>
      </c>
      <c r="D16" s="35"/>
      <c r="E16" s="183">
        <v>12.0</v>
      </c>
      <c r="F16" s="184">
        <v>16448.22</v>
      </c>
      <c r="G16" s="185">
        <v>21.0</v>
      </c>
      <c r="H16" s="35"/>
      <c r="I16" s="185">
        <v>50.0</v>
      </c>
      <c r="J16" s="35"/>
      <c r="K16" s="184">
        <v>98689.3</v>
      </c>
      <c r="L16" s="186">
        <f t="shared" si="1"/>
        <v>8224.108333</v>
      </c>
      <c r="M16" s="187">
        <f t="shared" si="2"/>
        <v>9951.171083</v>
      </c>
      <c r="N16" s="188">
        <f t="shared" si="3"/>
        <v>18093.03833</v>
      </c>
      <c r="O16" s="189"/>
      <c r="P16" s="190">
        <f t="shared" si="4"/>
        <v>19902.34217</v>
      </c>
      <c r="Q16" s="195"/>
      <c r="R16" s="192">
        <f t="shared" si="5"/>
        <v>12</v>
      </c>
      <c r="T16" s="145">
        <f t="shared" si="6"/>
        <v>18100</v>
      </c>
      <c r="X16" s="145">
        <f t="shared" si="7"/>
        <v>20000</v>
      </c>
    </row>
    <row r="17" ht="17.25" customHeight="1">
      <c r="A17" s="180">
        <v>14.0</v>
      </c>
      <c r="B17" s="181">
        <v>367234.0</v>
      </c>
      <c r="C17" s="201" t="s">
        <v>277</v>
      </c>
      <c r="D17" s="35"/>
      <c r="E17" s="183">
        <v>1.0</v>
      </c>
      <c r="F17" s="184">
        <v>24491.17</v>
      </c>
      <c r="G17" s="185">
        <v>21.0</v>
      </c>
      <c r="H17" s="35"/>
      <c r="I17" s="185">
        <v>50.0</v>
      </c>
      <c r="J17" s="35"/>
      <c r="K17" s="184">
        <v>12245.59</v>
      </c>
      <c r="L17" s="186">
        <f t="shared" si="1"/>
        <v>12245.59</v>
      </c>
      <c r="M17" s="187">
        <f t="shared" si="2"/>
        <v>14817.1639</v>
      </c>
      <c r="N17" s="188">
        <f t="shared" si="3"/>
        <v>26940.298</v>
      </c>
      <c r="O17" s="189"/>
      <c r="P17" s="190">
        <f t="shared" si="4"/>
        <v>29634.3278</v>
      </c>
      <c r="Q17" s="195"/>
      <c r="R17" s="192">
        <f t="shared" si="5"/>
        <v>1</v>
      </c>
      <c r="T17" s="145">
        <f t="shared" si="6"/>
        <v>27000</v>
      </c>
      <c r="X17" s="145">
        <f t="shared" si="7"/>
        <v>29700</v>
      </c>
    </row>
    <row r="18" ht="17.25" customHeight="1">
      <c r="A18" s="180">
        <v>15.0</v>
      </c>
      <c r="B18" s="181">
        <v>367258.0</v>
      </c>
      <c r="C18" s="202" t="s">
        <v>278</v>
      </c>
      <c r="D18" s="35"/>
      <c r="E18" s="183">
        <v>10.0</v>
      </c>
      <c r="F18" s="184">
        <v>15567.55</v>
      </c>
      <c r="G18" s="185">
        <v>21.0</v>
      </c>
      <c r="H18" s="35"/>
      <c r="I18" s="185">
        <v>50.0</v>
      </c>
      <c r="J18" s="35"/>
      <c r="K18" s="184">
        <v>77837.76</v>
      </c>
      <c r="L18" s="186">
        <f t="shared" si="1"/>
        <v>7783.776</v>
      </c>
      <c r="M18" s="187">
        <f t="shared" si="2"/>
        <v>9418.36896</v>
      </c>
      <c r="N18" s="188">
        <f t="shared" si="3"/>
        <v>17124.3072</v>
      </c>
      <c r="O18" s="189"/>
      <c r="P18" s="190">
        <f t="shared" si="4"/>
        <v>18836.73792</v>
      </c>
      <c r="Q18" s="195"/>
      <c r="R18" s="192">
        <f t="shared" si="5"/>
        <v>10</v>
      </c>
      <c r="T18" s="145">
        <f t="shared" si="6"/>
        <v>17200</v>
      </c>
      <c r="X18" s="145">
        <f t="shared" si="7"/>
        <v>18900</v>
      </c>
    </row>
    <row r="19" ht="18.75" customHeight="1">
      <c r="A19" s="180">
        <v>16.0</v>
      </c>
      <c r="B19" s="181">
        <v>22.0</v>
      </c>
      <c r="C19" s="202" t="s">
        <v>279</v>
      </c>
      <c r="D19" s="35"/>
      <c r="E19" s="183">
        <v>10.0</v>
      </c>
      <c r="F19" s="184">
        <v>13758.54</v>
      </c>
      <c r="G19" s="185">
        <v>21.0</v>
      </c>
      <c r="H19" s="35"/>
      <c r="I19" s="185">
        <v>50.0</v>
      </c>
      <c r="J19" s="35"/>
      <c r="K19" s="184">
        <v>68792.72</v>
      </c>
      <c r="L19" s="186">
        <f t="shared" si="1"/>
        <v>6879.272</v>
      </c>
      <c r="M19" s="187">
        <f t="shared" si="2"/>
        <v>8323.91912</v>
      </c>
      <c r="N19" s="188">
        <f t="shared" si="3"/>
        <v>15134.3984</v>
      </c>
      <c r="O19" s="189"/>
      <c r="P19" s="190">
        <f t="shared" si="4"/>
        <v>16647.83824</v>
      </c>
      <c r="Q19" s="195"/>
      <c r="R19" s="192">
        <f t="shared" si="5"/>
        <v>10</v>
      </c>
      <c r="T19" s="145">
        <f t="shared" si="6"/>
        <v>15200</v>
      </c>
      <c r="X19" s="145">
        <f t="shared" si="7"/>
        <v>16700</v>
      </c>
    </row>
    <row r="20">
      <c r="A20" s="203">
        <v>17.0</v>
      </c>
      <c r="B20" s="204" t="s">
        <v>280</v>
      </c>
      <c r="C20" s="205" t="s">
        <v>281</v>
      </c>
      <c r="D20" s="35"/>
      <c r="E20" s="183">
        <v>2.0</v>
      </c>
      <c r="F20" s="184">
        <v>13242.28</v>
      </c>
      <c r="G20" s="185">
        <v>21.0</v>
      </c>
      <c r="H20" s="35"/>
      <c r="I20" s="185">
        <v>50.0</v>
      </c>
      <c r="J20" s="35"/>
      <c r="K20" s="184">
        <v>13242.28</v>
      </c>
      <c r="L20" s="186">
        <f t="shared" si="1"/>
        <v>6621.14</v>
      </c>
      <c r="M20" s="187">
        <f t="shared" si="2"/>
        <v>8011.5794</v>
      </c>
      <c r="N20" s="188">
        <f t="shared" si="3"/>
        <v>14566.508</v>
      </c>
      <c r="O20" s="189"/>
      <c r="P20" s="190">
        <f t="shared" si="4"/>
        <v>16023.1588</v>
      </c>
      <c r="Q20" s="195"/>
      <c r="R20" s="192">
        <f t="shared" si="5"/>
        <v>2</v>
      </c>
      <c r="T20" s="145">
        <f t="shared" si="6"/>
        <v>14600</v>
      </c>
      <c r="X20" s="145">
        <f t="shared" si="7"/>
        <v>16100</v>
      </c>
    </row>
    <row r="21">
      <c r="A21" s="203">
        <v>18.0</v>
      </c>
      <c r="B21" s="204" t="s">
        <v>282</v>
      </c>
      <c r="C21" s="205" t="s">
        <v>283</v>
      </c>
      <c r="D21" s="35"/>
      <c r="E21" s="183">
        <v>1.0</v>
      </c>
      <c r="F21" s="184">
        <v>20482.97</v>
      </c>
      <c r="G21" s="185">
        <v>21.0</v>
      </c>
      <c r="H21" s="35"/>
      <c r="I21" s="185">
        <v>50.0</v>
      </c>
      <c r="J21" s="35"/>
      <c r="K21" s="184">
        <v>10241.48</v>
      </c>
      <c r="L21" s="186">
        <f t="shared" si="1"/>
        <v>10241.48</v>
      </c>
      <c r="M21" s="187">
        <f t="shared" si="2"/>
        <v>12392.1908</v>
      </c>
      <c r="N21" s="188">
        <f t="shared" si="3"/>
        <v>22531.256</v>
      </c>
      <c r="O21" s="189"/>
      <c r="P21" s="190">
        <f t="shared" si="4"/>
        <v>24784.3816</v>
      </c>
      <c r="Q21" s="195"/>
      <c r="R21" s="192">
        <f t="shared" si="5"/>
        <v>1</v>
      </c>
      <c r="T21" s="145">
        <f t="shared" si="6"/>
        <v>22600</v>
      </c>
      <c r="X21" s="145">
        <f t="shared" si="7"/>
        <v>24800</v>
      </c>
    </row>
    <row r="22" ht="18.0" customHeight="1">
      <c r="A22" s="203">
        <v>19.0</v>
      </c>
      <c r="B22" s="204" t="s">
        <v>284</v>
      </c>
      <c r="C22" s="205" t="s">
        <v>285</v>
      </c>
      <c r="D22" s="35"/>
      <c r="E22" s="183">
        <v>1.0</v>
      </c>
      <c r="F22" s="184">
        <v>40455.99</v>
      </c>
      <c r="G22" s="185">
        <v>21.0</v>
      </c>
      <c r="H22" s="35"/>
      <c r="I22" s="185">
        <v>50.0</v>
      </c>
      <c r="J22" s="35"/>
      <c r="K22" s="184">
        <v>20227.99</v>
      </c>
      <c r="L22" s="186">
        <f t="shared" si="1"/>
        <v>20227.99</v>
      </c>
      <c r="M22" s="187">
        <f t="shared" si="2"/>
        <v>24475.8679</v>
      </c>
      <c r="N22" s="188">
        <f t="shared" si="3"/>
        <v>44501.578</v>
      </c>
      <c r="O22" s="189"/>
      <c r="P22" s="190">
        <f t="shared" si="4"/>
        <v>48951.7358</v>
      </c>
      <c r="Q22" s="195"/>
      <c r="R22" s="192">
        <f t="shared" si="5"/>
        <v>1</v>
      </c>
      <c r="T22" s="145">
        <f t="shared" si="6"/>
        <v>44600</v>
      </c>
      <c r="X22" s="145">
        <f t="shared" si="7"/>
        <v>49000</v>
      </c>
    </row>
    <row r="23" ht="18.75" customHeight="1">
      <c r="A23" s="206">
        <v>20.0</v>
      </c>
      <c r="B23" s="204" t="s">
        <v>286</v>
      </c>
      <c r="C23" s="205" t="s">
        <v>287</v>
      </c>
      <c r="D23" s="35"/>
      <c r="E23" s="183">
        <v>1.0</v>
      </c>
      <c r="F23" s="184">
        <v>85133.22</v>
      </c>
      <c r="G23" s="185">
        <v>21.0</v>
      </c>
      <c r="H23" s="35"/>
      <c r="I23" s="185">
        <v>50.0</v>
      </c>
      <c r="J23" s="35"/>
      <c r="K23" s="184">
        <v>42566.61</v>
      </c>
      <c r="L23" s="186">
        <f t="shared" si="1"/>
        <v>42566.61</v>
      </c>
      <c r="M23" s="187">
        <f t="shared" si="2"/>
        <v>51505.5981</v>
      </c>
      <c r="N23" s="188">
        <f t="shared" si="3"/>
        <v>93646.542</v>
      </c>
      <c r="O23" s="189"/>
      <c r="P23" s="190">
        <f t="shared" si="4"/>
        <v>103011.1962</v>
      </c>
      <c r="Q23" s="195"/>
      <c r="R23" s="192">
        <f t="shared" si="5"/>
        <v>1</v>
      </c>
      <c r="T23" s="145">
        <f t="shared" si="6"/>
        <v>93700</v>
      </c>
      <c r="U23" s="207"/>
      <c r="X23" s="145">
        <f t="shared" si="7"/>
        <v>103100</v>
      </c>
    </row>
    <row r="24" ht="16.5" customHeight="1">
      <c r="A24" s="206">
        <v>21.0</v>
      </c>
      <c r="B24" s="204" t="s">
        <v>288</v>
      </c>
      <c r="C24" s="205" t="s">
        <v>289</v>
      </c>
      <c r="D24" s="35"/>
      <c r="E24" s="183">
        <v>2.0</v>
      </c>
      <c r="F24" s="184">
        <v>133918.38</v>
      </c>
      <c r="G24" s="185">
        <v>21.0</v>
      </c>
      <c r="H24" s="35"/>
      <c r="I24" s="185">
        <v>50.0</v>
      </c>
      <c r="J24" s="35"/>
      <c r="K24" s="184">
        <v>133918.38</v>
      </c>
      <c r="L24" s="186">
        <f t="shared" si="1"/>
        <v>66959.19</v>
      </c>
      <c r="M24" s="187">
        <f t="shared" si="2"/>
        <v>81020.6199</v>
      </c>
      <c r="N24" s="188">
        <f t="shared" si="3"/>
        <v>147310.218</v>
      </c>
      <c r="O24" s="189"/>
      <c r="P24" s="190">
        <f t="shared" si="4"/>
        <v>162041.2398</v>
      </c>
      <c r="Q24" s="195"/>
      <c r="R24" s="192">
        <f t="shared" si="5"/>
        <v>2</v>
      </c>
      <c r="T24" s="145">
        <f t="shared" si="6"/>
        <v>147400</v>
      </c>
      <c r="X24" s="145">
        <f t="shared" si="7"/>
        <v>162100</v>
      </c>
    </row>
    <row r="25" ht="16.5" customHeight="1">
      <c r="A25" s="180">
        <v>22.0</v>
      </c>
      <c r="B25" s="204" t="s">
        <v>290</v>
      </c>
      <c r="C25" s="208" t="s">
        <v>291</v>
      </c>
      <c r="D25" s="35"/>
      <c r="E25" s="183">
        <v>2.0</v>
      </c>
      <c r="F25" s="184">
        <v>16573.36</v>
      </c>
      <c r="G25" s="185">
        <v>21.0</v>
      </c>
      <c r="H25" s="35"/>
      <c r="I25" s="185">
        <v>50.0</v>
      </c>
      <c r="J25" s="35"/>
      <c r="K25" s="184">
        <v>16573.36</v>
      </c>
      <c r="L25" s="186">
        <f t="shared" si="1"/>
        <v>8286.68</v>
      </c>
      <c r="M25" s="187">
        <f t="shared" si="2"/>
        <v>10026.8828</v>
      </c>
      <c r="N25" s="188">
        <f t="shared" si="3"/>
        <v>18230.696</v>
      </c>
      <c r="O25" s="189"/>
      <c r="P25" s="190">
        <f t="shared" si="4"/>
        <v>20053.7656</v>
      </c>
      <c r="Q25" s="195"/>
      <c r="R25" s="192">
        <f t="shared" si="5"/>
        <v>2</v>
      </c>
      <c r="T25" s="145">
        <f t="shared" si="6"/>
        <v>18300</v>
      </c>
      <c r="X25" s="145">
        <f t="shared" si="7"/>
        <v>20100</v>
      </c>
    </row>
    <row r="26" ht="17.25" customHeight="1">
      <c r="A26" s="180">
        <v>23.0</v>
      </c>
      <c r="B26" s="204" t="s">
        <v>292</v>
      </c>
      <c r="C26" s="208" t="s">
        <v>293</v>
      </c>
      <c r="D26" s="35"/>
      <c r="E26" s="183">
        <v>2.0</v>
      </c>
      <c r="F26" s="184">
        <v>24222.6</v>
      </c>
      <c r="G26" s="185">
        <v>21.0</v>
      </c>
      <c r="H26" s="35"/>
      <c r="I26" s="185">
        <v>50.0</v>
      </c>
      <c r="J26" s="35"/>
      <c r="K26" s="184">
        <v>24222.6</v>
      </c>
      <c r="L26" s="186">
        <f t="shared" si="1"/>
        <v>12111.3</v>
      </c>
      <c r="M26" s="187">
        <f t="shared" si="2"/>
        <v>14654.673</v>
      </c>
      <c r="N26" s="188">
        <f t="shared" si="3"/>
        <v>26644.86</v>
      </c>
      <c r="O26" s="189"/>
      <c r="P26" s="190">
        <f t="shared" si="4"/>
        <v>29309.346</v>
      </c>
      <c r="Q26" s="195"/>
      <c r="R26" s="192">
        <f t="shared" si="5"/>
        <v>2</v>
      </c>
      <c r="T26" s="145">
        <f t="shared" si="6"/>
        <v>26700</v>
      </c>
      <c r="X26" s="145">
        <f t="shared" si="7"/>
        <v>29400</v>
      </c>
    </row>
    <row r="27" ht="16.5" customHeight="1">
      <c r="A27" s="180">
        <v>24.0</v>
      </c>
      <c r="B27" s="204" t="s">
        <v>294</v>
      </c>
      <c r="C27" s="208" t="s">
        <v>295</v>
      </c>
      <c r="D27" s="35"/>
      <c r="E27" s="183">
        <v>2.0</v>
      </c>
      <c r="F27" s="184">
        <v>29095.45</v>
      </c>
      <c r="G27" s="185">
        <v>21.0</v>
      </c>
      <c r="H27" s="35"/>
      <c r="I27" s="185">
        <v>50.0</v>
      </c>
      <c r="J27" s="35"/>
      <c r="K27" s="184">
        <v>29095.45</v>
      </c>
      <c r="L27" s="186">
        <f t="shared" si="1"/>
        <v>14547.725</v>
      </c>
      <c r="M27" s="187">
        <f t="shared" si="2"/>
        <v>17602.74725</v>
      </c>
      <c r="N27" s="188">
        <f t="shared" si="3"/>
        <v>32004.995</v>
      </c>
      <c r="O27" s="189"/>
      <c r="P27" s="190">
        <f t="shared" si="4"/>
        <v>35205.4945</v>
      </c>
      <c r="Q27" s="195"/>
      <c r="R27" s="192">
        <f t="shared" si="5"/>
        <v>2</v>
      </c>
      <c r="T27" s="145">
        <f t="shared" si="6"/>
        <v>32100</v>
      </c>
      <c r="X27" s="145">
        <f t="shared" si="7"/>
        <v>35300</v>
      </c>
    </row>
    <row r="28" ht="16.5" customHeight="1">
      <c r="A28" s="180">
        <v>25.0</v>
      </c>
      <c r="B28" s="204">
        <v>65449.0</v>
      </c>
      <c r="C28" s="209" t="s">
        <v>296</v>
      </c>
      <c r="D28" s="35"/>
      <c r="E28" s="183">
        <v>4.0</v>
      </c>
      <c r="F28" s="184">
        <v>9710.4</v>
      </c>
      <c r="G28" s="185">
        <v>21.0</v>
      </c>
      <c r="H28" s="35"/>
      <c r="I28" s="185">
        <v>50.0</v>
      </c>
      <c r="J28" s="35"/>
      <c r="K28" s="184">
        <v>19420.8</v>
      </c>
      <c r="L28" s="186">
        <f t="shared" si="1"/>
        <v>4855.2</v>
      </c>
      <c r="M28" s="187">
        <f t="shared" si="2"/>
        <v>5874.792</v>
      </c>
      <c r="N28" s="188">
        <f t="shared" si="3"/>
        <v>10681.44</v>
      </c>
      <c r="O28" s="189"/>
      <c r="P28" s="190">
        <f t="shared" si="4"/>
        <v>11749.584</v>
      </c>
      <c r="Q28" s="191">
        <v>1.0</v>
      </c>
      <c r="R28" s="192">
        <f t="shared" si="5"/>
        <v>3</v>
      </c>
      <c r="T28" s="145">
        <f t="shared" si="6"/>
        <v>10700</v>
      </c>
      <c r="X28" s="145">
        <f t="shared" si="7"/>
        <v>11800</v>
      </c>
    </row>
    <row r="29" ht="18.75" customHeight="1">
      <c r="A29" s="180">
        <v>26.0</v>
      </c>
      <c r="B29" s="204">
        <v>65448.0</v>
      </c>
      <c r="C29" s="209" t="s">
        <v>297</v>
      </c>
      <c r="D29" s="35"/>
      <c r="E29" s="183">
        <v>4.0</v>
      </c>
      <c r="F29" s="184">
        <v>13204.8</v>
      </c>
      <c r="G29" s="185">
        <v>21.0</v>
      </c>
      <c r="H29" s="35"/>
      <c r="I29" s="185">
        <v>50.0</v>
      </c>
      <c r="J29" s="35"/>
      <c r="K29" s="184">
        <v>26409.6</v>
      </c>
      <c r="L29" s="186">
        <f t="shared" si="1"/>
        <v>6602.4</v>
      </c>
      <c r="M29" s="187">
        <f t="shared" si="2"/>
        <v>7988.904</v>
      </c>
      <c r="N29" s="188">
        <f t="shared" si="3"/>
        <v>14525.28</v>
      </c>
      <c r="O29" s="189"/>
      <c r="P29" s="190">
        <f t="shared" si="4"/>
        <v>15977.808</v>
      </c>
      <c r="Q29" s="195"/>
      <c r="R29" s="192">
        <f t="shared" si="5"/>
        <v>4</v>
      </c>
      <c r="T29" s="145">
        <f t="shared" si="6"/>
        <v>14600</v>
      </c>
      <c r="X29" s="145">
        <f t="shared" si="7"/>
        <v>16000</v>
      </c>
    </row>
    <row r="30" ht="17.25" customHeight="1">
      <c r="A30" s="180">
        <v>27.0</v>
      </c>
      <c r="B30" s="204">
        <v>65430.0</v>
      </c>
      <c r="C30" s="209" t="s">
        <v>298</v>
      </c>
      <c r="D30" s="35"/>
      <c r="E30" s="183">
        <v>4.0</v>
      </c>
      <c r="F30" s="184">
        <v>30441.6</v>
      </c>
      <c r="G30" s="185">
        <v>21.0</v>
      </c>
      <c r="H30" s="35"/>
      <c r="I30" s="185">
        <v>50.0</v>
      </c>
      <c r="J30" s="35"/>
      <c r="K30" s="184">
        <v>60883.2</v>
      </c>
      <c r="L30" s="186">
        <f t="shared" si="1"/>
        <v>15220.8</v>
      </c>
      <c r="M30" s="187">
        <f t="shared" si="2"/>
        <v>18417.168</v>
      </c>
      <c r="N30" s="188">
        <f t="shared" si="3"/>
        <v>33485.76</v>
      </c>
      <c r="O30" s="189"/>
      <c r="P30" s="190">
        <f t="shared" si="4"/>
        <v>36834.336</v>
      </c>
      <c r="Q30" s="195"/>
      <c r="R30" s="192">
        <f t="shared" si="5"/>
        <v>4</v>
      </c>
      <c r="T30" s="145">
        <f t="shared" si="6"/>
        <v>33500</v>
      </c>
      <c r="X30" s="145">
        <f t="shared" si="7"/>
        <v>36900</v>
      </c>
    </row>
    <row r="31" ht="17.25" customHeight="1">
      <c r="A31" s="180">
        <v>28.0</v>
      </c>
      <c r="B31" s="204">
        <v>65385.0</v>
      </c>
      <c r="C31" s="209" t="s">
        <v>299</v>
      </c>
      <c r="D31" s="35"/>
      <c r="E31" s="183">
        <v>2.0</v>
      </c>
      <c r="F31" s="184">
        <v>55675.2</v>
      </c>
      <c r="G31" s="185">
        <v>21.0</v>
      </c>
      <c r="H31" s="35"/>
      <c r="I31" s="185">
        <v>50.0</v>
      </c>
      <c r="J31" s="35"/>
      <c r="K31" s="184">
        <f>F31/2</f>
        <v>27837.6</v>
      </c>
      <c r="L31" s="186">
        <f>K31*(1-0.5)</f>
        <v>13918.8</v>
      </c>
      <c r="M31" s="187">
        <f t="shared" si="2"/>
        <v>16841.748</v>
      </c>
      <c r="N31" s="188">
        <f t="shared" si="3"/>
        <v>30621.36</v>
      </c>
      <c r="O31" s="189"/>
      <c r="P31" s="190">
        <f t="shared" si="4"/>
        <v>33683.496</v>
      </c>
      <c r="Q31" s="191">
        <v>2.0</v>
      </c>
      <c r="R31" s="192">
        <f t="shared" si="5"/>
        <v>0</v>
      </c>
      <c r="T31" s="145">
        <f t="shared" si="6"/>
        <v>30700</v>
      </c>
      <c r="X31" s="145">
        <f t="shared" si="7"/>
        <v>33700</v>
      </c>
    </row>
    <row r="32" ht="18.0" customHeight="1">
      <c r="A32" s="180">
        <v>29.0</v>
      </c>
      <c r="B32" s="204">
        <v>65424.0</v>
      </c>
      <c r="C32" s="209" t="s">
        <v>300</v>
      </c>
      <c r="D32" s="35"/>
      <c r="E32" s="183">
        <v>4.0</v>
      </c>
      <c r="F32" s="184">
        <v>27081.6</v>
      </c>
      <c r="G32" s="185">
        <v>21.0</v>
      </c>
      <c r="H32" s="35"/>
      <c r="I32" s="185">
        <v>50.0</v>
      </c>
      <c r="J32" s="35"/>
      <c r="K32" s="184">
        <v>54163.2</v>
      </c>
      <c r="L32" s="186">
        <f t="shared" ref="L32:L70" si="8">K32/E32</f>
        <v>13540.8</v>
      </c>
      <c r="M32" s="187">
        <f t="shared" si="2"/>
        <v>16384.368</v>
      </c>
      <c r="N32" s="188">
        <f t="shared" si="3"/>
        <v>29789.76</v>
      </c>
      <c r="O32" s="189"/>
      <c r="P32" s="190">
        <f t="shared" si="4"/>
        <v>32768.736</v>
      </c>
      <c r="Q32" s="191">
        <v>2.0</v>
      </c>
      <c r="R32" s="192">
        <f t="shared" si="5"/>
        <v>2</v>
      </c>
      <c r="T32" s="145">
        <f t="shared" si="6"/>
        <v>29800</v>
      </c>
      <c r="X32" s="145">
        <f t="shared" si="7"/>
        <v>32800</v>
      </c>
    </row>
    <row r="33" ht="18.0" customHeight="1">
      <c r="A33" s="180">
        <v>30.0</v>
      </c>
      <c r="B33" s="204">
        <v>65425.0</v>
      </c>
      <c r="C33" s="209" t="s">
        <v>301</v>
      </c>
      <c r="D33" s="35"/>
      <c r="E33" s="183">
        <v>4.0</v>
      </c>
      <c r="F33" s="184">
        <v>31785.6</v>
      </c>
      <c r="G33" s="185">
        <v>21.0</v>
      </c>
      <c r="H33" s="35"/>
      <c r="I33" s="185">
        <v>50.0</v>
      </c>
      <c r="J33" s="35"/>
      <c r="K33" s="184">
        <v>63571.2</v>
      </c>
      <c r="L33" s="186">
        <f t="shared" si="8"/>
        <v>15892.8</v>
      </c>
      <c r="M33" s="187">
        <f t="shared" si="2"/>
        <v>19230.288</v>
      </c>
      <c r="N33" s="188">
        <f t="shared" si="3"/>
        <v>34964.16</v>
      </c>
      <c r="O33" s="189"/>
      <c r="P33" s="190">
        <f t="shared" si="4"/>
        <v>38460.576</v>
      </c>
      <c r="Q33" s="191">
        <v>1.0</v>
      </c>
      <c r="R33" s="192">
        <f t="shared" si="5"/>
        <v>3</v>
      </c>
      <c r="T33" s="145">
        <f t="shared" si="6"/>
        <v>35000</v>
      </c>
      <c r="X33" s="145">
        <f t="shared" si="7"/>
        <v>38500</v>
      </c>
    </row>
    <row r="34" ht="18.0" customHeight="1">
      <c r="A34" s="180">
        <v>31.0</v>
      </c>
      <c r="B34" s="204">
        <v>65436.0</v>
      </c>
      <c r="C34" s="209" t="s">
        <v>302</v>
      </c>
      <c r="D34" s="35"/>
      <c r="E34" s="183">
        <v>2.0</v>
      </c>
      <c r="F34" s="184">
        <v>34104.0</v>
      </c>
      <c r="G34" s="185">
        <v>21.0</v>
      </c>
      <c r="H34" s="35"/>
      <c r="I34" s="185">
        <v>50.0</v>
      </c>
      <c r="J34" s="35"/>
      <c r="K34" s="184">
        <v>34104.0</v>
      </c>
      <c r="L34" s="186">
        <f t="shared" si="8"/>
        <v>17052</v>
      </c>
      <c r="M34" s="187">
        <f t="shared" si="2"/>
        <v>20632.92</v>
      </c>
      <c r="N34" s="188">
        <f t="shared" si="3"/>
        <v>37514.4</v>
      </c>
      <c r="O34" s="189"/>
      <c r="P34" s="190">
        <f t="shared" si="4"/>
        <v>41265.84</v>
      </c>
      <c r="Q34" s="191">
        <v>1.0</v>
      </c>
      <c r="R34" s="192">
        <f t="shared" si="5"/>
        <v>1</v>
      </c>
      <c r="T34" s="145">
        <f t="shared" si="6"/>
        <v>37600</v>
      </c>
      <c r="X34" s="145">
        <f t="shared" si="7"/>
        <v>41300</v>
      </c>
    </row>
    <row r="35" ht="20.25" customHeight="1">
      <c r="A35" s="180">
        <v>32.0</v>
      </c>
      <c r="B35" s="67" t="s">
        <v>303</v>
      </c>
      <c r="C35" s="210" t="s">
        <v>304</v>
      </c>
      <c r="D35" s="35"/>
      <c r="E35" s="183">
        <v>5.0</v>
      </c>
      <c r="F35" s="184">
        <v>13931.61</v>
      </c>
      <c r="G35" s="185">
        <v>21.0</v>
      </c>
      <c r="H35" s="35"/>
      <c r="I35" s="185">
        <v>50.0</v>
      </c>
      <c r="J35" s="35"/>
      <c r="K35" s="184">
        <v>34829.02</v>
      </c>
      <c r="L35" s="186">
        <f t="shared" si="8"/>
        <v>6965.804</v>
      </c>
      <c r="M35" s="187">
        <f t="shared" si="2"/>
        <v>8428.62284</v>
      </c>
      <c r="N35" s="188">
        <f t="shared" si="3"/>
        <v>15324.7688</v>
      </c>
      <c r="O35" s="189"/>
      <c r="P35" s="190">
        <f t="shared" si="4"/>
        <v>16857.24568</v>
      </c>
      <c r="Q35" s="195"/>
      <c r="R35" s="192">
        <f t="shared" si="5"/>
        <v>5</v>
      </c>
      <c r="T35" s="145">
        <f t="shared" si="6"/>
        <v>15400</v>
      </c>
      <c r="X35" s="145">
        <f t="shared" si="7"/>
        <v>16900</v>
      </c>
    </row>
    <row r="36" ht="20.25" customHeight="1">
      <c r="A36" s="180">
        <v>33.0</v>
      </c>
      <c r="B36" s="67" t="s">
        <v>305</v>
      </c>
      <c r="C36" s="210" t="s">
        <v>306</v>
      </c>
      <c r="D36" s="35"/>
      <c r="E36" s="183">
        <v>5.0</v>
      </c>
      <c r="F36" s="184">
        <v>3410.35</v>
      </c>
      <c r="G36" s="185">
        <v>21.0</v>
      </c>
      <c r="H36" s="35"/>
      <c r="I36" s="185">
        <v>50.0</v>
      </c>
      <c r="J36" s="35"/>
      <c r="K36" s="184">
        <v>8525.87</v>
      </c>
      <c r="L36" s="186">
        <f t="shared" si="8"/>
        <v>1705.174</v>
      </c>
      <c r="M36" s="187">
        <f t="shared" si="2"/>
        <v>2063.26054</v>
      </c>
      <c r="N36" s="188">
        <f t="shared" si="3"/>
        <v>3751.3828</v>
      </c>
      <c r="O36" s="189"/>
      <c r="P36" s="190">
        <f t="shared" si="4"/>
        <v>4126.52108</v>
      </c>
      <c r="Q36" s="195"/>
      <c r="R36" s="192">
        <f t="shared" si="5"/>
        <v>5</v>
      </c>
      <c r="T36" s="145">
        <f t="shared" si="6"/>
        <v>3800</v>
      </c>
      <c r="X36" s="145">
        <f t="shared" si="7"/>
        <v>4200</v>
      </c>
    </row>
    <row r="37" ht="17.25" customHeight="1">
      <c r="A37" s="180">
        <v>34.0</v>
      </c>
      <c r="B37" s="67" t="s">
        <v>307</v>
      </c>
      <c r="C37" s="210" t="s">
        <v>308</v>
      </c>
      <c r="D37" s="35"/>
      <c r="E37" s="183">
        <v>5.0</v>
      </c>
      <c r="F37" s="184">
        <v>5198.7</v>
      </c>
      <c r="G37" s="185">
        <v>21.0</v>
      </c>
      <c r="H37" s="35"/>
      <c r="I37" s="185">
        <v>50.0</v>
      </c>
      <c r="J37" s="35"/>
      <c r="K37" s="184">
        <v>12996.75</v>
      </c>
      <c r="L37" s="186">
        <f t="shared" si="8"/>
        <v>2599.35</v>
      </c>
      <c r="M37" s="187">
        <f t="shared" si="2"/>
        <v>3145.2135</v>
      </c>
      <c r="N37" s="188">
        <f t="shared" si="3"/>
        <v>5718.57</v>
      </c>
      <c r="O37" s="189"/>
      <c r="P37" s="190">
        <f t="shared" si="4"/>
        <v>6290.427</v>
      </c>
      <c r="Q37" s="195"/>
      <c r="R37" s="192">
        <f t="shared" si="5"/>
        <v>5</v>
      </c>
      <c r="T37" s="145">
        <f t="shared" si="6"/>
        <v>5800</v>
      </c>
      <c r="X37" s="145">
        <f t="shared" si="7"/>
        <v>6300</v>
      </c>
    </row>
    <row r="38" ht="18.0" customHeight="1">
      <c r="A38" s="180">
        <v>35.0</v>
      </c>
      <c r="B38" s="67" t="s">
        <v>309</v>
      </c>
      <c r="C38" s="210" t="s">
        <v>310</v>
      </c>
      <c r="D38" s="35"/>
      <c r="E38" s="183">
        <v>5.0</v>
      </c>
      <c r="F38" s="184">
        <v>3405.5</v>
      </c>
      <c r="G38" s="185">
        <v>21.0</v>
      </c>
      <c r="H38" s="35"/>
      <c r="I38" s="185">
        <v>50.0</v>
      </c>
      <c r="J38" s="35"/>
      <c r="K38" s="184">
        <v>8513.75</v>
      </c>
      <c r="L38" s="186">
        <f t="shared" si="8"/>
        <v>1702.75</v>
      </c>
      <c r="M38" s="187">
        <f t="shared" si="2"/>
        <v>2060.3275</v>
      </c>
      <c r="N38" s="188">
        <f t="shared" si="3"/>
        <v>3746.05</v>
      </c>
      <c r="O38" s="189"/>
      <c r="P38" s="190">
        <f t="shared" si="4"/>
        <v>4120.655</v>
      </c>
      <c r="Q38" s="195"/>
      <c r="R38" s="192">
        <f t="shared" si="5"/>
        <v>5</v>
      </c>
      <c r="T38" s="145">
        <f t="shared" si="6"/>
        <v>3800</v>
      </c>
      <c r="X38" s="145">
        <f t="shared" si="7"/>
        <v>4200</v>
      </c>
    </row>
    <row r="39" ht="18.0" customHeight="1">
      <c r="A39" s="180">
        <v>36.0</v>
      </c>
      <c r="B39" s="67" t="s">
        <v>311</v>
      </c>
      <c r="C39" s="210" t="s">
        <v>312</v>
      </c>
      <c r="D39" s="35"/>
      <c r="E39" s="183">
        <v>4.0</v>
      </c>
      <c r="F39" s="184">
        <v>42234.24</v>
      </c>
      <c r="G39" s="185">
        <v>21.0</v>
      </c>
      <c r="H39" s="35"/>
      <c r="I39" s="185">
        <v>50.0</v>
      </c>
      <c r="J39" s="35"/>
      <c r="K39" s="184">
        <v>84468.48</v>
      </c>
      <c r="L39" s="186">
        <f t="shared" si="8"/>
        <v>21117.12</v>
      </c>
      <c r="M39" s="187">
        <f t="shared" si="2"/>
        <v>25551.7152</v>
      </c>
      <c r="N39" s="188">
        <f t="shared" si="3"/>
        <v>46457.664</v>
      </c>
      <c r="O39" s="189"/>
      <c r="P39" s="190">
        <f t="shared" si="4"/>
        <v>51103.4304</v>
      </c>
      <c r="Q39" s="195"/>
      <c r="R39" s="192">
        <f t="shared" si="5"/>
        <v>4</v>
      </c>
      <c r="T39" s="145">
        <f t="shared" si="6"/>
        <v>46500</v>
      </c>
      <c r="X39" s="145">
        <f t="shared" si="7"/>
        <v>51200</v>
      </c>
    </row>
    <row r="40">
      <c r="A40" s="180">
        <v>37.0</v>
      </c>
      <c r="B40" s="67" t="s">
        <v>313</v>
      </c>
      <c r="C40" s="210" t="s">
        <v>314</v>
      </c>
      <c r="D40" s="35"/>
      <c r="E40" s="183">
        <v>4.0</v>
      </c>
      <c r="F40" s="184">
        <v>40300.32</v>
      </c>
      <c r="G40" s="185">
        <v>21.0</v>
      </c>
      <c r="H40" s="35"/>
      <c r="I40" s="185">
        <v>50.0</v>
      </c>
      <c r="J40" s="35"/>
      <c r="K40" s="184">
        <v>80600.64</v>
      </c>
      <c r="L40" s="186">
        <f t="shared" si="8"/>
        <v>20150.16</v>
      </c>
      <c r="M40" s="187">
        <f t="shared" si="2"/>
        <v>24381.6936</v>
      </c>
      <c r="N40" s="188">
        <f t="shared" si="3"/>
        <v>44330.352</v>
      </c>
      <c r="O40" s="189"/>
      <c r="P40" s="190">
        <f t="shared" si="4"/>
        <v>48763.3872</v>
      </c>
      <c r="Q40" s="195"/>
      <c r="R40" s="192">
        <f t="shared" si="5"/>
        <v>4</v>
      </c>
      <c r="T40" s="145">
        <f t="shared" si="6"/>
        <v>44400</v>
      </c>
      <c r="X40" s="145">
        <f t="shared" si="7"/>
        <v>48800</v>
      </c>
    </row>
    <row r="41" ht="18.0" customHeight="1">
      <c r="A41" s="180">
        <v>38.0</v>
      </c>
      <c r="B41" s="67" t="s">
        <v>315</v>
      </c>
      <c r="C41" s="210" t="s">
        <v>316</v>
      </c>
      <c r="D41" s="35"/>
      <c r="E41" s="183">
        <v>4.0</v>
      </c>
      <c r="F41" s="184">
        <v>42234.24</v>
      </c>
      <c r="G41" s="185">
        <v>21.0</v>
      </c>
      <c r="H41" s="35"/>
      <c r="I41" s="185">
        <v>50.0</v>
      </c>
      <c r="J41" s="35"/>
      <c r="K41" s="184">
        <v>84468.48</v>
      </c>
      <c r="L41" s="186">
        <f t="shared" si="8"/>
        <v>21117.12</v>
      </c>
      <c r="M41" s="187">
        <f t="shared" si="2"/>
        <v>25551.7152</v>
      </c>
      <c r="N41" s="188">
        <f t="shared" si="3"/>
        <v>46457.664</v>
      </c>
      <c r="O41" s="189"/>
      <c r="P41" s="190">
        <f t="shared" si="4"/>
        <v>51103.4304</v>
      </c>
      <c r="Q41" s="195"/>
      <c r="R41" s="192">
        <f t="shared" si="5"/>
        <v>4</v>
      </c>
      <c r="T41" s="145">
        <f t="shared" si="6"/>
        <v>46500</v>
      </c>
      <c r="X41" s="145">
        <f t="shared" si="7"/>
        <v>51200</v>
      </c>
    </row>
    <row r="42" ht="17.25" customHeight="1">
      <c r="A42" s="180">
        <v>39.0</v>
      </c>
      <c r="B42" s="67" t="s">
        <v>317</v>
      </c>
      <c r="C42" s="210" t="s">
        <v>318</v>
      </c>
      <c r="D42" s="35"/>
      <c r="E42" s="183">
        <v>4.0</v>
      </c>
      <c r="F42" s="184">
        <v>44001.8</v>
      </c>
      <c r="G42" s="185">
        <v>21.0</v>
      </c>
      <c r="H42" s="35"/>
      <c r="I42" s="185">
        <v>50.0</v>
      </c>
      <c r="J42" s="35"/>
      <c r="K42" s="184">
        <v>88003.59</v>
      </c>
      <c r="L42" s="186">
        <f t="shared" si="8"/>
        <v>22000.8975</v>
      </c>
      <c r="M42" s="187">
        <f t="shared" si="2"/>
        <v>26621.08598</v>
      </c>
      <c r="N42" s="188">
        <f t="shared" si="3"/>
        <v>48401.9745</v>
      </c>
      <c r="O42" s="189"/>
      <c r="P42" s="190">
        <f t="shared" si="4"/>
        <v>53242.17195</v>
      </c>
      <c r="Q42" s="195"/>
      <c r="R42" s="192">
        <f t="shared" si="5"/>
        <v>4</v>
      </c>
      <c r="T42" s="145">
        <f t="shared" si="6"/>
        <v>48500</v>
      </c>
      <c r="X42" s="145">
        <f t="shared" si="7"/>
        <v>53300</v>
      </c>
    </row>
    <row r="43" ht="18.75" customHeight="1">
      <c r="A43" s="180">
        <v>40.0</v>
      </c>
      <c r="B43" s="67" t="s">
        <v>319</v>
      </c>
      <c r="C43" s="210" t="s">
        <v>320</v>
      </c>
      <c r="D43" s="35"/>
      <c r="E43" s="183">
        <v>4.0</v>
      </c>
      <c r="F43" s="184">
        <v>36973.15</v>
      </c>
      <c r="G43" s="185">
        <v>21.0</v>
      </c>
      <c r="H43" s="35"/>
      <c r="I43" s="185">
        <v>50.0</v>
      </c>
      <c r="J43" s="35"/>
      <c r="K43" s="184">
        <v>73946.31</v>
      </c>
      <c r="L43" s="186">
        <f t="shared" si="8"/>
        <v>18486.5775</v>
      </c>
      <c r="M43" s="187">
        <f t="shared" si="2"/>
        <v>22368.75878</v>
      </c>
      <c r="N43" s="188">
        <f t="shared" si="3"/>
        <v>40670.4705</v>
      </c>
      <c r="O43" s="189"/>
      <c r="P43" s="190">
        <f t="shared" si="4"/>
        <v>44737.51755</v>
      </c>
      <c r="Q43" s="195"/>
      <c r="R43" s="192">
        <f t="shared" si="5"/>
        <v>4</v>
      </c>
      <c r="T43" s="145">
        <f t="shared" si="6"/>
        <v>40700</v>
      </c>
      <c r="X43" s="145">
        <f t="shared" si="7"/>
        <v>44800</v>
      </c>
    </row>
    <row r="44" ht="20.25" customHeight="1">
      <c r="A44" s="180">
        <v>41.0</v>
      </c>
      <c r="B44" s="67" t="s">
        <v>321</v>
      </c>
      <c r="C44" s="210" t="s">
        <v>322</v>
      </c>
      <c r="D44" s="35"/>
      <c r="E44" s="183">
        <v>4.0</v>
      </c>
      <c r="F44" s="184">
        <v>42442.19</v>
      </c>
      <c r="G44" s="185">
        <v>21.0</v>
      </c>
      <c r="H44" s="35"/>
      <c r="I44" s="185">
        <v>50.0</v>
      </c>
      <c r="J44" s="35"/>
      <c r="K44" s="184">
        <v>84884.37</v>
      </c>
      <c r="L44" s="186">
        <f t="shared" si="8"/>
        <v>21221.0925</v>
      </c>
      <c r="M44" s="187">
        <f t="shared" si="2"/>
        <v>25677.52193</v>
      </c>
      <c r="N44" s="188">
        <f t="shared" si="3"/>
        <v>46686.4035</v>
      </c>
      <c r="O44" s="189"/>
      <c r="P44" s="190">
        <f t="shared" si="4"/>
        <v>51355.04385</v>
      </c>
      <c r="Q44" s="195"/>
      <c r="R44" s="192">
        <f t="shared" si="5"/>
        <v>4</v>
      </c>
      <c r="T44" s="145">
        <f t="shared" si="6"/>
        <v>46700</v>
      </c>
      <c r="X44" s="145">
        <f t="shared" si="7"/>
        <v>51400</v>
      </c>
    </row>
    <row r="45" ht="20.25" customHeight="1">
      <c r="A45" s="180">
        <v>42.0</v>
      </c>
      <c r="B45" s="67" t="s">
        <v>323</v>
      </c>
      <c r="C45" s="210" t="s">
        <v>324</v>
      </c>
      <c r="D45" s="35"/>
      <c r="E45" s="183">
        <v>5.0</v>
      </c>
      <c r="F45" s="184">
        <v>20441.29</v>
      </c>
      <c r="G45" s="185">
        <v>21.0</v>
      </c>
      <c r="H45" s="35"/>
      <c r="I45" s="185">
        <v>50.0</v>
      </c>
      <c r="J45" s="35"/>
      <c r="K45" s="184">
        <v>51103.22</v>
      </c>
      <c r="L45" s="186">
        <f t="shared" si="8"/>
        <v>10220.644</v>
      </c>
      <c r="M45" s="187">
        <f t="shared" si="2"/>
        <v>12366.97924</v>
      </c>
      <c r="N45" s="188">
        <f t="shared" si="3"/>
        <v>22485.4168</v>
      </c>
      <c r="O45" s="189"/>
      <c r="P45" s="190">
        <f t="shared" si="4"/>
        <v>24733.95848</v>
      </c>
      <c r="Q45" s="195"/>
      <c r="R45" s="192">
        <f t="shared" si="5"/>
        <v>5</v>
      </c>
      <c r="T45" s="145">
        <f t="shared" si="6"/>
        <v>22500</v>
      </c>
      <c r="X45" s="145">
        <f t="shared" si="7"/>
        <v>24800</v>
      </c>
    </row>
    <row r="46" ht="17.25" customHeight="1">
      <c r="A46" s="180">
        <v>43.0</v>
      </c>
      <c r="B46" s="67" t="s">
        <v>325</v>
      </c>
      <c r="C46" s="210" t="s">
        <v>326</v>
      </c>
      <c r="D46" s="35"/>
      <c r="E46" s="183">
        <v>5.0</v>
      </c>
      <c r="F46" s="184">
        <v>32897.37</v>
      </c>
      <c r="G46" s="185">
        <v>21.0</v>
      </c>
      <c r="H46" s="35"/>
      <c r="I46" s="185">
        <v>50.0</v>
      </c>
      <c r="J46" s="35"/>
      <c r="K46" s="184">
        <v>82243.43</v>
      </c>
      <c r="L46" s="186">
        <f t="shared" si="8"/>
        <v>16448.686</v>
      </c>
      <c r="M46" s="187">
        <f t="shared" si="2"/>
        <v>19902.91006</v>
      </c>
      <c r="N46" s="188">
        <f t="shared" si="3"/>
        <v>36187.1092</v>
      </c>
      <c r="O46" s="189"/>
      <c r="P46" s="190">
        <f t="shared" si="4"/>
        <v>39805.82012</v>
      </c>
      <c r="Q46" s="195"/>
      <c r="R46" s="192">
        <f t="shared" si="5"/>
        <v>5</v>
      </c>
      <c r="T46" s="145">
        <f t="shared" si="6"/>
        <v>36200</v>
      </c>
      <c r="X46" s="145">
        <f t="shared" si="7"/>
        <v>39900</v>
      </c>
    </row>
    <row r="47" ht="17.25" customHeight="1">
      <c r="A47" s="180">
        <v>44.0</v>
      </c>
      <c r="B47" s="67" t="s">
        <v>327</v>
      </c>
      <c r="C47" s="210" t="s">
        <v>328</v>
      </c>
      <c r="D47" s="35"/>
      <c r="E47" s="183">
        <v>5.0</v>
      </c>
      <c r="F47" s="184">
        <v>32523.07</v>
      </c>
      <c r="G47" s="185">
        <v>21.0</v>
      </c>
      <c r="H47" s="35"/>
      <c r="I47" s="185">
        <v>50.0</v>
      </c>
      <c r="J47" s="35"/>
      <c r="K47" s="184">
        <v>81307.67</v>
      </c>
      <c r="L47" s="186">
        <f t="shared" si="8"/>
        <v>16261.534</v>
      </c>
      <c r="M47" s="187">
        <f t="shared" si="2"/>
        <v>19676.45614</v>
      </c>
      <c r="N47" s="188">
        <f t="shared" si="3"/>
        <v>35775.3748</v>
      </c>
      <c r="O47" s="189"/>
      <c r="P47" s="190">
        <f t="shared" si="4"/>
        <v>39352.91228</v>
      </c>
      <c r="Q47" s="195"/>
      <c r="R47" s="192">
        <f t="shared" si="5"/>
        <v>5</v>
      </c>
      <c r="T47" s="145">
        <f t="shared" si="6"/>
        <v>35800</v>
      </c>
      <c r="X47" s="145">
        <f t="shared" si="7"/>
        <v>39400</v>
      </c>
    </row>
    <row r="48" ht="20.25" customHeight="1">
      <c r="A48" s="180">
        <v>45.0</v>
      </c>
      <c r="B48" s="204" t="s">
        <v>329</v>
      </c>
      <c r="C48" s="209" t="s">
        <v>330</v>
      </c>
      <c r="D48" s="35"/>
      <c r="E48" s="183">
        <v>5.0</v>
      </c>
      <c r="F48" s="184">
        <v>28696.82</v>
      </c>
      <c r="G48" s="185">
        <v>21.0</v>
      </c>
      <c r="H48" s="35"/>
      <c r="I48" s="185">
        <v>50.0</v>
      </c>
      <c r="J48" s="35"/>
      <c r="K48" s="184">
        <v>71742.06</v>
      </c>
      <c r="L48" s="186">
        <f t="shared" si="8"/>
        <v>14348.412</v>
      </c>
      <c r="M48" s="187">
        <f t="shared" si="2"/>
        <v>17361.57852</v>
      </c>
      <c r="N48" s="188">
        <f t="shared" si="3"/>
        <v>31566.5064</v>
      </c>
      <c r="O48" s="189"/>
      <c r="P48" s="190">
        <f t="shared" si="4"/>
        <v>34723.15704</v>
      </c>
      <c r="Q48" s="195"/>
      <c r="R48" s="192">
        <f t="shared" si="5"/>
        <v>5</v>
      </c>
      <c r="T48" s="145">
        <f t="shared" si="6"/>
        <v>31600</v>
      </c>
      <c r="X48" s="145">
        <f t="shared" si="7"/>
        <v>34800</v>
      </c>
    </row>
    <row r="49" ht="18.0" customHeight="1">
      <c r="A49" s="180">
        <v>46.0</v>
      </c>
      <c r="B49" s="67" t="s">
        <v>331</v>
      </c>
      <c r="C49" s="210" t="s">
        <v>332</v>
      </c>
      <c r="D49" s="35"/>
      <c r="E49" s="183">
        <v>5.0</v>
      </c>
      <c r="F49" s="184">
        <v>18694.53</v>
      </c>
      <c r="G49" s="185">
        <v>21.0</v>
      </c>
      <c r="H49" s="35"/>
      <c r="I49" s="185">
        <v>50.0</v>
      </c>
      <c r="J49" s="35"/>
      <c r="K49" s="184">
        <v>46736.31</v>
      </c>
      <c r="L49" s="186">
        <f t="shared" si="8"/>
        <v>9347.262</v>
      </c>
      <c r="M49" s="187">
        <f t="shared" si="2"/>
        <v>11310.18702</v>
      </c>
      <c r="N49" s="188">
        <f t="shared" si="3"/>
        <v>20563.9764</v>
      </c>
      <c r="O49" s="189"/>
      <c r="P49" s="190">
        <f t="shared" si="4"/>
        <v>22620.37404</v>
      </c>
      <c r="Q49" s="195"/>
      <c r="R49" s="192">
        <f t="shared" si="5"/>
        <v>5</v>
      </c>
      <c r="T49" s="145">
        <f t="shared" si="6"/>
        <v>20600</v>
      </c>
      <c r="X49" s="145">
        <f t="shared" si="7"/>
        <v>22700</v>
      </c>
    </row>
    <row r="50" ht="18.75" customHeight="1">
      <c r="A50" s="180">
        <v>47.0</v>
      </c>
      <c r="B50" s="67" t="s">
        <v>333</v>
      </c>
      <c r="C50" s="210" t="s">
        <v>334</v>
      </c>
      <c r="D50" s="35"/>
      <c r="E50" s="183">
        <v>5.0</v>
      </c>
      <c r="F50" s="184">
        <v>26055.88</v>
      </c>
      <c r="G50" s="185">
        <v>21.0</v>
      </c>
      <c r="H50" s="35"/>
      <c r="I50" s="185">
        <v>50.0</v>
      </c>
      <c r="J50" s="35"/>
      <c r="K50" s="184">
        <v>65139.71</v>
      </c>
      <c r="L50" s="186">
        <f t="shared" si="8"/>
        <v>13027.942</v>
      </c>
      <c r="M50" s="187">
        <f t="shared" si="2"/>
        <v>15763.80982</v>
      </c>
      <c r="N50" s="188">
        <f t="shared" si="3"/>
        <v>28661.4724</v>
      </c>
      <c r="O50" s="189"/>
      <c r="P50" s="190">
        <f t="shared" si="4"/>
        <v>31527.61964</v>
      </c>
      <c r="Q50" s="195"/>
      <c r="R50" s="192">
        <f t="shared" si="5"/>
        <v>5</v>
      </c>
      <c r="T50" s="145">
        <f t="shared" si="6"/>
        <v>28700</v>
      </c>
      <c r="X50" s="145">
        <f t="shared" si="7"/>
        <v>31600</v>
      </c>
    </row>
    <row r="51" ht="18.75" customHeight="1">
      <c r="A51" s="180">
        <v>48.0</v>
      </c>
      <c r="B51" s="67" t="s">
        <v>335</v>
      </c>
      <c r="C51" s="210" t="s">
        <v>336</v>
      </c>
      <c r="D51" s="35"/>
      <c r="E51" s="183">
        <v>3.0</v>
      </c>
      <c r="F51" s="184">
        <v>30672.33</v>
      </c>
      <c r="G51" s="185">
        <v>21.0</v>
      </c>
      <c r="H51" s="35"/>
      <c r="I51" s="185">
        <v>50.0</v>
      </c>
      <c r="J51" s="35"/>
      <c r="K51" s="184">
        <v>46008.5</v>
      </c>
      <c r="L51" s="186">
        <f t="shared" si="8"/>
        <v>15336.16667</v>
      </c>
      <c r="M51" s="187">
        <f t="shared" si="2"/>
        <v>18556.76167</v>
      </c>
      <c r="N51" s="188">
        <f t="shared" si="3"/>
        <v>33739.56667</v>
      </c>
      <c r="O51" s="189"/>
      <c r="P51" s="190">
        <f t="shared" si="4"/>
        <v>37113.52333</v>
      </c>
      <c r="Q51" s="195"/>
      <c r="R51" s="192">
        <f t="shared" si="5"/>
        <v>3</v>
      </c>
      <c r="T51" s="145">
        <f t="shared" si="6"/>
        <v>33800</v>
      </c>
      <c r="X51" s="145">
        <f t="shared" si="7"/>
        <v>37200</v>
      </c>
    </row>
    <row r="52" ht="18.0" customHeight="1">
      <c r="A52" s="180">
        <v>49.0</v>
      </c>
      <c r="B52" s="67" t="s">
        <v>337</v>
      </c>
      <c r="C52" s="210" t="s">
        <v>338</v>
      </c>
      <c r="D52" s="35"/>
      <c r="E52" s="183">
        <v>6.0</v>
      </c>
      <c r="F52" s="184">
        <v>63881.63</v>
      </c>
      <c r="G52" s="185">
        <v>21.0</v>
      </c>
      <c r="H52" s="35"/>
      <c r="I52" s="185">
        <v>50.0</v>
      </c>
      <c r="J52" s="35"/>
      <c r="K52" s="184">
        <v>191644.88</v>
      </c>
      <c r="L52" s="186">
        <f t="shared" si="8"/>
        <v>31940.81333</v>
      </c>
      <c r="M52" s="187">
        <f t="shared" si="2"/>
        <v>38648.38413</v>
      </c>
      <c r="N52" s="188">
        <f t="shared" si="3"/>
        <v>70269.78933</v>
      </c>
      <c r="O52" s="189"/>
      <c r="P52" s="190">
        <f t="shared" si="4"/>
        <v>77296.76827</v>
      </c>
      <c r="Q52" s="195"/>
      <c r="R52" s="192">
        <f t="shared" si="5"/>
        <v>6</v>
      </c>
      <c r="T52" s="145">
        <f t="shared" si="6"/>
        <v>70300</v>
      </c>
      <c r="X52" s="145">
        <f t="shared" si="7"/>
        <v>77300</v>
      </c>
    </row>
    <row r="53" ht="18.0" customHeight="1">
      <c r="A53" s="180">
        <v>50.0</v>
      </c>
      <c r="B53" s="67" t="s">
        <v>339</v>
      </c>
      <c r="C53" s="210" t="s">
        <v>340</v>
      </c>
      <c r="D53" s="35"/>
      <c r="E53" s="183">
        <v>3.0</v>
      </c>
      <c r="F53" s="184">
        <v>24059.58</v>
      </c>
      <c r="G53" s="185">
        <v>21.0</v>
      </c>
      <c r="H53" s="35"/>
      <c r="I53" s="185">
        <v>50.0</v>
      </c>
      <c r="J53" s="35"/>
      <c r="K53" s="184">
        <v>36089.38</v>
      </c>
      <c r="L53" s="186">
        <f t="shared" si="8"/>
        <v>12029.79333</v>
      </c>
      <c r="M53" s="187">
        <f t="shared" si="2"/>
        <v>14556.04993</v>
      </c>
      <c r="N53" s="188">
        <f t="shared" si="3"/>
        <v>26465.54533</v>
      </c>
      <c r="O53" s="189"/>
      <c r="P53" s="190">
        <f t="shared" si="4"/>
        <v>29112.09987</v>
      </c>
      <c r="Q53" s="195"/>
      <c r="R53" s="192">
        <f t="shared" si="5"/>
        <v>3</v>
      </c>
      <c r="T53" s="145">
        <f t="shared" si="6"/>
        <v>26500</v>
      </c>
      <c r="X53" s="145">
        <f t="shared" si="7"/>
        <v>29200</v>
      </c>
    </row>
    <row r="54" ht="20.25" customHeight="1">
      <c r="A54" s="180">
        <v>51.0</v>
      </c>
      <c r="B54" s="67" t="s">
        <v>341</v>
      </c>
      <c r="C54" s="210" t="s">
        <v>342</v>
      </c>
      <c r="D54" s="35"/>
      <c r="E54" s="183">
        <v>6.0</v>
      </c>
      <c r="F54" s="184">
        <v>9607.2</v>
      </c>
      <c r="G54" s="185">
        <v>21.0</v>
      </c>
      <c r="H54" s="35"/>
      <c r="I54" s="185">
        <v>50.0</v>
      </c>
      <c r="J54" s="35"/>
      <c r="K54" s="184">
        <v>28821.59</v>
      </c>
      <c r="L54" s="186">
        <f t="shared" si="8"/>
        <v>4803.598333</v>
      </c>
      <c r="M54" s="187">
        <f t="shared" si="2"/>
        <v>5812.353983</v>
      </c>
      <c r="N54" s="188">
        <f t="shared" si="3"/>
        <v>10567.91633</v>
      </c>
      <c r="O54" s="189"/>
      <c r="P54" s="190">
        <f t="shared" si="4"/>
        <v>11624.70797</v>
      </c>
      <c r="Q54" s="195"/>
      <c r="R54" s="192">
        <f t="shared" si="5"/>
        <v>6</v>
      </c>
      <c r="T54" s="145">
        <f t="shared" si="6"/>
        <v>10600</v>
      </c>
      <c r="X54" s="145">
        <f t="shared" si="7"/>
        <v>11700</v>
      </c>
    </row>
    <row r="55" ht="19.5" customHeight="1">
      <c r="A55" s="180">
        <v>52.0</v>
      </c>
      <c r="B55" s="67" t="s">
        <v>343</v>
      </c>
      <c r="C55" s="210" t="s">
        <v>344</v>
      </c>
      <c r="D55" s="35"/>
      <c r="E55" s="183">
        <v>6.0</v>
      </c>
      <c r="F55" s="184">
        <v>13786.95</v>
      </c>
      <c r="G55" s="185">
        <v>21.0</v>
      </c>
      <c r="H55" s="35"/>
      <c r="I55" s="185">
        <v>50.0</v>
      </c>
      <c r="J55" s="35"/>
      <c r="K55" s="184">
        <v>41360.86</v>
      </c>
      <c r="L55" s="186">
        <f t="shared" si="8"/>
        <v>6893.476667</v>
      </c>
      <c r="M55" s="187">
        <f t="shared" si="2"/>
        <v>8341.106767</v>
      </c>
      <c r="N55" s="188">
        <f t="shared" si="3"/>
        <v>15165.64867</v>
      </c>
      <c r="O55" s="189"/>
      <c r="P55" s="190">
        <f t="shared" si="4"/>
        <v>16682.21353</v>
      </c>
      <c r="Q55" s="195"/>
      <c r="R55" s="192">
        <f t="shared" si="5"/>
        <v>6</v>
      </c>
      <c r="T55" s="145">
        <f t="shared" si="6"/>
        <v>15200</v>
      </c>
      <c r="X55" s="145">
        <f t="shared" si="7"/>
        <v>16700</v>
      </c>
    </row>
    <row r="56" ht="18.75" customHeight="1">
      <c r="A56" s="180">
        <v>53.0</v>
      </c>
      <c r="B56" s="67" t="s">
        <v>345</v>
      </c>
      <c r="C56" s="210" t="s">
        <v>346</v>
      </c>
      <c r="D56" s="35"/>
      <c r="E56" s="183">
        <v>6.0</v>
      </c>
      <c r="F56" s="184">
        <v>15304.97</v>
      </c>
      <c r="G56" s="185">
        <v>21.0</v>
      </c>
      <c r="H56" s="35"/>
      <c r="I56" s="185">
        <v>50.0</v>
      </c>
      <c r="J56" s="35"/>
      <c r="K56" s="184">
        <v>45914.92</v>
      </c>
      <c r="L56" s="186">
        <f t="shared" si="8"/>
        <v>7652.486667</v>
      </c>
      <c r="M56" s="187">
        <f t="shared" si="2"/>
        <v>9259.508867</v>
      </c>
      <c r="N56" s="188">
        <f t="shared" si="3"/>
        <v>16835.47067</v>
      </c>
      <c r="O56" s="189"/>
      <c r="P56" s="190">
        <f t="shared" si="4"/>
        <v>18519.01773</v>
      </c>
      <c r="Q56" s="195"/>
      <c r="R56" s="192">
        <f t="shared" si="5"/>
        <v>6</v>
      </c>
      <c r="T56" s="145">
        <f t="shared" si="6"/>
        <v>16900</v>
      </c>
      <c r="X56" s="145">
        <f t="shared" si="7"/>
        <v>18600</v>
      </c>
    </row>
    <row r="57" ht="21.75" customHeight="1">
      <c r="A57" s="180">
        <v>54.0</v>
      </c>
      <c r="B57" s="67" t="s">
        <v>347</v>
      </c>
      <c r="C57" s="210" t="s">
        <v>348</v>
      </c>
      <c r="D57" s="35"/>
      <c r="E57" s="183">
        <v>6.0</v>
      </c>
      <c r="F57" s="184">
        <v>9607.2</v>
      </c>
      <c r="G57" s="185">
        <v>21.0</v>
      </c>
      <c r="H57" s="35"/>
      <c r="I57" s="185">
        <v>50.0</v>
      </c>
      <c r="J57" s="35"/>
      <c r="K57" s="184">
        <v>28821.59</v>
      </c>
      <c r="L57" s="186">
        <f t="shared" si="8"/>
        <v>4803.598333</v>
      </c>
      <c r="M57" s="187">
        <f t="shared" si="2"/>
        <v>5812.353983</v>
      </c>
      <c r="N57" s="188">
        <f t="shared" si="3"/>
        <v>10567.91633</v>
      </c>
      <c r="O57" s="189"/>
      <c r="P57" s="190">
        <f t="shared" si="4"/>
        <v>11624.70797</v>
      </c>
      <c r="Q57" s="195"/>
      <c r="R57" s="192">
        <f t="shared" si="5"/>
        <v>6</v>
      </c>
      <c r="T57" s="145">
        <f t="shared" si="6"/>
        <v>10600</v>
      </c>
      <c r="X57" s="145">
        <f t="shared" si="7"/>
        <v>11700</v>
      </c>
    </row>
    <row r="58" ht="21.0" customHeight="1">
      <c r="A58" s="180">
        <v>55.0</v>
      </c>
      <c r="B58" s="67" t="s">
        <v>349</v>
      </c>
      <c r="C58" s="210" t="s">
        <v>350</v>
      </c>
      <c r="D58" s="35"/>
      <c r="E58" s="183">
        <v>6.0</v>
      </c>
      <c r="F58" s="184">
        <v>12788.8</v>
      </c>
      <c r="G58" s="185">
        <v>21.0</v>
      </c>
      <c r="H58" s="35"/>
      <c r="I58" s="185">
        <v>50.0</v>
      </c>
      <c r="J58" s="35"/>
      <c r="K58" s="184">
        <v>38366.41</v>
      </c>
      <c r="L58" s="186">
        <f t="shared" si="8"/>
        <v>6394.401667</v>
      </c>
      <c r="M58" s="187">
        <f t="shared" si="2"/>
        <v>7737.226017</v>
      </c>
      <c r="N58" s="188">
        <f t="shared" si="3"/>
        <v>14067.68367</v>
      </c>
      <c r="O58" s="189"/>
      <c r="P58" s="190">
        <f t="shared" si="4"/>
        <v>15474.45203</v>
      </c>
      <c r="Q58" s="195"/>
      <c r="R58" s="192">
        <f t="shared" si="5"/>
        <v>6</v>
      </c>
      <c r="T58" s="145">
        <f t="shared" si="6"/>
        <v>14100</v>
      </c>
      <c r="X58" s="145">
        <f t="shared" si="7"/>
        <v>15500</v>
      </c>
    </row>
    <row r="59" ht="21.0" customHeight="1">
      <c r="A59" s="180">
        <v>56.0</v>
      </c>
      <c r="B59" s="67" t="s">
        <v>351</v>
      </c>
      <c r="C59" s="210" t="s">
        <v>352</v>
      </c>
      <c r="D59" s="35"/>
      <c r="E59" s="183">
        <v>6.0</v>
      </c>
      <c r="F59" s="184">
        <v>14098.87</v>
      </c>
      <c r="G59" s="185">
        <v>21.0</v>
      </c>
      <c r="H59" s="35"/>
      <c r="I59" s="185">
        <v>50.0</v>
      </c>
      <c r="J59" s="35"/>
      <c r="K59" s="184">
        <v>42296.62</v>
      </c>
      <c r="L59" s="186">
        <f t="shared" si="8"/>
        <v>7049.436667</v>
      </c>
      <c r="M59" s="187">
        <f t="shared" si="2"/>
        <v>8529.818367</v>
      </c>
      <c r="N59" s="188">
        <f t="shared" si="3"/>
        <v>15508.76067</v>
      </c>
      <c r="O59" s="189"/>
      <c r="P59" s="190">
        <f t="shared" si="4"/>
        <v>17059.63673</v>
      </c>
      <c r="Q59" s="191">
        <v>1.0</v>
      </c>
      <c r="R59" s="192">
        <f t="shared" si="5"/>
        <v>5</v>
      </c>
      <c r="T59" s="145">
        <f t="shared" si="6"/>
        <v>15600</v>
      </c>
      <c r="X59" s="145">
        <f t="shared" si="7"/>
        <v>17100</v>
      </c>
    </row>
    <row r="60" ht="21.0" customHeight="1">
      <c r="A60" s="180">
        <v>57.0</v>
      </c>
      <c r="B60" s="67" t="s">
        <v>353</v>
      </c>
      <c r="C60" s="210" t="s">
        <v>354</v>
      </c>
      <c r="D60" s="35"/>
      <c r="E60" s="183">
        <v>6.0</v>
      </c>
      <c r="F60" s="184">
        <v>17550.81</v>
      </c>
      <c r="G60" s="185">
        <v>21.0</v>
      </c>
      <c r="H60" s="35"/>
      <c r="I60" s="185">
        <v>50.0</v>
      </c>
      <c r="J60" s="35"/>
      <c r="K60" s="184">
        <v>52652.43</v>
      </c>
      <c r="L60" s="186">
        <f t="shared" si="8"/>
        <v>8775.405</v>
      </c>
      <c r="M60" s="187">
        <f t="shared" si="2"/>
        <v>10618.24005</v>
      </c>
      <c r="N60" s="188">
        <f t="shared" si="3"/>
        <v>19305.891</v>
      </c>
      <c r="O60" s="189"/>
      <c r="P60" s="190">
        <f t="shared" si="4"/>
        <v>21236.4801</v>
      </c>
      <c r="Q60" s="195"/>
      <c r="R60" s="192">
        <f t="shared" si="5"/>
        <v>6</v>
      </c>
      <c r="T60" s="145">
        <f t="shared" si="6"/>
        <v>19400</v>
      </c>
      <c r="X60" s="145">
        <f t="shared" si="7"/>
        <v>21300</v>
      </c>
    </row>
    <row r="61" ht="19.5" customHeight="1">
      <c r="A61" s="180">
        <v>58.0</v>
      </c>
      <c r="B61" s="67" t="s">
        <v>355</v>
      </c>
      <c r="C61" s="210" t="s">
        <v>356</v>
      </c>
      <c r="D61" s="35"/>
      <c r="E61" s="183">
        <v>5.0</v>
      </c>
      <c r="F61" s="184">
        <v>6654.34</v>
      </c>
      <c r="G61" s="185">
        <v>21.0</v>
      </c>
      <c r="H61" s="35"/>
      <c r="I61" s="185">
        <v>50.0</v>
      </c>
      <c r="J61" s="35"/>
      <c r="K61" s="184">
        <v>16635.84</v>
      </c>
      <c r="L61" s="186">
        <f t="shared" si="8"/>
        <v>3327.168</v>
      </c>
      <c r="M61" s="187">
        <f t="shared" si="2"/>
        <v>4025.87328</v>
      </c>
      <c r="N61" s="188">
        <f t="shared" si="3"/>
        <v>7319.7696</v>
      </c>
      <c r="O61" s="189"/>
      <c r="P61" s="190">
        <f t="shared" si="4"/>
        <v>8051.74656</v>
      </c>
      <c r="Q61" s="195"/>
      <c r="R61" s="192">
        <f t="shared" si="5"/>
        <v>5</v>
      </c>
      <c r="T61" s="145">
        <f t="shared" si="6"/>
        <v>7400</v>
      </c>
      <c r="X61" s="145">
        <f t="shared" si="7"/>
        <v>8100</v>
      </c>
    </row>
    <row r="62" ht="18.75" customHeight="1">
      <c r="A62" s="180">
        <v>59.0</v>
      </c>
      <c r="B62" s="67" t="s">
        <v>357</v>
      </c>
      <c r="C62" s="210" t="s">
        <v>358</v>
      </c>
      <c r="D62" s="35"/>
      <c r="E62" s="183">
        <v>5.0</v>
      </c>
      <c r="F62" s="184">
        <v>7839.64</v>
      </c>
      <c r="G62" s="185">
        <v>21.0</v>
      </c>
      <c r="H62" s="35"/>
      <c r="I62" s="185">
        <v>50.0</v>
      </c>
      <c r="J62" s="35"/>
      <c r="K62" s="184">
        <v>19599.1</v>
      </c>
      <c r="L62" s="186">
        <f t="shared" si="8"/>
        <v>3919.82</v>
      </c>
      <c r="M62" s="187">
        <f t="shared" si="2"/>
        <v>4742.9822</v>
      </c>
      <c r="N62" s="188">
        <f t="shared" si="3"/>
        <v>8623.604</v>
      </c>
      <c r="O62" s="189"/>
      <c r="P62" s="190">
        <f t="shared" si="4"/>
        <v>9485.9644</v>
      </c>
      <c r="Q62" s="195"/>
      <c r="R62" s="192">
        <f t="shared" si="5"/>
        <v>5</v>
      </c>
      <c r="T62" s="145">
        <f t="shared" si="6"/>
        <v>8700</v>
      </c>
      <c r="X62" s="145">
        <f t="shared" si="7"/>
        <v>9500</v>
      </c>
    </row>
    <row r="63" ht="19.5" customHeight="1">
      <c r="A63" s="180">
        <v>60.0</v>
      </c>
      <c r="B63" s="67" t="s">
        <v>359</v>
      </c>
      <c r="C63" s="210" t="s">
        <v>360</v>
      </c>
      <c r="D63" s="35"/>
      <c r="E63" s="183">
        <v>5.0</v>
      </c>
      <c r="F63" s="184">
        <v>6654.34</v>
      </c>
      <c r="G63" s="185">
        <v>21.0</v>
      </c>
      <c r="H63" s="35"/>
      <c r="I63" s="185">
        <v>50.0</v>
      </c>
      <c r="J63" s="35"/>
      <c r="K63" s="184">
        <v>16635.84</v>
      </c>
      <c r="L63" s="186">
        <f t="shared" si="8"/>
        <v>3327.168</v>
      </c>
      <c r="M63" s="187">
        <f t="shared" si="2"/>
        <v>4025.87328</v>
      </c>
      <c r="N63" s="188">
        <f t="shared" si="3"/>
        <v>7319.7696</v>
      </c>
      <c r="O63" s="189"/>
      <c r="P63" s="190">
        <f t="shared" si="4"/>
        <v>8051.74656</v>
      </c>
      <c r="Q63" s="195"/>
      <c r="R63" s="192">
        <f t="shared" si="5"/>
        <v>5</v>
      </c>
      <c r="T63" s="145">
        <f t="shared" si="6"/>
        <v>7400</v>
      </c>
      <c r="X63" s="145">
        <f t="shared" si="7"/>
        <v>8100</v>
      </c>
    </row>
    <row r="64" ht="18.75" customHeight="1">
      <c r="A64" s="180">
        <v>61.0</v>
      </c>
      <c r="B64" s="67" t="s">
        <v>361</v>
      </c>
      <c r="C64" s="210" t="s">
        <v>362</v>
      </c>
      <c r="D64" s="35"/>
      <c r="E64" s="183">
        <v>5.0</v>
      </c>
      <c r="F64" s="184">
        <v>7839.64</v>
      </c>
      <c r="G64" s="185">
        <v>21.0</v>
      </c>
      <c r="H64" s="35"/>
      <c r="I64" s="185">
        <v>50.0</v>
      </c>
      <c r="J64" s="35"/>
      <c r="K64" s="184">
        <v>19599.1</v>
      </c>
      <c r="L64" s="186">
        <f t="shared" si="8"/>
        <v>3919.82</v>
      </c>
      <c r="M64" s="187">
        <f t="shared" si="2"/>
        <v>4742.9822</v>
      </c>
      <c r="N64" s="188">
        <f t="shared" si="3"/>
        <v>8623.604</v>
      </c>
      <c r="O64" s="189"/>
      <c r="P64" s="190">
        <f t="shared" si="4"/>
        <v>9485.9644</v>
      </c>
      <c r="Q64" s="195"/>
      <c r="R64" s="192">
        <f t="shared" si="5"/>
        <v>5</v>
      </c>
      <c r="T64" s="145">
        <f t="shared" si="6"/>
        <v>8700</v>
      </c>
      <c r="X64" s="145">
        <f t="shared" si="7"/>
        <v>9500</v>
      </c>
    </row>
    <row r="65" ht="19.5" customHeight="1">
      <c r="A65" s="180">
        <v>62.0</v>
      </c>
      <c r="B65" s="67" t="s">
        <v>363</v>
      </c>
      <c r="C65" s="210" t="s">
        <v>364</v>
      </c>
      <c r="D65" s="35"/>
      <c r="E65" s="183">
        <v>5.0</v>
      </c>
      <c r="F65" s="184">
        <v>8817.0</v>
      </c>
      <c r="G65" s="185">
        <v>21.0</v>
      </c>
      <c r="H65" s="35"/>
      <c r="I65" s="185">
        <v>50.0</v>
      </c>
      <c r="J65" s="35"/>
      <c r="K65" s="184">
        <v>22042.49</v>
      </c>
      <c r="L65" s="186">
        <f t="shared" si="8"/>
        <v>4408.498</v>
      </c>
      <c r="M65" s="187">
        <f t="shared" si="2"/>
        <v>5334.28258</v>
      </c>
      <c r="N65" s="188">
        <f t="shared" si="3"/>
        <v>9698.6956</v>
      </c>
      <c r="O65" s="189"/>
      <c r="P65" s="190">
        <f t="shared" si="4"/>
        <v>10668.56516</v>
      </c>
      <c r="Q65" s="195"/>
      <c r="R65" s="192">
        <f t="shared" si="5"/>
        <v>5</v>
      </c>
      <c r="T65" s="145">
        <f t="shared" si="6"/>
        <v>9700</v>
      </c>
      <c r="X65" s="145">
        <f t="shared" si="7"/>
        <v>10700</v>
      </c>
    </row>
    <row r="66" ht="19.5" customHeight="1">
      <c r="A66" s="180">
        <v>63.0</v>
      </c>
      <c r="B66" s="67" t="s">
        <v>365</v>
      </c>
      <c r="C66" s="210" t="s">
        <v>366</v>
      </c>
      <c r="D66" s="35"/>
      <c r="E66" s="183">
        <v>5.0</v>
      </c>
      <c r="F66" s="184">
        <v>6862.28</v>
      </c>
      <c r="G66" s="185">
        <v>21.0</v>
      </c>
      <c r="H66" s="35"/>
      <c r="I66" s="185">
        <v>50.0</v>
      </c>
      <c r="J66" s="35"/>
      <c r="K66" s="184">
        <v>17155.71</v>
      </c>
      <c r="L66" s="186">
        <f t="shared" si="8"/>
        <v>3431.142</v>
      </c>
      <c r="M66" s="187">
        <f t="shared" si="2"/>
        <v>4151.68182</v>
      </c>
      <c r="N66" s="188">
        <f t="shared" si="3"/>
        <v>7548.5124</v>
      </c>
      <c r="O66" s="189"/>
      <c r="P66" s="190">
        <f t="shared" si="4"/>
        <v>8303.36364</v>
      </c>
      <c r="Q66" s="195"/>
      <c r="R66" s="192">
        <f t="shared" si="5"/>
        <v>5</v>
      </c>
      <c r="T66" s="145">
        <f t="shared" si="6"/>
        <v>7600</v>
      </c>
      <c r="X66" s="145">
        <f t="shared" si="7"/>
        <v>8400</v>
      </c>
    </row>
    <row r="67" ht="18.0" customHeight="1">
      <c r="A67" s="180">
        <v>64.0</v>
      </c>
      <c r="B67" s="204" t="s">
        <v>367</v>
      </c>
      <c r="C67" s="209" t="s">
        <v>368</v>
      </c>
      <c r="D67" s="35"/>
      <c r="E67" s="183">
        <v>1.0</v>
      </c>
      <c r="F67" s="184">
        <v>49949.73</v>
      </c>
      <c r="G67" s="185">
        <v>21.0</v>
      </c>
      <c r="H67" s="35"/>
      <c r="I67" s="185">
        <v>50.0</v>
      </c>
      <c r="J67" s="35"/>
      <c r="K67" s="184">
        <v>24974.87</v>
      </c>
      <c r="L67" s="186">
        <f t="shared" si="8"/>
        <v>24974.87</v>
      </c>
      <c r="M67" s="187">
        <f t="shared" si="2"/>
        <v>30219.5927</v>
      </c>
      <c r="N67" s="188">
        <f t="shared" si="3"/>
        <v>54944.714</v>
      </c>
      <c r="O67" s="189"/>
      <c r="P67" s="190">
        <f t="shared" si="4"/>
        <v>60439.1854</v>
      </c>
      <c r="Q67" s="195"/>
      <c r="R67" s="192">
        <f t="shared" si="5"/>
        <v>1</v>
      </c>
      <c r="T67" s="145">
        <f t="shared" si="6"/>
        <v>55000</v>
      </c>
      <c r="X67" s="145">
        <f t="shared" si="7"/>
        <v>60500</v>
      </c>
    </row>
    <row r="68" ht="19.5" customHeight="1">
      <c r="A68" s="180">
        <v>65.0</v>
      </c>
      <c r="B68" s="204" t="s">
        <v>369</v>
      </c>
      <c r="C68" s="193" t="s">
        <v>370</v>
      </c>
      <c r="D68" s="35"/>
      <c r="E68" s="211">
        <v>100.0</v>
      </c>
      <c r="F68" s="184">
        <v>234079.62</v>
      </c>
      <c r="G68" s="185">
        <v>21.0</v>
      </c>
      <c r="H68" s="35"/>
      <c r="I68" s="185">
        <v>50.0</v>
      </c>
      <c r="J68" s="35"/>
      <c r="K68" s="184">
        <v>117039.81</v>
      </c>
      <c r="L68" s="186">
        <f t="shared" si="8"/>
        <v>1170.3981</v>
      </c>
      <c r="M68" s="187">
        <f t="shared" si="2"/>
        <v>1416.181701</v>
      </c>
      <c r="N68" s="188">
        <f t="shared" si="3"/>
        <v>2574.87582</v>
      </c>
      <c r="O68" s="189"/>
      <c r="P68" s="190">
        <f t="shared" si="4"/>
        <v>2832.363402</v>
      </c>
      <c r="Q68" s="195"/>
      <c r="R68" s="192">
        <f t="shared" si="5"/>
        <v>100</v>
      </c>
      <c r="T68" s="145">
        <f t="shared" si="6"/>
        <v>2600</v>
      </c>
      <c r="X68" s="145">
        <f t="shared" si="7"/>
        <v>2900</v>
      </c>
    </row>
    <row r="69" ht="18.0" customHeight="1">
      <c r="A69" s="180">
        <v>66.0</v>
      </c>
      <c r="B69" s="67" t="s">
        <v>371</v>
      </c>
      <c r="C69" s="210" t="s">
        <v>372</v>
      </c>
      <c r="D69" s="35"/>
      <c r="E69" s="183">
        <v>5.0</v>
      </c>
      <c r="F69" s="184">
        <v>18382.6</v>
      </c>
      <c r="G69" s="185">
        <v>21.0</v>
      </c>
      <c r="H69" s="35"/>
      <c r="I69" s="185">
        <v>50.0</v>
      </c>
      <c r="J69" s="35"/>
      <c r="K69" s="184">
        <v>45956.51</v>
      </c>
      <c r="L69" s="186">
        <f t="shared" si="8"/>
        <v>9191.302</v>
      </c>
      <c r="M69" s="187">
        <f t="shared" si="2"/>
        <v>11121.47542</v>
      </c>
      <c r="N69" s="188">
        <f t="shared" si="3"/>
        <v>20220.8644</v>
      </c>
      <c r="O69" s="189"/>
      <c r="P69" s="190">
        <f t="shared" si="4"/>
        <v>22242.95084</v>
      </c>
      <c r="Q69" s="195"/>
      <c r="R69" s="192">
        <f t="shared" si="5"/>
        <v>5</v>
      </c>
      <c r="T69" s="145">
        <f t="shared" si="6"/>
        <v>20300</v>
      </c>
      <c r="X69" s="145">
        <f t="shared" si="7"/>
        <v>22300</v>
      </c>
    </row>
    <row r="70" ht="17.25" customHeight="1">
      <c r="A70" s="180">
        <v>67.0</v>
      </c>
      <c r="B70" s="67" t="s">
        <v>373</v>
      </c>
      <c r="C70" s="210" t="s">
        <v>374</v>
      </c>
      <c r="D70" s="35"/>
      <c r="E70" s="183">
        <v>4.0</v>
      </c>
      <c r="F70" s="184">
        <v>21101.4</v>
      </c>
      <c r="G70" s="185">
        <v>21.0</v>
      </c>
      <c r="H70" s="35"/>
      <c r="I70" s="185">
        <v>50.0</v>
      </c>
      <c r="J70" s="35"/>
      <c r="K70" s="184">
        <v>42202.8</v>
      </c>
      <c r="L70" s="186">
        <f t="shared" si="8"/>
        <v>10550.7</v>
      </c>
      <c r="M70" s="187">
        <f t="shared" si="2"/>
        <v>12766.347</v>
      </c>
      <c r="N70" s="188">
        <f t="shared" si="3"/>
        <v>23211.54</v>
      </c>
      <c r="O70" s="189"/>
      <c r="P70" s="190">
        <f t="shared" si="4"/>
        <v>25532.694</v>
      </c>
      <c r="Q70" s="195"/>
      <c r="R70" s="192">
        <f t="shared" si="5"/>
        <v>4</v>
      </c>
      <c r="T70" s="145">
        <f t="shared" si="6"/>
        <v>23300</v>
      </c>
      <c r="X70" s="145">
        <f t="shared" si="7"/>
        <v>25600</v>
      </c>
    </row>
    <row r="71" ht="12.75" customHeight="1">
      <c r="A71" s="199"/>
      <c r="B71" s="212"/>
      <c r="E71" s="212"/>
      <c r="L71" s="213"/>
      <c r="M71" s="174"/>
      <c r="N71" s="213"/>
    </row>
    <row r="72" ht="12.75" customHeight="1">
      <c r="A72" s="199"/>
      <c r="B72" s="212"/>
      <c r="E72" s="212"/>
      <c r="L72" s="213"/>
      <c r="M72" s="174"/>
      <c r="N72" s="213"/>
    </row>
    <row r="73" ht="12.75" customHeight="1">
      <c r="A73" s="199"/>
      <c r="B73" s="212"/>
      <c r="E73" s="212"/>
      <c r="L73" s="213"/>
      <c r="M73" s="174"/>
      <c r="N73" s="213"/>
    </row>
    <row r="74" ht="12.75" customHeight="1">
      <c r="A74" s="199"/>
      <c r="B74" s="212"/>
      <c r="E74" s="212"/>
      <c r="L74" s="213"/>
      <c r="M74" s="174"/>
      <c r="N74" s="213"/>
    </row>
    <row r="75" ht="12.75" customHeight="1">
      <c r="A75" s="199"/>
      <c r="B75" s="212"/>
      <c r="E75" s="212"/>
      <c r="L75" s="213"/>
      <c r="M75" s="174"/>
      <c r="N75" s="213"/>
    </row>
    <row r="76" ht="12.75" customHeight="1">
      <c r="A76" s="199"/>
      <c r="B76" s="212"/>
      <c r="E76" s="212"/>
      <c r="L76" s="213"/>
      <c r="M76" s="174"/>
      <c r="N76" s="213"/>
    </row>
    <row r="77" ht="12.75" customHeight="1">
      <c r="A77" s="199"/>
      <c r="B77" s="212"/>
      <c r="E77" s="212"/>
      <c r="L77" s="213"/>
      <c r="M77" s="174"/>
      <c r="N77" s="213"/>
    </row>
    <row r="78" ht="12.75" customHeight="1">
      <c r="A78" s="199"/>
      <c r="B78" s="212"/>
      <c r="E78" s="212"/>
      <c r="L78" s="213"/>
      <c r="M78" s="174"/>
      <c r="N78" s="213"/>
    </row>
    <row r="79" ht="12.75" customHeight="1">
      <c r="A79" s="199"/>
      <c r="B79" s="212"/>
      <c r="E79" s="212"/>
      <c r="L79" s="213"/>
      <c r="M79" s="174"/>
      <c r="N79" s="213"/>
    </row>
    <row r="80" ht="12.75" customHeight="1">
      <c r="A80" s="199"/>
      <c r="B80" s="212"/>
      <c r="E80" s="212"/>
      <c r="L80" s="213"/>
      <c r="M80" s="174"/>
      <c r="N80" s="213"/>
    </row>
    <row r="81" ht="12.75" customHeight="1">
      <c r="A81" s="199"/>
      <c r="B81" s="212"/>
      <c r="E81" s="212"/>
      <c r="L81" s="213"/>
      <c r="M81" s="174"/>
      <c r="N81" s="213"/>
    </row>
    <row r="82" ht="12.75" customHeight="1">
      <c r="A82" s="199"/>
      <c r="B82" s="212"/>
      <c r="E82" s="212"/>
      <c r="L82" s="213"/>
      <c r="M82" s="174"/>
      <c r="N82" s="213"/>
    </row>
    <row r="83" ht="12.75" customHeight="1">
      <c r="A83" s="199"/>
      <c r="B83" s="212"/>
      <c r="E83" s="212"/>
      <c r="L83" s="213"/>
      <c r="M83" s="174"/>
      <c r="N83" s="213"/>
    </row>
    <row r="84" ht="12.75" customHeight="1">
      <c r="A84" s="199"/>
      <c r="B84" s="212"/>
      <c r="E84" s="212"/>
      <c r="L84" s="213"/>
      <c r="M84" s="174"/>
      <c r="N84" s="213"/>
    </row>
    <row r="85" ht="12.75" customHeight="1">
      <c r="A85" s="199"/>
      <c r="B85" s="212"/>
      <c r="E85" s="212"/>
      <c r="L85" s="213"/>
      <c r="M85" s="174"/>
      <c r="N85" s="213"/>
    </row>
    <row r="86" ht="12.75" customHeight="1">
      <c r="A86" s="199"/>
      <c r="B86" s="212"/>
      <c r="E86" s="212"/>
      <c r="L86" s="213"/>
      <c r="M86" s="174"/>
      <c r="N86" s="213"/>
    </row>
    <row r="87" ht="12.75" customHeight="1">
      <c r="A87" s="199"/>
      <c r="B87" s="212"/>
      <c r="E87" s="212"/>
      <c r="L87" s="213"/>
      <c r="M87" s="174"/>
      <c r="N87" s="213"/>
    </row>
    <row r="88" ht="12.75" customHeight="1">
      <c r="A88" s="199"/>
      <c r="B88" s="212"/>
      <c r="E88" s="212"/>
      <c r="L88" s="213"/>
      <c r="M88" s="174"/>
      <c r="N88" s="213"/>
    </row>
    <row r="89" ht="12.75" customHeight="1">
      <c r="A89" s="199"/>
      <c r="B89" s="212"/>
      <c r="E89" s="212"/>
      <c r="L89" s="213"/>
      <c r="M89" s="174"/>
      <c r="N89" s="213"/>
    </row>
    <row r="90" ht="12.75" customHeight="1">
      <c r="A90" s="199"/>
      <c r="B90" s="212"/>
      <c r="E90" s="212"/>
      <c r="L90" s="213"/>
      <c r="M90" s="174"/>
      <c r="N90" s="213"/>
    </row>
    <row r="91" ht="12.75" customHeight="1">
      <c r="A91" s="199"/>
      <c r="B91" s="212"/>
      <c r="E91" s="212"/>
      <c r="L91" s="213"/>
      <c r="M91" s="174"/>
      <c r="N91" s="213"/>
    </row>
    <row r="92" ht="12.75" customHeight="1">
      <c r="A92" s="199"/>
      <c r="B92" s="212"/>
      <c r="E92" s="212"/>
      <c r="L92" s="213"/>
      <c r="M92" s="174"/>
      <c r="N92" s="213"/>
    </row>
    <row r="93" ht="12.75" customHeight="1">
      <c r="A93" s="199"/>
      <c r="B93" s="212"/>
      <c r="E93" s="212"/>
      <c r="L93" s="213"/>
      <c r="M93" s="174"/>
      <c r="N93" s="213"/>
    </row>
    <row r="94" ht="12.75" customHeight="1">
      <c r="A94" s="199"/>
      <c r="B94" s="212"/>
      <c r="E94" s="212"/>
      <c r="L94" s="213"/>
      <c r="M94" s="174"/>
      <c r="N94" s="213"/>
    </row>
    <row r="95" ht="12.75" customHeight="1">
      <c r="A95" s="199"/>
      <c r="B95" s="212"/>
      <c r="E95" s="212"/>
      <c r="L95" s="213"/>
      <c r="M95" s="174"/>
      <c r="N95" s="213"/>
    </row>
    <row r="96" ht="12.75" customHeight="1">
      <c r="A96" s="199"/>
      <c r="B96" s="212"/>
      <c r="E96" s="212"/>
      <c r="L96" s="213"/>
      <c r="M96" s="174"/>
      <c r="N96" s="213"/>
    </row>
    <row r="97" ht="12.75" customHeight="1">
      <c r="A97" s="199"/>
      <c r="B97" s="212"/>
      <c r="E97" s="212"/>
      <c r="L97" s="213"/>
      <c r="M97" s="174"/>
      <c r="N97" s="213"/>
    </row>
    <row r="98" ht="12.75" customHeight="1">
      <c r="A98" s="199"/>
      <c r="B98" s="212"/>
      <c r="E98" s="212"/>
      <c r="L98" s="213"/>
      <c r="M98" s="174"/>
      <c r="N98" s="213"/>
    </row>
    <row r="99" ht="12.75" customHeight="1">
      <c r="A99" s="199"/>
      <c r="B99" s="212"/>
      <c r="E99" s="212"/>
      <c r="L99" s="213"/>
      <c r="M99" s="174"/>
      <c r="N99" s="213"/>
    </row>
    <row r="100" ht="12.75" customHeight="1">
      <c r="A100" s="199"/>
      <c r="B100" s="212"/>
      <c r="E100" s="212"/>
      <c r="L100" s="213"/>
      <c r="M100" s="174"/>
      <c r="N100" s="213"/>
    </row>
    <row r="101" ht="12.75" customHeight="1">
      <c r="A101" s="199"/>
      <c r="B101" s="212"/>
      <c r="E101" s="212"/>
      <c r="L101" s="213"/>
      <c r="M101" s="174"/>
      <c r="N101" s="213"/>
    </row>
    <row r="102" ht="12.75" customHeight="1">
      <c r="A102" s="199"/>
      <c r="B102" s="212"/>
      <c r="E102" s="212"/>
      <c r="L102" s="213"/>
      <c r="M102" s="174"/>
      <c r="N102" s="213"/>
    </row>
    <row r="103" ht="12.75" customHeight="1">
      <c r="A103" s="199"/>
      <c r="B103" s="212"/>
      <c r="E103" s="212"/>
      <c r="L103" s="213"/>
      <c r="M103" s="174"/>
      <c r="N103" s="213"/>
    </row>
    <row r="104" ht="12.75" customHeight="1">
      <c r="A104" s="199"/>
      <c r="B104" s="212"/>
      <c r="E104" s="212"/>
      <c r="L104" s="213"/>
      <c r="M104" s="174"/>
      <c r="N104" s="213"/>
    </row>
    <row r="105" ht="12.75" customHeight="1">
      <c r="A105" s="199"/>
      <c r="B105" s="212"/>
      <c r="E105" s="212"/>
      <c r="L105" s="213"/>
      <c r="M105" s="174"/>
      <c r="N105" s="213"/>
    </row>
    <row r="106" ht="12.75" customHeight="1">
      <c r="A106" s="199"/>
      <c r="B106" s="212"/>
      <c r="E106" s="212"/>
      <c r="L106" s="213"/>
      <c r="M106" s="174"/>
      <c r="N106" s="213"/>
    </row>
    <row r="107" ht="12.75" customHeight="1">
      <c r="A107" s="199"/>
      <c r="B107" s="212"/>
      <c r="E107" s="212"/>
      <c r="L107" s="213"/>
      <c r="M107" s="174"/>
      <c r="N107" s="213"/>
    </row>
    <row r="108" ht="12.75" customHeight="1">
      <c r="A108" s="199"/>
      <c r="B108" s="212"/>
      <c r="E108" s="212"/>
      <c r="L108" s="213"/>
      <c r="M108" s="174"/>
      <c r="N108" s="213"/>
    </row>
    <row r="109" ht="12.75" customHeight="1">
      <c r="A109" s="199"/>
      <c r="B109" s="212"/>
      <c r="E109" s="212"/>
      <c r="L109" s="213"/>
      <c r="M109" s="174"/>
      <c r="N109" s="213"/>
    </row>
    <row r="110" ht="12.75" customHeight="1">
      <c r="A110" s="199"/>
      <c r="B110" s="212"/>
      <c r="E110" s="212"/>
      <c r="L110" s="213"/>
      <c r="M110" s="174"/>
      <c r="N110" s="213"/>
    </row>
    <row r="111" ht="12.75" customHeight="1">
      <c r="A111" s="199"/>
      <c r="B111" s="212"/>
      <c r="E111" s="212"/>
      <c r="L111" s="213"/>
      <c r="M111" s="174"/>
      <c r="N111" s="213"/>
    </row>
    <row r="112" ht="12.75" customHeight="1">
      <c r="A112" s="199"/>
      <c r="B112" s="212"/>
      <c r="E112" s="212"/>
      <c r="L112" s="213"/>
      <c r="M112" s="174"/>
      <c r="N112" s="213"/>
    </row>
    <row r="113" ht="12.75" customHeight="1">
      <c r="A113" s="199"/>
      <c r="B113" s="212"/>
      <c r="E113" s="212"/>
      <c r="L113" s="213"/>
      <c r="M113" s="174"/>
      <c r="N113" s="213"/>
    </row>
    <row r="114" ht="12.75" customHeight="1">
      <c r="A114" s="199"/>
      <c r="B114" s="212"/>
      <c r="E114" s="212"/>
      <c r="L114" s="213"/>
      <c r="M114" s="174"/>
      <c r="N114" s="213"/>
    </row>
    <row r="115" ht="12.75" customHeight="1">
      <c r="A115" s="199"/>
      <c r="B115" s="212"/>
      <c r="E115" s="212"/>
      <c r="L115" s="213"/>
      <c r="M115" s="174"/>
      <c r="N115" s="213"/>
    </row>
    <row r="116" ht="12.75" customHeight="1">
      <c r="A116" s="199"/>
      <c r="B116" s="212"/>
      <c r="E116" s="212"/>
      <c r="L116" s="213"/>
      <c r="M116" s="174"/>
      <c r="N116" s="213"/>
    </row>
    <row r="117" ht="12.75" customHeight="1">
      <c r="A117" s="199"/>
      <c r="B117" s="212"/>
      <c r="E117" s="212"/>
      <c r="L117" s="213"/>
      <c r="M117" s="174"/>
      <c r="N117" s="213"/>
    </row>
    <row r="118" ht="12.75" customHeight="1">
      <c r="A118" s="199"/>
      <c r="B118" s="212"/>
      <c r="E118" s="212"/>
      <c r="L118" s="213"/>
      <c r="M118" s="174"/>
      <c r="N118" s="213"/>
    </row>
    <row r="119" ht="12.75" customHeight="1">
      <c r="A119" s="199"/>
      <c r="B119" s="212"/>
      <c r="E119" s="212"/>
      <c r="L119" s="213"/>
      <c r="M119" s="174"/>
      <c r="N119" s="213"/>
    </row>
    <row r="120" ht="12.75" customHeight="1">
      <c r="A120" s="199"/>
      <c r="B120" s="212"/>
      <c r="E120" s="212"/>
      <c r="L120" s="213"/>
      <c r="M120" s="174"/>
      <c r="N120" s="213"/>
    </row>
    <row r="121" ht="12.75" customHeight="1">
      <c r="A121" s="199"/>
      <c r="B121" s="212"/>
      <c r="E121" s="212"/>
      <c r="L121" s="213"/>
      <c r="M121" s="174"/>
      <c r="N121" s="213"/>
    </row>
    <row r="122" ht="12.75" customHeight="1">
      <c r="A122" s="199"/>
      <c r="B122" s="212"/>
      <c r="E122" s="212"/>
      <c r="L122" s="213"/>
      <c r="M122" s="174"/>
      <c r="N122" s="213"/>
    </row>
    <row r="123" ht="12.75" customHeight="1">
      <c r="A123" s="199"/>
      <c r="B123" s="212"/>
      <c r="E123" s="212"/>
      <c r="L123" s="213"/>
      <c r="M123" s="174"/>
      <c r="N123" s="213"/>
    </row>
    <row r="124" ht="12.75" customHeight="1">
      <c r="A124" s="199"/>
      <c r="B124" s="212"/>
      <c r="E124" s="212"/>
      <c r="L124" s="213"/>
      <c r="M124" s="174"/>
      <c r="N124" s="213"/>
    </row>
    <row r="125" ht="12.75" customHeight="1">
      <c r="A125" s="199"/>
      <c r="B125" s="212"/>
      <c r="E125" s="212"/>
      <c r="L125" s="213"/>
      <c r="M125" s="174"/>
      <c r="N125" s="213"/>
    </row>
    <row r="126" ht="12.75" customHeight="1">
      <c r="A126" s="199"/>
      <c r="B126" s="212"/>
      <c r="E126" s="212"/>
      <c r="L126" s="213"/>
      <c r="M126" s="174"/>
      <c r="N126" s="213"/>
    </row>
    <row r="127" ht="12.75" customHeight="1">
      <c r="A127" s="199"/>
      <c r="B127" s="212"/>
      <c r="E127" s="212"/>
      <c r="L127" s="213"/>
      <c r="M127" s="174"/>
      <c r="N127" s="213"/>
    </row>
    <row r="128" ht="12.75" customHeight="1">
      <c r="A128" s="199"/>
      <c r="B128" s="212"/>
      <c r="E128" s="212"/>
      <c r="L128" s="213"/>
      <c r="M128" s="174"/>
      <c r="N128" s="213"/>
    </row>
    <row r="129" ht="12.75" customHeight="1">
      <c r="A129" s="199"/>
      <c r="B129" s="212"/>
      <c r="E129" s="212"/>
      <c r="L129" s="213"/>
      <c r="M129" s="174"/>
      <c r="N129" s="213"/>
    </row>
    <row r="130" ht="12.75" customHeight="1">
      <c r="A130" s="199"/>
      <c r="B130" s="212"/>
      <c r="E130" s="212"/>
      <c r="L130" s="213"/>
      <c r="M130" s="174"/>
      <c r="N130" s="213"/>
    </row>
    <row r="131" ht="12.75" customHeight="1">
      <c r="A131" s="199"/>
      <c r="B131" s="212"/>
      <c r="E131" s="212"/>
      <c r="L131" s="213"/>
      <c r="M131" s="174"/>
      <c r="N131" s="213"/>
    </row>
    <row r="132" ht="12.75" customHeight="1">
      <c r="A132" s="199"/>
      <c r="B132" s="212"/>
      <c r="E132" s="212"/>
      <c r="L132" s="213"/>
      <c r="M132" s="174"/>
      <c r="N132" s="213"/>
    </row>
    <row r="133" ht="12.75" customHeight="1">
      <c r="A133" s="199"/>
      <c r="B133" s="212"/>
      <c r="E133" s="212"/>
      <c r="L133" s="213"/>
      <c r="M133" s="174"/>
      <c r="N133" s="213"/>
    </row>
    <row r="134" ht="12.75" customHeight="1">
      <c r="A134" s="199"/>
      <c r="B134" s="212"/>
      <c r="E134" s="212"/>
      <c r="L134" s="213"/>
      <c r="M134" s="174"/>
      <c r="N134" s="213"/>
    </row>
    <row r="135" ht="12.75" customHeight="1">
      <c r="A135" s="199"/>
      <c r="B135" s="212"/>
      <c r="E135" s="212"/>
      <c r="L135" s="213"/>
      <c r="M135" s="174"/>
      <c r="N135" s="213"/>
    </row>
    <row r="136" ht="12.75" customHeight="1">
      <c r="A136" s="199"/>
      <c r="B136" s="212"/>
      <c r="E136" s="212"/>
      <c r="L136" s="213"/>
      <c r="M136" s="174"/>
      <c r="N136" s="213"/>
    </row>
    <row r="137" ht="12.75" customHeight="1">
      <c r="A137" s="199"/>
      <c r="B137" s="212"/>
      <c r="E137" s="212"/>
      <c r="L137" s="213"/>
      <c r="M137" s="174"/>
      <c r="N137" s="213"/>
    </row>
    <row r="138" ht="12.75" customHeight="1">
      <c r="A138" s="199"/>
      <c r="B138" s="212"/>
      <c r="E138" s="212"/>
      <c r="L138" s="213"/>
      <c r="M138" s="174"/>
      <c r="N138" s="213"/>
    </row>
    <row r="139" ht="12.75" customHeight="1">
      <c r="A139" s="199"/>
      <c r="B139" s="212"/>
      <c r="E139" s="212"/>
      <c r="L139" s="213"/>
      <c r="M139" s="174"/>
      <c r="N139" s="213"/>
    </row>
    <row r="140" ht="12.75" customHeight="1">
      <c r="A140" s="199"/>
      <c r="B140" s="212"/>
      <c r="E140" s="212"/>
      <c r="L140" s="213"/>
      <c r="M140" s="174"/>
      <c r="N140" s="213"/>
    </row>
    <row r="141" ht="12.75" customHeight="1">
      <c r="A141" s="199"/>
      <c r="B141" s="212"/>
      <c r="E141" s="212"/>
      <c r="L141" s="213"/>
      <c r="M141" s="174"/>
      <c r="N141" s="213"/>
    </row>
    <row r="142" ht="12.75" customHeight="1">
      <c r="A142" s="199"/>
      <c r="B142" s="212"/>
      <c r="E142" s="212"/>
      <c r="L142" s="213"/>
      <c r="M142" s="174"/>
      <c r="N142" s="213"/>
    </row>
    <row r="143" ht="12.75" customHeight="1">
      <c r="A143" s="199"/>
      <c r="B143" s="212"/>
      <c r="E143" s="212"/>
      <c r="L143" s="213"/>
      <c r="M143" s="174"/>
      <c r="N143" s="213"/>
    </row>
    <row r="144" ht="12.75" customHeight="1">
      <c r="A144" s="199"/>
      <c r="B144" s="212"/>
      <c r="E144" s="212"/>
      <c r="L144" s="213"/>
      <c r="M144" s="174"/>
      <c r="N144" s="213"/>
    </row>
    <row r="145" ht="12.75" customHeight="1">
      <c r="A145" s="199"/>
      <c r="B145" s="212"/>
      <c r="E145" s="212"/>
      <c r="L145" s="213"/>
      <c r="M145" s="174"/>
      <c r="N145" s="213"/>
    </row>
    <row r="146" ht="12.75" customHeight="1">
      <c r="A146" s="199"/>
      <c r="B146" s="212"/>
      <c r="E146" s="212"/>
      <c r="L146" s="213"/>
      <c r="M146" s="174"/>
      <c r="N146" s="213"/>
    </row>
    <row r="147" ht="12.75" customHeight="1">
      <c r="A147" s="199"/>
      <c r="B147" s="212"/>
      <c r="E147" s="212"/>
      <c r="L147" s="213"/>
      <c r="M147" s="174"/>
      <c r="N147" s="213"/>
    </row>
    <row r="148" ht="12.75" customHeight="1">
      <c r="A148" s="199"/>
      <c r="B148" s="212"/>
      <c r="E148" s="212"/>
      <c r="L148" s="213"/>
      <c r="M148" s="174"/>
      <c r="N148" s="213"/>
    </row>
    <row r="149" ht="12.75" customHeight="1">
      <c r="A149" s="199"/>
      <c r="B149" s="212"/>
      <c r="E149" s="212"/>
      <c r="L149" s="213"/>
      <c r="M149" s="174"/>
      <c r="N149" s="213"/>
    </row>
    <row r="150" ht="12.75" customHeight="1">
      <c r="A150" s="199"/>
      <c r="B150" s="212"/>
      <c r="E150" s="212"/>
      <c r="L150" s="213"/>
      <c r="M150" s="174"/>
      <c r="N150" s="213"/>
    </row>
    <row r="151" ht="12.75" customHeight="1">
      <c r="A151" s="199"/>
      <c r="B151" s="212"/>
      <c r="E151" s="212"/>
      <c r="L151" s="213"/>
      <c r="M151" s="174"/>
      <c r="N151" s="213"/>
    </row>
    <row r="152" ht="12.75" customHeight="1">
      <c r="A152" s="199"/>
      <c r="B152" s="212"/>
      <c r="E152" s="212"/>
      <c r="L152" s="213"/>
      <c r="M152" s="174"/>
      <c r="N152" s="213"/>
    </row>
    <row r="153" ht="12.75" customHeight="1">
      <c r="A153" s="199"/>
      <c r="B153" s="212"/>
      <c r="E153" s="212"/>
      <c r="L153" s="213"/>
      <c r="M153" s="174"/>
      <c r="N153" s="213"/>
    </row>
    <row r="154" ht="12.75" customHeight="1">
      <c r="A154" s="199"/>
      <c r="B154" s="212"/>
      <c r="E154" s="212"/>
      <c r="L154" s="213"/>
      <c r="M154" s="174"/>
      <c r="N154" s="213"/>
    </row>
    <row r="155" ht="12.75" customHeight="1">
      <c r="A155" s="199"/>
      <c r="B155" s="212"/>
      <c r="E155" s="212"/>
      <c r="L155" s="213"/>
      <c r="M155" s="174"/>
      <c r="N155" s="213"/>
    </row>
    <row r="156" ht="12.75" customHeight="1">
      <c r="A156" s="199"/>
      <c r="B156" s="212"/>
      <c r="E156" s="212"/>
      <c r="L156" s="213"/>
      <c r="M156" s="174"/>
      <c r="N156" s="213"/>
    </row>
    <row r="157" ht="12.75" customHeight="1">
      <c r="A157" s="199"/>
      <c r="B157" s="212"/>
      <c r="E157" s="212"/>
      <c r="L157" s="213"/>
      <c r="M157" s="174"/>
      <c r="N157" s="213"/>
    </row>
    <row r="158" ht="12.75" customHeight="1">
      <c r="A158" s="199"/>
      <c r="B158" s="212"/>
      <c r="E158" s="212"/>
      <c r="L158" s="213"/>
      <c r="M158" s="174"/>
      <c r="N158" s="213"/>
    </row>
    <row r="159" ht="12.75" customHeight="1">
      <c r="A159" s="199"/>
      <c r="B159" s="212"/>
      <c r="E159" s="212"/>
      <c r="L159" s="213"/>
      <c r="M159" s="174"/>
      <c r="N159" s="213"/>
    </row>
    <row r="160" ht="12.75" customHeight="1">
      <c r="A160" s="199"/>
      <c r="B160" s="212"/>
      <c r="E160" s="212"/>
      <c r="L160" s="213"/>
      <c r="M160" s="174"/>
      <c r="N160" s="213"/>
    </row>
    <row r="161" ht="12.75" customHeight="1">
      <c r="A161" s="199"/>
      <c r="B161" s="212"/>
      <c r="E161" s="212"/>
      <c r="L161" s="213"/>
      <c r="M161" s="174"/>
      <c r="N161" s="213"/>
    </row>
    <row r="162" ht="12.75" customHeight="1">
      <c r="A162" s="199"/>
      <c r="B162" s="212"/>
      <c r="E162" s="212"/>
      <c r="L162" s="213"/>
      <c r="M162" s="174"/>
      <c r="N162" s="213"/>
    </row>
    <row r="163" ht="12.75" customHeight="1">
      <c r="A163" s="199"/>
      <c r="B163" s="212"/>
      <c r="E163" s="212"/>
      <c r="L163" s="213"/>
      <c r="M163" s="174"/>
      <c r="N163" s="213"/>
    </row>
    <row r="164" ht="12.75" customHeight="1">
      <c r="A164" s="199"/>
      <c r="B164" s="212"/>
      <c r="E164" s="212"/>
      <c r="L164" s="213"/>
      <c r="M164" s="174"/>
      <c r="N164" s="213"/>
    </row>
    <row r="165" ht="12.75" customHeight="1">
      <c r="A165" s="199"/>
      <c r="B165" s="212"/>
      <c r="E165" s="212"/>
      <c r="L165" s="213"/>
      <c r="M165" s="174"/>
      <c r="N165" s="213"/>
    </row>
    <row r="166" ht="12.75" customHeight="1">
      <c r="A166" s="199"/>
      <c r="B166" s="212"/>
      <c r="E166" s="212"/>
      <c r="L166" s="213"/>
      <c r="M166" s="174"/>
      <c r="N166" s="213"/>
    </row>
    <row r="167" ht="12.75" customHeight="1">
      <c r="A167" s="199"/>
      <c r="B167" s="212"/>
      <c r="E167" s="212"/>
      <c r="L167" s="213"/>
      <c r="M167" s="174"/>
      <c r="N167" s="213"/>
    </row>
    <row r="168" ht="12.75" customHeight="1">
      <c r="A168" s="199"/>
      <c r="B168" s="212"/>
      <c r="E168" s="212"/>
      <c r="L168" s="213"/>
      <c r="M168" s="174"/>
      <c r="N168" s="213"/>
    </row>
    <row r="169" ht="12.75" customHeight="1">
      <c r="A169" s="199"/>
      <c r="B169" s="212"/>
      <c r="E169" s="212"/>
      <c r="L169" s="213"/>
      <c r="M169" s="174"/>
      <c r="N169" s="213"/>
    </row>
    <row r="170" ht="12.75" customHeight="1">
      <c r="A170" s="199"/>
      <c r="B170" s="212"/>
      <c r="E170" s="212"/>
      <c r="L170" s="213"/>
      <c r="M170" s="174"/>
      <c r="N170" s="213"/>
    </row>
    <row r="171" ht="12.75" customHeight="1">
      <c r="A171" s="199"/>
      <c r="B171" s="212"/>
      <c r="E171" s="212"/>
      <c r="L171" s="213"/>
      <c r="M171" s="174"/>
      <c r="N171" s="213"/>
    </row>
    <row r="172" ht="12.75" customHeight="1">
      <c r="A172" s="199"/>
      <c r="B172" s="212"/>
      <c r="E172" s="212"/>
      <c r="L172" s="213"/>
      <c r="M172" s="174"/>
      <c r="N172" s="213"/>
    </row>
    <row r="173" ht="12.75" customHeight="1">
      <c r="A173" s="199"/>
      <c r="B173" s="212"/>
      <c r="E173" s="212"/>
      <c r="L173" s="213"/>
      <c r="M173" s="174"/>
      <c r="N173" s="213"/>
    </row>
    <row r="174" ht="12.75" customHeight="1">
      <c r="A174" s="199"/>
      <c r="B174" s="212"/>
      <c r="E174" s="212"/>
      <c r="L174" s="213"/>
      <c r="M174" s="174"/>
      <c r="N174" s="213"/>
    </row>
    <row r="175" ht="12.75" customHeight="1">
      <c r="A175" s="199"/>
      <c r="B175" s="212"/>
      <c r="E175" s="212"/>
      <c r="L175" s="213"/>
      <c r="M175" s="174"/>
      <c r="N175" s="213"/>
    </row>
    <row r="176" ht="12.75" customHeight="1">
      <c r="A176" s="199"/>
      <c r="B176" s="212"/>
      <c r="E176" s="212"/>
      <c r="L176" s="213"/>
      <c r="M176" s="174"/>
      <c r="N176" s="213"/>
    </row>
    <row r="177" ht="12.75" customHeight="1">
      <c r="A177" s="199"/>
      <c r="B177" s="212"/>
      <c r="E177" s="212"/>
      <c r="L177" s="213"/>
      <c r="M177" s="174"/>
      <c r="N177" s="213"/>
    </row>
    <row r="178" ht="12.75" customHeight="1">
      <c r="A178" s="199"/>
      <c r="B178" s="212"/>
      <c r="E178" s="212"/>
      <c r="L178" s="213"/>
      <c r="M178" s="174"/>
      <c r="N178" s="213"/>
    </row>
    <row r="179" ht="12.75" customHeight="1">
      <c r="A179" s="199"/>
      <c r="B179" s="212"/>
      <c r="E179" s="212"/>
      <c r="L179" s="213"/>
      <c r="M179" s="174"/>
      <c r="N179" s="213"/>
    </row>
    <row r="180" ht="12.75" customHeight="1">
      <c r="A180" s="199"/>
      <c r="B180" s="212"/>
      <c r="E180" s="212"/>
      <c r="L180" s="213"/>
      <c r="M180" s="174"/>
      <c r="N180" s="213"/>
    </row>
    <row r="181" ht="12.75" customHeight="1">
      <c r="A181" s="199"/>
      <c r="B181" s="212"/>
      <c r="E181" s="212"/>
      <c r="L181" s="213"/>
      <c r="M181" s="174"/>
      <c r="N181" s="213"/>
    </row>
    <row r="182" ht="12.75" customHeight="1">
      <c r="A182" s="199"/>
      <c r="B182" s="212"/>
      <c r="E182" s="212"/>
      <c r="L182" s="213"/>
      <c r="M182" s="174"/>
      <c r="N182" s="213"/>
    </row>
    <row r="183" ht="12.75" customHeight="1">
      <c r="A183" s="199"/>
      <c r="B183" s="212"/>
      <c r="E183" s="212"/>
      <c r="L183" s="213"/>
      <c r="M183" s="174"/>
      <c r="N183" s="213"/>
    </row>
    <row r="184" ht="12.75" customHeight="1">
      <c r="A184" s="199"/>
      <c r="B184" s="212"/>
      <c r="E184" s="212"/>
      <c r="L184" s="213"/>
      <c r="M184" s="174"/>
      <c r="N184" s="213"/>
    </row>
    <row r="185" ht="12.75" customHeight="1">
      <c r="A185" s="199"/>
      <c r="B185" s="212"/>
      <c r="E185" s="212"/>
      <c r="L185" s="213"/>
      <c r="M185" s="174"/>
      <c r="N185" s="213"/>
    </row>
    <row r="186" ht="12.75" customHeight="1">
      <c r="A186" s="199"/>
      <c r="B186" s="212"/>
      <c r="E186" s="212"/>
      <c r="L186" s="213"/>
      <c r="M186" s="174"/>
      <c r="N186" s="213"/>
    </row>
    <row r="187" ht="12.75" customHeight="1">
      <c r="A187" s="199"/>
      <c r="B187" s="212"/>
      <c r="E187" s="212"/>
      <c r="L187" s="213"/>
      <c r="M187" s="174"/>
      <c r="N187" s="213"/>
    </row>
    <row r="188" ht="12.75" customHeight="1">
      <c r="A188" s="199"/>
      <c r="B188" s="212"/>
      <c r="E188" s="212"/>
      <c r="L188" s="213"/>
      <c r="M188" s="174"/>
      <c r="N188" s="213"/>
    </row>
    <row r="189" ht="12.75" customHeight="1">
      <c r="A189" s="199"/>
      <c r="B189" s="212"/>
      <c r="E189" s="212"/>
      <c r="L189" s="213"/>
      <c r="M189" s="174"/>
      <c r="N189" s="213"/>
    </row>
    <row r="190" ht="12.75" customHeight="1">
      <c r="A190" s="199"/>
      <c r="B190" s="212"/>
      <c r="E190" s="212"/>
      <c r="L190" s="213"/>
      <c r="M190" s="174"/>
      <c r="N190" s="213"/>
    </row>
    <row r="191" ht="12.75" customHeight="1">
      <c r="A191" s="199"/>
      <c r="B191" s="212"/>
      <c r="E191" s="212"/>
      <c r="L191" s="213"/>
      <c r="M191" s="174"/>
      <c r="N191" s="213"/>
    </row>
    <row r="192" ht="12.75" customHeight="1">
      <c r="A192" s="199"/>
      <c r="B192" s="212"/>
      <c r="E192" s="212"/>
      <c r="L192" s="213"/>
      <c r="M192" s="174"/>
      <c r="N192" s="213"/>
    </row>
    <row r="193" ht="12.75" customHeight="1">
      <c r="A193" s="199"/>
      <c r="B193" s="212"/>
      <c r="E193" s="212"/>
      <c r="L193" s="213"/>
      <c r="M193" s="174"/>
      <c r="N193" s="213"/>
    </row>
    <row r="194" ht="12.75" customHeight="1">
      <c r="A194" s="199"/>
      <c r="B194" s="212"/>
      <c r="E194" s="212"/>
      <c r="L194" s="213"/>
      <c r="M194" s="174"/>
      <c r="N194" s="213"/>
    </row>
    <row r="195" ht="12.75" customHeight="1">
      <c r="A195" s="199"/>
      <c r="B195" s="212"/>
      <c r="E195" s="212"/>
      <c r="L195" s="213"/>
      <c r="M195" s="174"/>
      <c r="N195" s="213"/>
    </row>
    <row r="196" ht="12.75" customHeight="1">
      <c r="A196" s="199"/>
      <c r="B196" s="212"/>
      <c r="E196" s="212"/>
      <c r="L196" s="213"/>
      <c r="M196" s="174"/>
      <c r="N196" s="213"/>
    </row>
    <row r="197" ht="12.75" customHeight="1">
      <c r="A197" s="199"/>
      <c r="B197" s="212"/>
      <c r="E197" s="212"/>
      <c r="L197" s="213"/>
      <c r="M197" s="174"/>
      <c r="N197" s="213"/>
    </row>
    <row r="198" ht="12.75" customHeight="1">
      <c r="A198" s="199"/>
      <c r="B198" s="212"/>
      <c r="E198" s="212"/>
      <c r="L198" s="213"/>
      <c r="M198" s="174"/>
      <c r="N198" s="213"/>
    </row>
    <row r="199" ht="12.75" customHeight="1">
      <c r="A199" s="199"/>
      <c r="B199" s="212"/>
      <c r="E199" s="212"/>
      <c r="L199" s="213"/>
      <c r="M199" s="174"/>
      <c r="N199" s="213"/>
    </row>
    <row r="200" ht="12.75" customHeight="1">
      <c r="A200" s="199"/>
      <c r="B200" s="212"/>
      <c r="E200" s="212"/>
      <c r="L200" s="213"/>
      <c r="M200" s="174"/>
      <c r="N200" s="213"/>
    </row>
    <row r="201" ht="12.75" customHeight="1">
      <c r="A201" s="199"/>
      <c r="B201" s="212"/>
      <c r="E201" s="212"/>
      <c r="L201" s="213"/>
      <c r="M201" s="174"/>
      <c r="N201" s="213"/>
    </row>
    <row r="202" ht="12.75" customHeight="1">
      <c r="A202" s="199"/>
      <c r="B202" s="212"/>
      <c r="E202" s="212"/>
      <c r="L202" s="213"/>
      <c r="M202" s="174"/>
      <c r="N202" s="213"/>
    </row>
    <row r="203" ht="12.75" customHeight="1">
      <c r="A203" s="199"/>
      <c r="B203" s="212"/>
      <c r="E203" s="212"/>
      <c r="L203" s="213"/>
      <c r="M203" s="174"/>
      <c r="N203" s="213"/>
    </row>
    <row r="204" ht="12.75" customHeight="1">
      <c r="A204" s="199"/>
      <c r="B204" s="212"/>
      <c r="E204" s="212"/>
      <c r="L204" s="213"/>
      <c r="M204" s="174"/>
      <c r="N204" s="213"/>
    </row>
    <row r="205" ht="12.75" customHeight="1">
      <c r="A205" s="199"/>
      <c r="B205" s="212"/>
      <c r="E205" s="212"/>
      <c r="L205" s="213"/>
      <c r="M205" s="174"/>
      <c r="N205" s="213"/>
    </row>
    <row r="206" ht="12.75" customHeight="1">
      <c r="A206" s="199"/>
      <c r="B206" s="212"/>
      <c r="E206" s="212"/>
      <c r="L206" s="213"/>
      <c r="M206" s="174"/>
      <c r="N206" s="213"/>
    </row>
    <row r="207" ht="12.75" customHeight="1">
      <c r="A207" s="199"/>
      <c r="B207" s="212"/>
      <c r="E207" s="212"/>
      <c r="L207" s="213"/>
      <c r="M207" s="174"/>
      <c r="N207" s="213"/>
    </row>
    <row r="208" ht="12.75" customHeight="1">
      <c r="A208" s="199"/>
      <c r="B208" s="212"/>
      <c r="E208" s="212"/>
      <c r="L208" s="213"/>
      <c r="M208" s="174"/>
      <c r="N208" s="213"/>
    </row>
    <row r="209" ht="12.75" customHeight="1">
      <c r="A209" s="199"/>
      <c r="B209" s="212"/>
      <c r="E209" s="212"/>
      <c r="L209" s="213"/>
      <c r="M209" s="174"/>
      <c r="N209" s="213"/>
    </row>
    <row r="210" ht="12.75" customHeight="1">
      <c r="A210" s="199"/>
      <c r="B210" s="212"/>
      <c r="E210" s="212"/>
      <c r="L210" s="213"/>
      <c r="M210" s="174"/>
      <c r="N210" s="213"/>
    </row>
    <row r="211" ht="12.75" customHeight="1">
      <c r="A211" s="199"/>
      <c r="B211" s="212"/>
      <c r="E211" s="212"/>
      <c r="L211" s="213"/>
      <c r="M211" s="174"/>
      <c r="N211" s="213"/>
    </row>
    <row r="212" ht="12.75" customHeight="1">
      <c r="A212" s="199"/>
      <c r="B212" s="212"/>
      <c r="E212" s="212"/>
      <c r="L212" s="213"/>
      <c r="M212" s="174"/>
      <c r="N212" s="213"/>
    </row>
    <row r="213" ht="12.75" customHeight="1">
      <c r="A213" s="199"/>
      <c r="B213" s="212"/>
      <c r="E213" s="212"/>
      <c r="L213" s="213"/>
      <c r="M213" s="174"/>
      <c r="N213" s="213"/>
    </row>
    <row r="214" ht="12.75" customHeight="1">
      <c r="A214" s="199"/>
      <c r="B214" s="212"/>
      <c r="E214" s="212"/>
      <c r="L214" s="213"/>
      <c r="M214" s="174"/>
      <c r="N214" s="213"/>
    </row>
    <row r="215" ht="12.75" customHeight="1">
      <c r="A215" s="199"/>
      <c r="B215" s="212"/>
      <c r="E215" s="212"/>
      <c r="L215" s="213"/>
      <c r="M215" s="174"/>
      <c r="N215" s="213"/>
    </row>
    <row r="216" ht="12.75" customHeight="1">
      <c r="A216" s="199"/>
      <c r="B216" s="212"/>
      <c r="E216" s="212"/>
      <c r="L216" s="213"/>
      <c r="M216" s="174"/>
      <c r="N216" s="213"/>
    </row>
    <row r="217" ht="12.75" customHeight="1">
      <c r="A217" s="199"/>
      <c r="B217" s="212"/>
      <c r="E217" s="212"/>
      <c r="L217" s="213"/>
      <c r="M217" s="174"/>
      <c r="N217" s="213"/>
    </row>
    <row r="218" ht="12.75" customHeight="1">
      <c r="A218" s="199"/>
      <c r="B218" s="212"/>
      <c r="E218" s="212"/>
      <c r="L218" s="213"/>
      <c r="M218" s="174"/>
      <c r="N218" s="213"/>
    </row>
    <row r="219" ht="12.75" customHeight="1">
      <c r="A219" s="199"/>
      <c r="B219" s="212"/>
      <c r="E219" s="212"/>
      <c r="L219" s="213"/>
      <c r="M219" s="174"/>
      <c r="N219" s="213"/>
    </row>
    <row r="220" ht="12.75" customHeight="1">
      <c r="A220" s="199"/>
      <c r="B220" s="212"/>
      <c r="E220" s="212"/>
      <c r="L220" s="213"/>
      <c r="M220" s="174"/>
      <c r="N220" s="213"/>
    </row>
    <row r="221" ht="12.75" customHeight="1">
      <c r="A221" s="199"/>
      <c r="B221" s="212"/>
      <c r="E221" s="212"/>
      <c r="L221" s="213"/>
      <c r="M221" s="174"/>
      <c r="N221" s="213"/>
    </row>
    <row r="222" ht="12.75" customHeight="1">
      <c r="A222" s="199"/>
      <c r="B222" s="212"/>
      <c r="E222" s="212"/>
      <c r="L222" s="213"/>
      <c r="M222" s="174"/>
      <c r="N222" s="213"/>
    </row>
    <row r="223" ht="12.75" customHeight="1">
      <c r="A223" s="199"/>
      <c r="B223" s="212"/>
      <c r="E223" s="212"/>
      <c r="L223" s="213"/>
      <c r="M223" s="174"/>
      <c r="N223" s="213"/>
    </row>
    <row r="224" ht="12.75" customHeight="1">
      <c r="A224" s="199"/>
      <c r="B224" s="212"/>
      <c r="E224" s="212"/>
      <c r="L224" s="213"/>
      <c r="M224" s="174"/>
      <c r="N224" s="213"/>
    </row>
    <row r="225" ht="12.75" customHeight="1">
      <c r="A225" s="199"/>
      <c r="B225" s="212"/>
      <c r="E225" s="212"/>
      <c r="L225" s="213"/>
      <c r="M225" s="174"/>
      <c r="N225" s="213"/>
    </row>
    <row r="226" ht="12.75" customHeight="1">
      <c r="A226" s="199"/>
      <c r="B226" s="212"/>
      <c r="E226" s="212"/>
      <c r="L226" s="213"/>
      <c r="M226" s="174"/>
      <c r="N226" s="213"/>
    </row>
    <row r="227" ht="12.75" customHeight="1">
      <c r="A227" s="199"/>
      <c r="B227" s="214"/>
      <c r="E227" s="212"/>
      <c r="L227" s="213"/>
      <c r="M227" s="174"/>
      <c r="N227" s="213"/>
    </row>
    <row r="228" ht="12.75" customHeight="1">
      <c r="A228" s="199"/>
      <c r="B228" s="214"/>
      <c r="E228" s="212"/>
      <c r="L228" s="213"/>
      <c r="M228" s="174"/>
      <c r="N228" s="213"/>
    </row>
    <row r="229" ht="12.75" customHeight="1">
      <c r="A229" s="199"/>
      <c r="B229" s="214"/>
      <c r="E229" s="212"/>
      <c r="L229" s="213"/>
      <c r="M229" s="174"/>
      <c r="N229" s="213"/>
    </row>
    <row r="230" ht="12.75" customHeight="1">
      <c r="A230" s="199"/>
      <c r="B230" s="214"/>
      <c r="E230" s="212"/>
      <c r="L230" s="213"/>
      <c r="M230" s="174"/>
      <c r="N230" s="213"/>
    </row>
    <row r="231" ht="12.75" customHeight="1">
      <c r="A231" s="199"/>
      <c r="B231" s="214"/>
      <c r="E231" s="212"/>
      <c r="L231" s="213"/>
      <c r="M231" s="174"/>
      <c r="N231" s="213"/>
    </row>
    <row r="232" ht="12.75" customHeight="1">
      <c r="A232" s="199"/>
      <c r="B232" s="214"/>
      <c r="E232" s="212"/>
      <c r="L232" s="213"/>
      <c r="M232" s="174"/>
      <c r="N232" s="213"/>
    </row>
    <row r="233" ht="12.75" customHeight="1">
      <c r="A233" s="199"/>
      <c r="B233" s="214"/>
      <c r="E233" s="212"/>
      <c r="L233" s="213"/>
      <c r="M233" s="174"/>
      <c r="N233" s="213"/>
    </row>
    <row r="234" ht="12.75" customHeight="1">
      <c r="A234" s="199"/>
      <c r="B234" s="214"/>
      <c r="E234" s="212"/>
      <c r="L234" s="213"/>
      <c r="M234" s="174"/>
      <c r="N234" s="213"/>
    </row>
    <row r="235" ht="12.75" customHeight="1">
      <c r="A235" s="199"/>
      <c r="B235" s="214"/>
      <c r="E235" s="212"/>
      <c r="L235" s="213"/>
      <c r="M235" s="174"/>
      <c r="N235" s="213"/>
    </row>
    <row r="236" ht="12.75" customHeight="1">
      <c r="A236" s="199"/>
      <c r="B236" s="214"/>
      <c r="E236" s="212"/>
      <c r="L236" s="213"/>
      <c r="M236" s="174"/>
      <c r="N236" s="213"/>
    </row>
    <row r="237" ht="12.75" customHeight="1">
      <c r="A237" s="199"/>
      <c r="B237" s="214"/>
      <c r="E237" s="212"/>
      <c r="L237" s="213"/>
      <c r="M237" s="174"/>
      <c r="N237" s="213"/>
    </row>
    <row r="238" ht="12.75" customHeight="1">
      <c r="A238" s="199"/>
      <c r="B238" s="214"/>
      <c r="E238" s="212"/>
      <c r="L238" s="213"/>
      <c r="M238" s="174"/>
      <c r="N238" s="213"/>
    </row>
    <row r="239" ht="12.75" customHeight="1">
      <c r="A239" s="199"/>
      <c r="B239" s="214"/>
      <c r="E239" s="212"/>
      <c r="L239" s="213"/>
      <c r="M239" s="174"/>
      <c r="N239" s="213"/>
    </row>
    <row r="240" ht="12.75" customHeight="1">
      <c r="A240" s="199"/>
      <c r="B240" s="214"/>
      <c r="E240" s="212"/>
      <c r="L240" s="213"/>
      <c r="M240" s="174"/>
      <c r="N240" s="213"/>
    </row>
    <row r="241" ht="12.75" customHeight="1">
      <c r="A241" s="199"/>
      <c r="B241" s="214"/>
      <c r="E241" s="212"/>
      <c r="L241" s="213"/>
      <c r="M241" s="174"/>
      <c r="N241" s="213"/>
    </row>
    <row r="242" ht="12.75" customHeight="1">
      <c r="A242" s="199"/>
      <c r="B242" s="214"/>
      <c r="E242" s="212"/>
      <c r="L242" s="213"/>
      <c r="M242" s="174"/>
      <c r="N242" s="213"/>
    </row>
    <row r="243" ht="12.75" customHeight="1">
      <c r="A243" s="199"/>
      <c r="B243" s="214"/>
      <c r="E243" s="212"/>
      <c r="L243" s="213"/>
      <c r="M243" s="174"/>
      <c r="N243" s="213"/>
    </row>
    <row r="244" ht="12.75" customHeight="1">
      <c r="A244" s="199"/>
      <c r="B244" s="214"/>
      <c r="E244" s="212"/>
      <c r="L244" s="213"/>
      <c r="M244" s="174"/>
      <c r="N244" s="213"/>
    </row>
    <row r="245" ht="12.75" customHeight="1">
      <c r="A245" s="199"/>
      <c r="B245" s="214"/>
      <c r="E245" s="212"/>
      <c r="L245" s="213"/>
      <c r="M245" s="174"/>
      <c r="N245" s="213"/>
    </row>
    <row r="246" ht="12.75" customHeight="1">
      <c r="A246" s="199"/>
      <c r="B246" s="214"/>
      <c r="E246" s="212"/>
      <c r="L246" s="213"/>
      <c r="M246" s="174"/>
      <c r="N246" s="213"/>
    </row>
    <row r="247" ht="12.75" customHeight="1">
      <c r="A247" s="199"/>
      <c r="B247" s="214"/>
      <c r="E247" s="212"/>
      <c r="L247" s="213"/>
      <c r="M247" s="174"/>
      <c r="N247" s="213"/>
    </row>
    <row r="248" ht="12.75" customHeight="1">
      <c r="A248" s="199"/>
      <c r="B248" s="214"/>
      <c r="E248" s="212"/>
      <c r="L248" s="213"/>
      <c r="M248" s="174"/>
      <c r="N248" s="213"/>
    </row>
    <row r="249" ht="12.75" customHeight="1">
      <c r="A249" s="199"/>
      <c r="B249" s="214"/>
      <c r="E249" s="212"/>
      <c r="L249" s="213"/>
      <c r="M249" s="174"/>
      <c r="N249" s="213"/>
    </row>
    <row r="250" ht="12.75" customHeight="1">
      <c r="A250" s="199"/>
      <c r="B250" s="214"/>
      <c r="E250" s="212"/>
      <c r="L250" s="213"/>
      <c r="M250" s="174"/>
      <c r="N250" s="213"/>
    </row>
    <row r="251" ht="12.75" customHeight="1">
      <c r="A251" s="199"/>
      <c r="B251" s="214"/>
      <c r="E251" s="212"/>
      <c r="L251" s="213"/>
      <c r="M251" s="174"/>
      <c r="N251" s="213"/>
    </row>
    <row r="252" ht="12.75" customHeight="1">
      <c r="A252" s="199"/>
      <c r="B252" s="214"/>
      <c r="E252" s="212"/>
      <c r="L252" s="213"/>
      <c r="M252" s="174"/>
      <c r="N252" s="213"/>
    </row>
    <row r="253" ht="12.75" customHeight="1">
      <c r="A253" s="199"/>
      <c r="B253" s="214"/>
      <c r="E253" s="212"/>
      <c r="L253" s="213"/>
      <c r="M253" s="174"/>
      <c r="N253" s="213"/>
    </row>
    <row r="254" ht="12.75" customHeight="1">
      <c r="A254" s="199"/>
      <c r="B254" s="214"/>
      <c r="E254" s="212"/>
      <c r="L254" s="213"/>
      <c r="M254" s="174"/>
      <c r="N254" s="213"/>
    </row>
    <row r="255" ht="12.75" customHeight="1">
      <c r="A255" s="199"/>
      <c r="B255" s="214"/>
      <c r="E255" s="212"/>
      <c r="L255" s="213"/>
      <c r="M255" s="174"/>
      <c r="N255" s="213"/>
    </row>
    <row r="256" ht="12.75" customHeight="1">
      <c r="A256" s="199"/>
      <c r="B256" s="214"/>
      <c r="E256" s="212"/>
      <c r="L256" s="213"/>
      <c r="M256" s="174"/>
      <c r="N256" s="213"/>
    </row>
    <row r="257" ht="12.75" customHeight="1">
      <c r="A257" s="199"/>
      <c r="B257" s="214"/>
      <c r="E257" s="212"/>
      <c r="L257" s="213"/>
      <c r="M257" s="174"/>
      <c r="N257" s="213"/>
    </row>
    <row r="258" ht="12.75" customHeight="1">
      <c r="A258" s="199"/>
      <c r="B258" s="214"/>
      <c r="E258" s="212"/>
      <c r="L258" s="213"/>
      <c r="M258" s="174"/>
      <c r="N258" s="213"/>
    </row>
    <row r="259" ht="12.75" customHeight="1">
      <c r="A259" s="199"/>
      <c r="B259" s="214"/>
      <c r="E259" s="212"/>
      <c r="L259" s="213"/>
      <c r="M259" s="174"/>
      <c r="N259" s="213"/>
    </row>
    <row r="260" ht="12.75" customHeight="1">
      <c r="A260" s="199"/>
      <c r="B260" s="214"/>
      <c r="E260" s="212"/>
      <c r="L260" s="213"/>
      <c r="M260" s="174"/>
      <c r="N260" s="213"/>
    </row>
    <row r="261" ht="12.75" customHeight="1">
      <c r="A261" s="199"/>
      <c r="B261" s="214"/>
      <c r="E261" s="212"/>
      <c r="L261" s="213"/>
      <c r="M261" s="174"/>
      <c r="N261" s="213"/>
    </row>
    <row r="262" ht="12.75" customHeight="1">
      <c r="A262" s="199"/>
      <c r="B262" s="214"/>
      <c r="E262" s="212"/>
      <c r="L262" s="213"/>
      <c r="M262" s="174"/>
      <c r="N262" s="213"/>
    </row>
    <row r="263" ht="12.75" customHeight="1">
      <c r="A263" s="199"/>
      <c r="B263" s="214"/>
      <c r="E263" s="212"/>
      <c r="L263" s="213"/>
      <c r="M263" s="174"/>
      <c r="N263" s="213"/>
    </row>
    <row r="264" ht="12.75" customHeight="1">
      <c r="A264" s="199"/>
      <c r="B264" s="214"/>
      <c r="E264" s="212"/>
      <c r="L264" s="213"/>
      <c r="M264" s="174"/>
      <c r="N264" s="213"/>
    </row>
    <row r="265" ht="12.75" customHeight="1">
      <c r="A265" s="199"/>
      <c r="B265" s="214"/>
      <c r="E265" s="212"/>
      <c r="L265" s="213"/>
      <c r="M265" s="174"/>
      <c r="N265" s="213"/>
    </row>
    <row r="266" ht="12.75" customHeight="1">
      <c r="A266" s="199"/>
      <c r="B266" s="214"/>
      <c r="E266" s="212"/>
      <c r="L266" s="213"/>
      <c r="M266" s="174"/>
      <c r="N266" s="213"/>
    </row>
    <row r="267" ht="12.75" customHeight="1">
      <c r="A267" s="199"/>
      <c r="B267" s="214"/>
      <c r="E267" s="212"/>
      <c r="L267" s="213"/>
      <c r="M267" s="174"/>
      <c r="N267" s="213"/>
    </row>
    <row r="268" ht="12.75" customHeight="1">
      <c r="A268" s="199"/>
      <c r="B268" s="214"/>
      <c r="E268" s="212"/>
      <c r="L268" s="213"/>
      <c r="M268" s="174"/>
      <c r="N268" s="213"/>
    </row>
    <row r="269" ht="12.75" customHeight="1">
      <c r="A269" s="199"/>
      <c r="B269" s="214"/>
      <c r="E269" s="212"/>
      <c r="L269" s="213"/>
      <c r="M269" s="174"/>
      <c r="N269" s="213"/>
    </row>
    <row r="270" ht="12.75" customHeight="1">
      <c r="A270" s="199"/>
      <c r="B270" s="214"/>
      <c r="E270" s="212"/>
      <c r="L270" s="213"/>
      <c r="M270" s="174"/>
      <c r="N270" s="213"/>
    </row>
    <row r="271" ht="12.75" customHeight="1">
      <c r="A271" s="199"/>
      <c r="B271" s="214"/>
      <c r="E271" s="212"/>
      <c r="L271" s="213"/>
      <c r="M271" s="174"/>
      <c r="N271" s="213"/>
    </row>
    <row r="272" ht="12.75" customHeight="1">
      <c r="A272" s="199"/>
      <c r="B272" s="214"/>
      <c r="E272" s="212"/>
      <c r="L272" s="213"/>
      <c r="M272" s="174"/>
      <c r="N272" s="213"/>
    </row>
    <row r="273" ht="12.75" customHeight="1">
      <c r="A273" s="199"/>
      <c r="B273" s="214"/>
      <c r="E273" s="212"/>
      <c r="L273" s="213"/>
      <c r="M273" s="174"/>
      <c r="N273" s="213"/>
    </row>
    <row r="274" ht="12.75" customHeight="1">
      <c r="A274" s="199"/>
      <c r="B274" s="214"/>
      <c r="E274" s="212"/>
      <c r="L274" s="213"/>
      <c r="M274" s="174"/>
      <c r="N274" s="213"/>
    </row>
    <row r="275" ht="12.75" customHeight="1">
      <c r="A275" s="199"/>
      <c r="B275" s="214"/>
      <c r="E275" s="212"/>
      <c r="L275" s="213"/>
      <c r="M275" s="174"/>
      <c r="N275" s="213"/>
    </row>
    <row r="276" ht="12.75" customHeight="1">
      <c r="A276" s="199"/>
      <c r="B276" s="214"/>
      <c r="E276" s="212"/>
      <c r="L276" s="213"/>
      <c r="M276" s="174"/>
      <c r="N276" s="213"/>
    </row>
    <row r="277" ht="12.75" customHeight="1">
      <c r="A277" s="199"/>
      <c r="B277" s="214"/>
      <c r="E277" s="212"/>
      <c r="L277" s="213"/>
      <c r="M277" s="174"/>
      <c r="N277" s="213"/>
    </row>
    <row r="278" ht="12.75" customHeight="1">
      <c r="A278" s="199"/>
      <c r="B278" s="214"/>
      <c r="E278" s="212"/>
      <c r="L278" s="213"/>
      <c r="M278" s="174"/>
      <c r="N278" s="213"/>
    </row>
    <row r="279" ht="12.75" customHeight="1">
      <c r="A279" s="199"/>
      <c r="B279" s="214"/>
      <c r="E279" s="212"/>
      <c r="L279" s="213"/>
      <c r="M279" s="174"/>
      <c r="N279" s="213"/>
    </row>
    <row r="280" ht="12.75" customHeight="1">
      <c r="A280" s="199"/>
      <c r="B280" s="214"/>
      <c r="E280" s="212"/>
      <c r="L280" s="213"/>
      <c r="M280" s="174"/>
      <c r="N280" s="213"/>
    </row>
    <row r="281" ht="12.75" customHeight="1">
      <c r="A281" s="199"/>
      <c r="B281" s="214"/>
      <c r="E281" s="212"/>
      <c r="L281" s="213"/>
      <c r="M281" s="174"/>
      <c r="N281" s="213"/>
    </row>
    <row r="282" ht="12.75" customHeight="1">
      <c r="A282" s="199"/>
      <c r="B282" s="214"/>
      <c r="E282" s="212"/>
      <c r="L282" s="213"/>
      <c r="M282" s="174"/>
      <c r="N282" s="213"/>
    </row>
    <row r="283" ht="12.75" customHeight="1">
      <c r="A283" s="199"/>
      <c r="B283" s="214"/>
      <c r="E283" s="212"/>
      <c r="L283" s="213"/>
      <c r="M283" s="174"/>
      <c r="N283" s="213"/>
    </row>
    <row r="284" ht="12.75" customHeight="1">
      <c r="A284" s="199"/>
      <c r="B284" s="214"/>
      <c r="E284" s="212"/>
      <c r="L284" s="213"/>
      <c r="M284" s="174"/>
      <c r="N284" s="213"/>
    </row>
    <row r="285" ht="12.75" customHeight="1">
      <c r="A285" s="199"/>
      <c r="B285" s="214"/>
      <c r="E285" s="212"/>
      <c r="L285" s="213"/>
      <c r="M285" s="174"/>
      <c r="N285" s="213"/>
    </row>
    <row r="286" ht="12.75" customHeight="1">
      <c r="A286" s="199"/>
      <c r="B286" s="214"/>
      <c r="E286" s="212"/>
      <c r="L286" s="213"/>
      <c r="M286" s="174"/>
      <c r="N286" s="213"/>
    </row>
    <row r="287" ht="12.75" customHeight="1">
      <c r="A287" s="199"/>
      <c r="B287" s="214"/>
      <c r="E287" s="212"/>
      <c r="L287" s="213"/>
      <c r="M287" s="174"/>
      <c r="N287" s="213"/>
    </row>
    <row r="288" ht="12.75" customHeight="1">
      <c r="A288" s="199"/>
      <c r="B288" s="214"/>
      <c r="E288" s="212"/>
      <c r="L288" s="213"/>
      <c r="M288" s="174"/>
      <c r="N288" s="213"/>
    </row>
    <row r="289" ht="12.75" customHeight="1">
      <c r="A289" s="199"/>
      <c r="B289" s="214"/>
      <c r="E289" s="212"/>
      <c r="L289" s="213"/>
      <c r="M289" s="174"/>
      <c r="N289" s="213"/>
    </row>
    <row r="290" ht="12.75" customHeight="1">
      <c r="A290" s="199"/>
      <c r="B290" s="214"/>
      <c r="E290" s="212"/>
      <c r="L290" s="213"/>
      <c r="M290" s="174"/>
      <c r="N290" s="213"/>
    </row>
    <row r="291" ht="12.75" customHeight="1">
      <c r="A291" s="199"/>
      <c r="B291" s="214"/>
      <c r="E291" s="212"/>
      <c r="L291" s="213"/>
      <c r="M291" s="174"/>
      <c r="N291" s="213"/>
    </row>
    <row r="292" ht="12.75" customHeight="1">
      <c r="A292" s="199"/>
      <c r="B292" s="214"/>
      <c r="E292" s="212"/>
      <c r="L292" s="213"/>
      <c r="M292" s="174"/>
      <c r="N292" s="213"/>
    </row>
    <row r="293" ht="12.75" customHeight="1">
      <c r="A293" s="199"/>
      <c r="B293" s="214"/>
      <c r="E293" s="212"/>
      <c r="L293" s="213"/>
      <c r="M293" s="174"/>
      <c r="N293" s="213"/>
    </row>
    <row r="294" ht="12.75" customHeight="1">
      <c r="A294" s="199"/>
      <c r="B294" s="214"/>
      <c r="E294" s="212"/>
      <c r="L294" s="213"/>
      <c r="M294" s="174"/>
      <c r="N294" s="213"/>
    </row>
    <row r="295" ht="12.75" customHeight="1">
      <c r="A295" s="199"/>
      <c r="B295" s="214"/>
      <c r="E295" s="212"/>
      <c r="L295" s="213"/>
      <c r="M295" s="174"/>
      <c r="N295" s="213"/>
    </row>
    <row r="296" ht="12.75" customHeight="1">
      <c r="A296" s="199"/>
      <c r="B296" s="214"/>
      <c r="E296" s="212"/>
      <c r="L296" s="213"/>
      <c r="M296" s="174"/>
      <c r="N296" s="213"/>
    </row>
    <row r="297" ht="12.75" customHeight="1">
      <c r="A297" s="199"/>
      <c r="B297" s="214"/>
      <c r="E297" s="212"/>
      <c r="L297" s="213"/>
      <c r="M297" s="174"/>
      <c r="N297" s="213"/>
    </row>
    <row r="298" ht="12.75" customHeight="1">
      <c r="A298" s="199"/>
      <c r="B298" s="214"/>
      <c r="E298" s="212"/>
      <c r="L298" s="213"/>
      <c r="M298" s="174"/>
      <c r="N298" s="213"/>
    </row>
    <row r="299" ht="12.75" customHeight="1">
      <c r="A299" s="199"/>
      <c r="B299" s="214"/>
      <c r="E299" s="212"/>
      <c r="L299" s="213"/>
      <c r="M299" s="174"/>
      <c r="N299" s="213"/>
    </row>
    <row r="300" ht="12.75" customHeight="1">
      <c r="A300" s="199"/>
      <c r="B300" s="214"/>
      <c r="E300" s="212"/>
      <c r="L300" s="213"/>
      <c r="M300" s="174"/>
      <c r="N300" s="213"/>
    </row>
    <row r="301" ht="12.75" customHeight="1">
      <c r="A301" s="199"/>
      <c r="B301" s="214"/>
      <c r="E301" s="212"/>
      <c r="L301" s="213"/>
      <c r="M301" s="174"/>
      <c r="N301" s="213"/>
    </row>
    <row r="302" ht="12.75" customHeight="1">
      <c r="A302" s="199"/>
      <c r="B302" s="214"/>
      <c r="E302" s="212"/>
      <c r="L302" s="213"/>
      <c r="M302" s="174"/>
      <c r="N302" s="213"/>
    </row>
    <row r="303" ht="12.75" customHeight="1">
      <c r="A303" s="199"/>
      <c r="B303" s="214"/>
      <c r="E303" s="212"/>
      <c r="L303" s="213"/>
      <c r="M303" s="174"/>
      <c r="N303" s="213"/>
    </row>
    <row r="304" ht="12.75" customHeight="1">
      <c r="A304" s="199"/>
      <c r="B304" s="214"/>
      <c r="E304" s="212"/>
      <c r="L304" s="213"/>
      <c r="M304" s="174"/>
      <c r="N304" s="213"/>
    </row>
    <row r="305" ht="12.75" customHeight="1">
      <c r="A305" s="199"/>
      <c r="B305" s="214"/>
      <c r="E305" s="212"/>
      <c r="L305" s="213"/>
      <c r="M305" s="174"/>
      <c r="N305" s="213"/>
    </row>
    <row r="306" ht="12.75" customHeight="1">
      <c r="A306" s="199"/>
      <c r="B306" s="214"/>
      <c r="E306" s="212"/>
      <c r="L306" s="213"/>
      <c r="M306" s="174"/>
      <c r="N306" s="213"/>
    </row>
    <row r="307" ht="12.75" customHeight="1">
      <c r="A307" s="199"/>
      <c r="B307" s="214"/>
      <c r="E307" s="212"/>
      <c r="L307" s="213"/>
      <c r="M307" s="174"/>
      <c r="N307" s="213"/>
    </row>
    <row r="308" ht="12.75" customHeight="1">
      <c r="A308" s="199"/>
      <c r="B308" s="214"/>
      <c r="E308" s="212"/>
      <c r="L308" s="213"/>
      <c r="M308" s="174"/>
      <c r="N308" s="213"/>
    </row>
    <row r="309" ht="12.75" customHeight="1">
      <c r="A309" s="199"/>
      <c r="B309" s="214"/>
      <c r="E309" s="212"/>
      <c r="L309" s="213"/>
      <c r="M309" s="174"/>
      <c r="N309" s="213"/>
    </row>
    <row r="310" ht="12.75" customHeight="1">
      <c r="A310" s="199"/>
      <c r="B310" s="214"/>
      <c r="E310" s="212"/>
      <c r="L310" s="213"/>
      <c r="M310" s="174"/>
      <c r="N310" s="213"/>
    </row>
    <row r="311" ht="12.75" customHeight="1">
      <c r="A311" s="199"/>
      <c r="B311" s="214"/>
      <c r="E311" s="212"/>
      <c r="L311" s="213"/>
      <c r="M311" s="174"/>
      <c r="N311" s="213"/>
    </row>
    <row r="312" ht="12.75" customHeight="1">
      <c r="A312" s="199"/>
      <c r="B312" s="214"/>
      <c r="E312" s="212"/>
      <c r="L312" s="213"/>
      <c r="M312" s="174"/>
      <c r="N312" s="213"/>
    </row>
    <row r="313" ht="12.75" customHeight="1">
      <c r="A313" s="199"/>
      <c r="B313" s="214"/>
      <c r="E313" s="212"/>
      <c r="L313" s="213"/>
      <c r="M313" s="174"/>
      <c r="N313" s="213"/>
    </row>
    <row r="314" ht="12.75" customHeight="1">
      <c r="A314" s="199"/>
      <c r="B314" s="214"/>
      <c r="E314" s="212"/>
      <c r="L314" s="213"/>
      <c r="M314" s="174"/>
      <c r="N314" s="213"/>
    </row>
    <row r="315" ht="12.75" customHeight="1">
      <c r="A315" s="199"/>
      <c r="B315" s="214"/>
      <c r="E315" s="212"/>
      <c r="L315" s="213"/>
      <c r="M315" s="174"/>
      <c r="N315" s="213"/>
    </row>
    <row r="316" ht="12.75" customHeight="1">
      <c r="A316" s="199"/>
      <c r="B316" s="214"/>
      <c r="E316" s="212"/>
      <c r="L316" s="213"/>
      <c r="M316" s="174"/>
      <c r="N316" s="213"/>
    </row>
    <row r="317" ht="12.75" customHeight="1">
      <c r="A317" s="199"/>
      <c r="B317" s="214"/>
      <c r="E317" s="212"/>
      <c r="L317" s="213"/>
      <c r="M317" s="174"/>
      <c r="N317" s="213"/>
    </row>
    <row r="318" ht="12.75" customHeight="1">
      <c r="A318" s="199"/>
      <c r="B318" s="214"/>
      <c r="E318" s="212"/>
      <c r="L318" s="213"/>
      <c r="M318" s="174"/>
      <c r="N318" s="213"/>
    </row>
    <row r="319" ht="12.75" customHeight="1">
      <c r="A319" s="199"/>
      <c r="B319" s="214"/>
      <c r="E319" s="212"/>
      <c r="L319" s="213"/>
      <c r="M319" s="174"/>
      <c r="N319" s="213"/>
    </row>
    <row r="320" ht="12.75" customHeight="1">
      <c r="A320" s="199"/>
      <c r="B320" s="214"/>
      <c r="E320" s="212"/>
      <c r="L320" s="213"/>
      <c r="M320" s="174"/>
      <c r="N320" s="213"/>
    </row>
    <row r="321" ht="12.75" customHeight="1">
      <c r="A321" s="199"/>
      <c r="B321" s="214"/>
      <c r="E321" s="212"/>
      <c r="L321" s="213"/>
      <c r="M321" s="174"/>
      <c r="N321" s="213"/>
    </row>
    <row r="322" ht="12.75" customHeight="1">
      <c r="A322" s="199"/>
      <c r="B322" s="214"/>
      <c r="E322" s="212"/>
      <c r="L322" s="213"/>
      <c r="M322" s="174"/>
      <c r="N322" s="213"/>
    </row>
    <row r="323" ht="12.75" customHeight="1">
      <c r="A323" s="199"/>
      <c r="B323" s="214"/>
      <c r="E323" s="212"/>
      <c r="L323" s="213"/>
      <c r="M323" s="174"/>
      <c r="N323" s="213"/>
    </row>
    <row r="324" ht="12.75" customHeight="1">
      <c r="A324" s="199"/>
      <c r="B324" s="214"/>
      <c r="E324" s="212"/>
      <c r="L324" s="213"/>
      <c r="M324" s="174"/>
      <c r="N324" s="213"/>
    </row>
    <row r="325" ht="12.75" customHeight="1">
      <c r="A325" s="199"/>
      <c r="B325" s="214"/>
      <c r="E325" s="212"/>
      <c r="L325" s="213"/>
      <c r="M325" s="174"/>
      <c r="N325" s="213"/>
    </row>
    <row r="326" ht="12.75" customHeight="1">
      <c r="A326" s="199"/>
      <c r="B326" s="214"/>
      <c r="E326" s="212"/>
      <c r="L326" s="213"/>
      <c r="M326" s="174"/>
      <c r="N326" s="213"/>
    </row>
    <row r="327" ht="12.75" customHeight="1">
      <c r="A327" s="199"/>
      <c r="B327" s="214"/>
      <c r="E327" s="212"/>
      <c r="L327" s="213"/>
      <c r="M327" s="174"/>
      <c r="N327" s="213"/>
    </row>
    <row r="328" ht="12.75" customHeight="1">
      <c r="A328" s="199"/>
      <c r="B328" s="214"/>
      <c r="E328" s="212"/>
      <c r="L328" s="213"/>
      <c r="M328" s="174"/>
      <c r="N328" s="213"/>
    </row>
    <row r="329" ht="12.75" customHeight="1">
      <c r="A329" s="199"/>
      <c r="B329" s="214"/>
      <c r="E329" s="212"/>
      <c r="L329" s="213"/>
      <c r="M329" s="174"/>
      <c r="N329" s="213"/>
    </row>
    <row r="330" ht="12.75" customHeight="1">
      <c r="A330" s="199"/>
      <c r="B330" s="214"/>
      <c r="E330" s="212"/>
      <c r="L330" s="213"/>
      <c r="M330" s="174"/>
      <c r="N330" s="213"/>
    </row>
    <row r="331" ht="12.75" customHeight="1">
      <c r="A331" s="199"/>
      <c r="B331" s="214"/>
      <c r="E331" s="212"/>
      <c r="L331" s="213"/>
      <c r="M331" s="174"/>
      <c r="N331" s="213"/>
    </row>
    <row r="332" ht="12.75" customHeight="1">
      <c r="A332" s="199"/>
      <c r="B332" s="214"/>
      <c r="E332" s="212"/>
      <c r="L332" s="213"/>
      <c r="M332" s="174"/>
      <c r="N332" s="213"/>
    </row>
    <row r="333" ht="12.75" customHeight="1">
      <c r="A333" s="199"/>
      <c r="B333" s="214"/>
      <c r="E333" s="212"/>
      <c r="L333" s="213"/>
      <c r="M333" s="174"/>
      <c r="N333" s="213"/>
    </row>
    <row r="334" ht="12.75" customHeight="1">
      <c r="A334" s="199"/>
      <c r="B334" s="214"/>
      <c r="E334" s="212"/>
      <c r="L334" s="213"/>
      <c r="M334" s="174"/>
      <c r="N334" s="213"/>
    </row>
    <row r="335" ht="12.75" customHeight="1">
      <c r="A335" s="199"/>
      <c r="B335" s="214"/>
      <c r="E335" s="212"/>
      <c r="L335" s="213"/>
      <c r="M335" s="174"/>
      <c r="N335" s="213"/>
    </row>
    <row r="336" ht="12.75" customHeight="1">
      <c r="A336" s="199"/>
      <c r="B336" s="214"/>
      <c r="E336" s="212"/>
      <c r="L336" s="213"/>
      <c r="M336" s="174"/>
      <c r="N336" s="213"/>
    </row>
    <row r="337" ht="12.75" customHeight="1">
      <c r="A337" s="199"/>
      <c r="B337" s="214"/>
      <c r="E337" s="212"/>
      <c r="L337" s="213"/>
      <c r="M337" s="174"/>
      <c r="N337" s="213"/>
    </row>
    <row r="338" ht="12.75" customHeight="1">
      <c r="A338" s="199"/>
      <c r="B338" s="214"/>
      <c r="E338" s="212"/>
      <c r="L338" s="213"/>
      <c r="M338" s="174"/>
      <c r="N338" s="213"/>
    </row>
    <row r="339" ht="12.75" customHeight="1">
      <c r="A339" s="199"/>
      <c r="B339" s="214"/>
      <c r="E339" s="212"/>
      <c r="L339" s="213"/>
      <c r="M339" s="174"/>
      <c r="N339" s="213"/>
    </row>
    <row r="340" ht="12.75" customHeight="1">
      <c r="A340" s="199"/>
      <c r="B340" s="214"/>
      <c r="E340" s="212"/>
      <c r="L340" s="213"/>
      <c r="M340" s="174"/>
      <c r="N340" s="213"/>
    </row>
    <row r="341" ht="12.75" customHeight="1">
      <c r="A341" s="199"/>
      <c r="B341" s="214"/>
      <c r="E341" s="212"/>
      <c r="L341" s="213"/>
      <c r="M341" s="174"/>
      <c r="N341" s="213"/>
    </row>
    <row r="342" ht="12.75" customHeight="1">
      <c r="A342" s="199"/>
      <c r="B342" s="214"/>
      <c r="E342" s="212"/>
      <c r="L342" s="213"/>
      <c r="M342" s="174"/>
      <c r="N342" s="213"/>
    </row>
    <row r="343" ht="12.75" customHeight="1">
      <c r="A343" s="199"/>
      <c r="B343" s="214"/>
      <c r="E343" s="212"/>
      <c r="L343" s="213"/>
      <c r="M343" s="174"/>
      <c r="N343" s="213"/>
    </row>
    <row r="344" ht="12.75" customHeight="1">
      <c r="A344" s="199"/>
      <c r="B344" s="214"/>
      <c r="E344" s="212"/>
      <c r="L344" s="213"/>
      <c r="M344" s="174"/>
      <c r="N344" s="213"/>
    </row>
    <row r="345" ht="12.75" customHeight="1">
      <c r="A345" s="199"/>
      <c r="B345" s="214"/>
      <c r="E345" s="212"/>
      <c r="L345" s="213"/>
      <c r="M345" s="174"/>
      <c r="N345" s="213"/>
    </row>
    <row r="346" ht="12.75" customHeight="1">
      <c r="A346" s="199"/>
      <c r="B346" s="214"/>
      <c r="E346" s="212"/>
      <c r="L346" s="213"/>
      <c r="M346" s="174"/>
      <c r="N346" s="213"/>
    </row>
    <row r="347" ht="12.75" customHeight="1">
      <c r="A347" s="199"/>
      <c r="B347" s="214"/>
      <c r="E347" s="212"/>
      <c r="L347" s="213"/>
      <c r="M347" s="174"/>
      <c r="N347" s="213"/>
    </row>
    <row r="348" ht="12.75" customHeight="1">
      <c r="A348" s="199"/>
      <c r="B348" s="214"/>
      <c r="E348" s="212"/>
      <c r="L348" s="213"/>
      <c r="M348" s="174"/>
      <c r="N348" s="213"/>
    </row>
    <row r="349" ht="12.75" customHeight="1">
      <c r="A349" s="199"/>
      <c r="B349" s="214"/>
      <c r="E349" s="212"/>
      <c r="L349" s="213"/>
      <c r="M349" s="174"/>
      <c r="N349" s="213"/>
    </row>
    <row r="350" ht="12.75" customHeight="1">
      <c r="A350" s="199"/>
      <c r="B350" s="214"/>
      <c r="E350" s="212"/>
      <c r="L350" s="213"/>
      <c r="M350" s="174"/>
      <c r="N350" s="213"/>
    </row>
    <row r="351" ht="12.75" customHeight="1">
      <c r="A351" s="199"/>
      <c r="B351" s="214"/>
      <c r="E351" s="212"/>
      <c r="L351" s="213"/>
      <c r="M351" s="174"/>
      <c r="N351" s="213"/>
    </row>
    <row r="352" ht="12.75" customHeight="1">
      <c r="A352" s="199"/>
      <c r="B352" s="214"/>
      <c r="E352" s="212"/>
      <c r="L352" s="213"/>
      <c r="M352" s="174"/>
      <c r="N352" s="213"/>
    </row>
    <row r="353" ht="12.75" customHeight="1">
      <c r="A353" s="199"/>
      <c r="B353" s="214"/>
      <c r="E353" s="212"/>
      <c r="L353" s="213"/>
      <c r="M353" s="174"/>
      <c r="N353" s="213"/>
    </row>
    <row r="354" ht="12.75" customHeight="1">
      <c r="A354" s="199"/>
      <c r="B354" s="214"/>
      <c r="E354" s="212"/>
      <c r="L354" s="213"/>
      <c r="M354" s="174"/>
      <c r="N354" s="213"/>
    </row>
    <row r="355" ht="12.75" customHeight="1">
      <c r="A355" s="199"/>
      <c r="B355" s="214"/>
      <c r="E355" s="212"/>
      <c r="L355" s="213"/>
      <c r="M355" s="174"/>
      <c r="N355" s="213"/>
    </row>
    <row r="356" ht="12.75" customHeight="1">
      <c r="A356" s="199"/>
      <c r="B356" s="214"/>
      <c r="E356" s="212"/>
      <c r="L356" s="213"/>
      <c r="M356" s="174"/>
      <c r="N356" s="213"/>
    </row>
    <row r="357" ht="12.75" customHeight="1">
      <c r="A357" s="199"/>
      <c r="B357" s="214"/>
      <c r="E357" s="212"/>
      <c r="L357" s="213"/>
      <c r="M357" s="174"/>
      <c r="N357" s="213"/>
    </row>
    <row r="358" ht="12.75" customHeight="1">
      <c r="A358" s="199"/>
      <c r="B358" s="214"/>
      <c r="E358" s="212"/>
      <c r="L358" s="213"/>
      <c r="M358" s="174"/>
      <c r="N358" s="213"/>
    </row>
    <row r="359" ht="12.75" customHeight="1">
      <c r="A359" s="199"/>
      <c r="B359" s="214"/>
      <c r="E359" s="212"/>
      <c r="L359" s="213"/>
      <c r="M359" s="174"/>
      <c r="N359" s="213"/>
    </row>
    <row r="360" ht="12.75" customHeight="1">
      <c r="A360" s="199"/>
      <c r="B360" s="214"/>
      <c r="E360" s="212"/>
      <c r="L360" s="213"/>
      <c r="M360" s="174"/>
      <c r="N360" s="213"/>
    </row>
    <row r="361" ht="12.75" customHeight="1">
      <c r="A361" s="199"/>
      <c r="B361" s="214"/>
      <c r="E361" s="212"/>
      <c r="L361" s="213"/>
      <c r="M361" s="174"/>
      <c r="N361" s="213"/>
    </row>
    <row r="362" ht="12.75" customHeight="1">
      <c r="A362" s="199"/>
      <c r="B362" s="214"/>
      <c r="E362" s="212"/>
      <c r="L362" s="213"/>
      <c r="M362" s="174"/>
      <c r="N362" s="213"/>
    </row>
    <row r="363" ht="12.75" customHeight="1">
      <c r="A363" s="199"/>
      <c r="B363" s="214"/>
      <c r="E363" s="212"/>
      <c r="L363" s="213"/>
      <c r="M363" s="174"/>
      <c r="N363" s="213"/>
    </row>
    <row r="364" ht="12.75" customHeight="1">
      <c r="A364" s="199"/>
      <c r="B364" s="214"/>
      <c r="E364" s="212"/>
      <c r="L364" s="213"/>
      <c r="M364" s="174"/>
      <c r="N364" s="213"/>
    </row>
    <row r="365" ht="12.75" customHeight="1">
      <c r="A365" s="199"/>
      <c r="B365" s="214"/>
      <c r="E365" s="212"/>
      <c r="L365" s="213"/>
      <c r="M365" s="174"/>
      <c r="N365" s="213"/>
    </row>
    <row r="366" ht="12.75" customHeight="1">
      <c r="A366" s="199"/>
      <c r="B366" s="214"/>
      <c r="E366" s="212"/>
      <c r="L366" s="213"/>
      <c r="M366" s="174"/>
      <c r="N366" s="213"/>
    </row>
    <row r="367" ht="12.75" customHeight="1">
      <c r="A367" s="199"/>
      <c r="B367" s="214"/>
      <c r="E367" s="212"/>
      <c r="L367" s="213"/>
      <c r="M367" s="174"/>
      <c r="N367" s="213"/>
    </row>
    <row r="368" ht="12.75" customHeight="1">
      <c r="A368" s="199"/>
      <c r="B368" s="214"/>
      <c r="E368" s="212"/>
      <c r="L368" s="213"/>
      <c r="M368" s="174"/>
      <c r="N368" s="213"/>
    </row>
    <row r="369" ht="12.75" customHeight="1">
      <c r="A369" s="199"/>
      <c r="B369" s="214"/>
      <c r="E369" s="212"/>
      <c r="L369" s="213"/>
      <c r="M369" s="174"/>
      <c r="N369" s="213"/>
    </row>
    <row r="370" ht="12.75" customHeight="1">
      <c r="A370" s="199"/>
      <c r="B370" s="214"/>
      <c r="E370" s="212"/>
      <c r="L370" s="213"/>
      <c r="M370" s="174"/>
      <c r="N370" s="213"/>
    </row>
    <row r="371" ht="12.75" customHeight="1">
      <c r="A371" s="199"/>
      <c r="B371" s="214"/>
      <c r="E371" s="212"/>
      <c r="L371" s="213"/>
      <c r="M371" s="174"/>
      <c r="N371" s="213"/>
    </row>
    <row r="372" ht="12.75" customHeight="1">
      <c r="A372" s="199"/>
      <c r="B372" s="214"/>
      <c r="E372" s="212"/>
      <c r="L372" s="213"/>
      <c r="M372" s="174"/>
      <c r="N372" s="213"/>
    </row>
    <row r="373" ht="12.75" customHeight="1">
      <c r="A373" s="199"/>
      <c r="B373" s="214"/>
      <c r="E373" s="212"/>
      <c r="L373" s="213"/>
      <c r="M373" s="174"/>
      <c r="N373" s="213"/>
    </row>
    <row r="374" ht="12.75" customHeight="1">
      <c r="A374" s="199"/>
      <c r="B374" s="214"/>
      <c r="E374" s="212"/>
      <c r="L374" s="213"/>
      <c r="M374" s="174"/>
      <c r="N374" s="213"/>
    </row>
    <row r="375" ht="12.75" customHeight="1">
      <c r="A375" s="199"/>
      <c r="B375" s="214"/>
      <c r="E375" s="212"/>
      <c r="L375" s="213"/>
      <c r="M375" s="174"/>
      <c r="N375" s="213"/>
    </row>
    <row r="376" ht="12.75" customHeight="1">
      <c r="A376" s="199"/>
      <c r="B376" s="214"/>
      <c r="E376" s="212"/>
      <c r="L376" s="213"/>
      <c r="M376" s="174"/>
      <c r="N376" s="213"/>
    </row>
    <row r="377" ht="12.75" customHeight="1">
      <c r="A377" s="199"/>
      <c r="B377" s="214"/>
      <c r="E377" s="212"/>
      <c r="L377" s="213"/>
      <c r="M377" s="174"/>
      <c r="N377" s="213"/>
    </row>
    <row r="378" ht="12.75" customHeight="1">
      <c r="A378" s="199"/>
      <c r="B378" s="214"/>
      <c r="E378" s="212"/>
      <c r="L378" s="213"/>
      <c r="M378" s="174"/>
      <c r="N378" s="213"/>
    </row>
    <row r="379" ht="12.75" customHeight="1">
      <c r="A379" s="199"/>
      <c r="B379" s="214"/>
      <c r="E379" s="212"/>
      <c r="L379" s="213"/>
      <c r="M379" s="174"/>
      <c r="N379" s="213"/>
    </row>
    <row r="380" ht="12.75" customHeight="1">
      <c r="A380" s="199"/>
      <c r="B380" s="214"/>
      <c r="E380" s="212"/>
      <c r="L380" s="213"/>
      <c r="M380" s="174"/>
      <c r="N380" s="213"/>
    </row>
    <row r="381" ht="12.75" customHeight="1">
      <c r="A381" s="199"/>
      <c r="B381" s="214"/>
      <c r="E381" s="212"/>
      <c r="L381" s="213"/>
      <c r="M381" s="174"/>
      <c r="N381" s="213"/>
    </row>
    <row r="382" ht="12.75" customHeight="1">
      <c r="A382" s="199"/>
      <c r="B382" s="214"/>
      <c r="E382" s="212"/>
      <c r="L382" s="213"/>
      <c r="M382" s="174"/>
      <c r="N382" s="213"/>
    </row>
    <row r="383" ht="12.75" customHeight="1">
      <c r="A383" s="199"/>
      <c r="B383" s="214"/>
      <c r="E383" s="212"/>
      <c r="L383" s="213"/>
      <c r="M383" s="174"/>
      <c r="N383" s="213"/>
    </row>
    <row r="384" ht="12.75" customHeight="1">
      <c r="A384" s="199"/>
      <c r="B384" s="214"/>
      <c r="E384" s="212"/>
      <c r="L384" s="213"/>
      <c r="M384" s="174"/>
      <c r="N384" s="213"/>
    </row>
    <row r="385" ht="12.75" customHeight="1">
      <c r="A385" s="199"/>
      <c r="B385" s="214"/>
      <c r="E385" s="212"/>
      <c r="L385" s="213"/>
      <c r="M385" s="174"/>
      <c r="N385" s="213"/>
    </row>
    <row r="386" ht="12.75" customHeight="1">
      <c r="A386" s="199"/>
      <c r="B386" s="214"/>
      <c r="E386" s="212"/>
      <c r="L386" s="213"/>
      <c r="M386" s="174"/>
      <c r="N386" s="213"/>
    </row>
    <row r="387" ht="12.75" customHeight="1">
      <c r="A387" s="199"/>
      <c r="B387" s="214"/>
      <c r="E387" s="212"/>
      <c r="L387" s="213"/>
      <c r="M387" s="174"/>
      <c r="N387" s="213"/>
    </row>
    <row r="388" ht="12.75" customHeight="1">
      <c r="A388" s="199"/>
      <c r="B388" s="214"/>
      <c r="E388" s="212"/>
      <c r="L388" s="213"/>
      <c r="M388" s="174"/>
      <c r="N388" s="213"/>
    </row>
    <row r="389" ht="12.75" customHeight="1">
      <c r="A389" s="199"/>
      <c r="B389" s="214"/>
      <c r="E389" s="212"/>
      <c r="L389" s="213"/>
      <c r="M389" s="174"/>
      <c r="N389" s="213"/>
    </row>
    <row r="390" ht="12.75" customHeight="1">
      <c r="A390" s="199"/>
      <c r="B390" s="214"/>
      <c r="E390" s="212"/>
      <c r="L390" s="213"/>
      <c r="M390" s="174"/>
      <c r="N390" s="213"/>
    </row>
    <row r="391" ht="12.75" customHeight="1">
      <c r="A391" s="199"/>
      <c r="B391" s="214"/>
      <c r="E391" s="212"/>
      <c r="L391" s="213"/>
      <c r="M391" s="174"/>
      <c r="N391" s="213"/>
    </row>
    <row r="392" ht="12.75" customHeight="1">
      <c r="A392" s="199"/>
      <c r="B392" s="214"/>
      <c r="E392" s="212"/>
      <c r="L392" s="213"/>
      <c r="M392" s="174"/>
      <c r="N392" s="213"/>
    </row>
    <row r="393" ht="12.75" customHeight="1">
      <c r="A393" s="199"/>
      <c r="B393" s="214"/>
      <c r="E393" s="212"/>
      <c r="L393" s="213"/>
      <c r="M393" s="174"/>
      <c r="N393" s="213"/>
    </row>
    <row r="394" ht="12.75" customHeight="1">
      <c r="A394" s="199"/>
      <c r="B394" s="214"/>
      <c r="E394" s="212"/>
      <c r="L394" s="213"/>
      <c r="M394" s="174"/>
      <c r="N394" s="213"/>
    </row>
    <row r="395" ht="12.75" customHeight="1">
      <c r="A395" s="199"/>
      <c r="B395" s="214"/>
      <c r="E395" s="212"/>
      <c r="L395" s="213"/>
      <c r="M395" s="174"/>
      <c r="N395" s="213"/>
    </row>
    <row r="396" ht="12.75" customHeight="1">
      <c r="A396" s="199"/>
      <c r="B396" s="214"/>
      <c r="E396" s="212"/>
      <c r="L396" s="213"/>
      <c r="M396" s="174"/>
      <c r="N396" s="213"/>
    </row>
    <row r="397" ht="12.75" customHeight="1">
      <c r="A397" s="199"/>
      <c r="B397" s="214"/>
      <c r="E397" s="212"/>
      <c r="L397" s="213"/>
      <c r="M397" s="174"/>
      <c r="N397" s="213"/>
    </row>
    <row r="398" ht="12.75" customHeight="1">
      <c r="A398" s="199"/>
      <c r="B398" s="214"/>
      <c r="E398" s="212"/>
      <c r="L398" s="213"/>
      <c r="M398" s="174"/>
      <c r="N398" s="213"/>
    </row>
    <row r="399" ht="12.75" customHeight="1">
      <c r="A399" s="199"/>
      <c r="B399" s="214"/>
      <c r="E399" s="212"/>
      <c r="L399" s="213"/>
      <c r="M399" s="174"/>
      <c r="N399" s="213"/>
    </row>
    <row r="400" ht="12.75" customHeight="1">
      <c r="A400" s="199"/>
      <c r="B400" s="214"/>
      <c r="E400" s="212"/>
      <c r="L400" s="213"/>
      <c r="M400" s="174"/>
      <c r="N400" s="213"/>
    </row>
    <row r="401" ht="12.75" customHeight="1">
      <c r="A401" s="199"/>
      <c r="B401" s="214"/>
      <c r="E401" s="212"/>
      <c r="L401" s="213"/>
      <c r="M401" s="174"/>
      <c r="N401" s="213"/>
    </row>
    <row r="402" ht="12.75" customHeight="1">
      <c r="A402" s="199"/>
      <c r="B402" s="214"/>
      <c r="E402" s="212"/>
      <c r="L402" s="213"/>
      <c r="M402" s="174"/>
      <c r="N402" s="213"/>
    </row>
    <row r="403" ht="12.75" customHeight="1">
      <c r="A403" s="199"/>
      <c r="B403" s="214"/>
      <c r="E403" s="212"/>
      <c r="L403" s="213"/>
      <c r="M403" s="174"/>
      <c r="N403" s="213"/>
    </row>
    <row r="404" ht="12.75" customHeight="1">
      <c r="A404" s="199"/>
      <c r="B404" s="214"/>
      <c r="E404" s="212"/>
      <c r="L404" s="213"/>
      <c r="M404" s="174"/>
      <c r="N404" s="213"/>
    </row>
    <row r="405" ht="12.75" customHeight="1">
      <c r="A405" s="199"/>
      <c r="B405" s="214"/>
      <c r="E405" s="212"/>
      <c r="L405" s="213"/>
      <c r="M405" s="174"/>
      <c r="N405" s="213"/>
    </row>
    <row r="406" ht="12.75" customHeight="1">
      <c r="A406" s="199"/>
      <c r="B406" s="214"/>
      <c r="E406" s="212"/>
      <c r="L406" s="213"/>
      <c r="M406" s="174"/>
      <c r="N406" s="213"/>
    </row>
    <row r="407" ht="12.75" customHeight="1">
      <c r="A407" s="199"/>
      <c r="B407" s="214"/>
      <c r="E407" s="212"/>
      <c r="L407" s="213"/>
      <c r="M407" s="174"/>
      <c r="N407" s="213"/>
    </row>
    <row r="408" ht="12.75" customHeight="1">
      <c r="A408" s="199"/>
      <c r="B408" s="214"/>
      <c r="E408" s="212"/>
      <c r="L408" s="213"/>
      <c r="M408" s="174"/>
      <c r="N408" s="213"/>
    </row>
    <row r="409" ht="12.75" customHeight="1">
      <c r="A409" s="199"/>
      <c r="B409" s="214"/>
      <c r="E409" s="212"/>
      <c r="L409" s="213"/>
      <c r="M409" s="174"/>
      <c r="N409" s="213"/>
    </row>
    <row r="410" ht="12.75" customHeight="1">
      <c r="A410" s="199"/>
      <c r="B410" s="214"/>
      <c r="E410" s="212"/>
      <c r="L410" s="213"/>
      <c r="M410" s="174"/>
      <c r="N410" s="213"/>
    </row>
    <row r="411" ht="12.75" customHeight="1">
      <c r="A411" s="199"/>
      <c r="B411" s="214"/>
      <c r="E411" s="212"/>
      <c r="L411" s="213"/>
      <c r="M411" s="174"/>
      <c r="N411" s="213"/>
    </row>
    <row r="412" ht="12.75" customHeight="1">
      <c r="A412" s="199"/>
      <c r="B412" s="214"/>
      <c r="E412" s="212"/>
      <c r="L412" s="213"/>
      <c r="M412" s="174"/>
      <c r="N412" s="213"/>
    </row>
    <row r="413" ht="12.75" customHeight="1">
      <c r="A413" s="199"/>
      <c r="B413" s="214"/>
      <c r="E413" s="212"/>
      <c r="L413" s="213"/>
      <c r="M413" s="174"/>
      <c r="N413" s="213"/>
    </row>
    <row r="414" ht="12.75" customHeight="1">
      <c r="A414" s="199"/>
      <c r="B414" s="214"/>
      <c r="E414" s="212"/>
      <c r="L414" s="213"/>
      <c r="M414" s="174"/>
      <c r="N414" s="213"/>
    </row>
    <row r="415" ht="12.75" customHeight="1">
      <c r="A415" s="199"/>
      <c r="B415" s="214"/>
      <c r="E415" s="212"/>
      <c r="L415" s="213"/>
      <c r="M415" s="174"/>
      <c r="N415" s="213"/>
    </row>
    <row r="416" ht="12.75" customHeight="1">
      <c r="A416" s="199"/>
      <c r="B416" s="214"/>
      <c r="E416" s="212"/>
      <c r="L416" s="213"/>
      <c r="M416" s="174"/>
      <c r="N416" s="213"/>
    </row>
    <row r="417" ht="12.75" customHeight="1">
      <c r="A417" s="199"/>
      <c r="B417" s="214"/>
      <c r="E417" s="212"/>
      <c r="L417" s="213"/>
      <c r="M417" s="174"/>
      <c r="N417" s="213"/>
    </row>
    <row r="418" ht="12.75" customHeight="1">
      <c r="A418" s="199"/>
      <c r="B418" s="214"/>
      <c r="E418" s="212"/>
      <c r="L418" s="213"/>
      <c r="M418" s="174"/>
      <c r="N418" s="213"/>
    </row>
    <row r="419" ht="12.75" customHeight="1">
      <c r="A419" s="199"/>
      <c r="B419" s="214"/>
      <c r="E419" s="212"/>
      <c r="L419" s="213"/>
      <c r="M419" s="174"/>
      <c r="N419" s="213"/>
    </row>
    <row r="420" ht="12.75" customHeight="1">
      <c r="A420" s="199"/>
      <c r="B420" s="214"/>
      <c r="E420" s="212"/>
      <c r="L420" s="213"/>
      <c r="M420" s="174"/>
      <c r="N420" s="213"/>
    </row>
    <row r="421" ht="12.75" customHeight="1">
      <c r="A421" s="199"/>
      <c r="B421" s="214"/>
      <c r="E421" s="212"/>
      <c r="L421" s="213"/>
      <c r="M421" s="174"/>
      <c r="N421" s="213"/>
    </row>
    <row r="422" ht="12.75" customHeight="1">
      <c r="A422" s="199"/>
      <c r="B422" s="214"/>
      <c r="E422" s="212"/>
      <c r="L422" s="213"/>
      <c r="M422" s="174"/>
      <c r="N422" s="213"/>
    </row>
    <row r="423" ht="12.75" customHeight="1">
      <c r="A423" s="199"/>
      <c r="B423" s="214"/>
      <c r="E423" s="212"/>
      <c r="L423" s="213"/>
      <c r="M423" s="174"/>
      <c r="N423" s="213"/>
    </row>
    <row r="424" ht="12.75" customHeight="1">
      <c r="A424" s="199"/>
      <c r="B424" s="214"/>
      <c r="E424" s="212"/>
      <c r="L424" s="213"/>
      <c r="M424" s="174"/>
      <c r="N424" s="213"/>
    </row>
    <row r="425" ht="12.75" customHeight="1">
      <c r="A425" s="199"/>
      <c r="B425" s="214"/>
      <c r="E425" s="212"/>
      <c r="L425" s="213"/>
      <c r="M425" s="174"/>
      <c r="N425" s="213"/>
    </row>
    <row r="426" ht="12.75" customHeight="1">
      <c r="A426" s="199"/>
      <c r="B426" s="214"/>
      <c r="E426" s="212"/>
      <c r="L426" s="213"/>
      <c r="M426" s="174"/>
      <c r="N426" s="213"/>
    </row>
    <row r="427" ht="12.75" customHeight="1">
      <c r="A427" s="199"/>
      <c r="B427" s="214"/>
      <c r="E427" s="212"/>
      <c r="L427" s="213"/>
      <c r="M427" s="174"/>
      <c r="N427" s="213"/>
    </row>
    <row r="428" ht="12.75" customHeight="1">
      <c r="A428" s="199"/>
      <c r="B428" s="214"/>
      <c r="E428" s="212"/>
      <c r="L428" s="213"/>
      <c r="M428" s="174"/>
      <c r="N428" s="213"/>
    </row>
    <row r="429" ht="12.75" customHeight="1">
      <c r="A429" s="199"/>
      <c r="B429" s="214"/>
      <c r="E429" s="212"/>
      <c r="L429" s="213"/>
      <c r="M429" s="174"/>
      <c r="N429" s="213"/>
    </row>
    <row r="430" ht="12.75" customHeight="1">
      <c r="A430" s="199"/>
      <c r="B430" s="214"/>
      <c r="E430" s="212"/>
      <c r="L430" s="213"/>
      <c r="M430" s="174"/>
      <c r="N430" s="213"/>
    </row>
    <row r="431" ht="12.75" customHeight="1">
      <c r="A431" s="199"/>
      <c r="B431" s="214"/>
      <c r="E431" s="212"/>
      <c r="L431" s="213"/>
      <c r="M431" s="174"/>
      <c r="N431" s="213"/>
    </row>
    <row r="432" ht="12.75" customHeight="1">
      <c r="A432" s="199"/>
      <c r="B432" s="214"/>
      <c r="E432" s="212"/>
      <c r="L432" s="213"/>
      <c r="M432" s="174"/>
      <c r="N432" s="213"/>
    </row>
    <row r="433" ht="12.75" customHeight="1">
      <c r="A433" s="199"/>
      <c r="B433" s="214"/>
      <c r="E433" s="212"/>
      <c r="L433" s="213"/>
      <c r="M433" s="174"/>
      <c r="N433" s="213"/>
    </row>
    <row r="434" ht="12.75" customHeight="1">
      <c r="A434" s="199"/>
      <c r="B434" s="214"/>
      <c r="E434" s="212"/>
      <c r="L434" s="213"/>
      <c r="M434" s="174"/>
      <c r="N434" s="213"/>
    </row>
    <row r="435" ht="12.75" customHeight="1">
      <c r="A435" s="199"/>
      <c r="B435" s="214"/>
      <c r="E435" s="212"/>
      <c r="L435" s="213"/>
      <c r="M435" s="174"/>
      <c r="N435" s="213"/>
    </row>
    <row r="436" ht="12.75" customHeight="1">
      <c r="A436" s="199"/>
      <c r="B436" s="214"/>
      <c r="E436" s="212"/>
      <c r="L436" s="213"/>
      <c r="M436" s="174"/>
      <c r="N436" s="213"/>
    </row>
    <row r="437" ht="12.75" customHeight="1">
      <c r="A437" s="199"/>
      <c r="B437" s="214"/>
      <c r="E437" s="212"/>
      <c r="L437" s="213"/>
      <c r="M437" s="174"/>
      <c r="N437" s="213"/>
    </row>
    <row r="438" ht="12.75" customHeight="1">
      <c r="A438" s="199"/>
      <c r="B438" s="214"/>
      <c r="E438" s="212"/>
      <c r="L438" s="213"/>
      <c r="M438" s="174"/>
      <c r="N438" s="213"/>
    </row>
    <row r="439" ht="12.75" customHeight="1">
      <c r="A439" s="199"/>
      <c r="B439" s="214"/>
      <c r="E439" s="212"/>
      <c r="L439" s="213"/>
      <c r="M439" s="174"/>
      <c r="N439" s="213"/>
    </row>
    <row r="440" ht="12.75" customHeight="1">
      <c r="A440" s="199"/>
      <c r="B440" s="214"/>
      <c r="E440" s="212"/>
      <c r="L440" s="213"/>
      <c r="M440" s="174"/>
      <c r="N440" s="213"/>
    </row>
    <row r="441" ht="12.75" customHeight="1">
      <c r="A441" s="199"/>
      <c r="B441" s="214"/>
      <c r="E441" s="212"/>
      <c r="L441" s="213"/>
      <c r="M441" s="174"/>
      <c r="N441" s="213"/>
    </row>
    <row r="442" ht="12.75" customHeight="1">
      <c r="A442" s="199"/>
      <c r="B442" s="214"/>
      <c r="E442" s="212"/>
      <c r="L442" s="213"/>
      <c r="M442" s="174"/>
      <c r="N442" s="213"/>
    </row>
    <row r="443" ht="12.75" customHeight="1">
      <c r="A443" s="199"/>
      <c r="B443" s="214"/>
      <c r="E443" s="212"/>
      <c r="L443" s="213"/>
      <c r="M443" s="174"/>
      <c r="N443" s="213"/>
    </row>
    <row r="444" ht="12.75" customHeight="1">
      <c r="A444" s="199"/>
      <c r="B444" s="214"/>
      <c r="E444" s="212"/>
      <c r="L444" s="213"/>
      <c r="M444" s="174"/>
      <c r="N444" s="213"/>
    </row>
    <row r="445" ht="12.75" customHeight="1">
      <c r="A445" s="199"/>
      <c r="B445" s="214"/>
      <c r="E445" s="212"/>
      <c r="L445" s="213"/>
      <c r="M445" s="174"/>
      <c r="N445" s="213"/>
    </row>
    <row r="446" ht="12.75" customHeight="1">
      <c r="A446" s="199"/>
      <c r="B446" s="214"/>
      <c r="E446" s="212"/>
      <c r="L446" s="213"/>
      <c r="M446" s="174"/>
      <c r="N446" s="213"/>
    </row>
    <row r="447" ht="12.75" customHeight="1">
      <c r="A447" s="199"/>
      <c r="B447" s="214"/>
      <c r="E447" s="212"/>
      <c r="L447" s="213"/>
      <c r="M447" s="174"/>
      <c r="N447" s="213"/>
    </row>
    <row r="448" ht="12.75" customHeight="1">
      <c r="A448" s="199"/>
      <c r="B448" s="214"/>
      <c r="E448" s="212"/>
      <c r="L448" s="213"/>
      <c r="M448" s="174"/>
      <c r="N448" s="213"/>
    </row>
    <row r="449" ht="12.75" customHeight="1">
      <c r="A449" s="199"/>
      <c r="B449" s="214"/>
      <c r="E449" s="212"/>
      <c r="L449" s="213"/>
      <c r="M449" s="174"/>
      <c r="N449" s="213"/>
    </row>
    <row r="450" ht="12.75" customHeight="1">
      <c r="A450" s="199"/>
      <c r="B450" s="214"/>
      <c r="E450" s="212"/>
      <c r="L450" s="213"/>
      <c r="M450" s="174"/>
      <c r="N450" s="213"/>
    </row>
    <row r="451" ht="12.75" customHeight="1">
      <c r="A451" s="199"/>
      <c r="B451" s="214"/>
      <c r="E451" s="212"/>
      <c r="L451" s="213"/>
      <c r="M451" s="174"/>
      <c r="N451" s="213"/>
    </row>
    <row r="452" ht="12.75" customHeight="1">
      <c r="A452" s="199"/>
      <c r="B452" s="214"/>
      <c r="E452" s="212"/>
      <c r="L452" s="213"/>
      <c r="M452" s="174"/>
      <c r="N452" s="213"/>
    </row>
    <row r="453" ht="12.75" customHeight="1">
      <c r="A453" s="199"/>
      <c r="B453" s="214"/>
      <c r="E453" s="212"/>
      <c r="L453" s="213"/>
      <c r="M453" s="174"/>
      <c r="N453" s="213"/>
    </row>
    <row r="454" ht="12.75" customHeight="1">
      <c r="A454" s="199"/>
      <c r="B454" s="214"/>
      <c r="E454" s="212"/>
      <c r="L454" s="213"/>
      <c r="M454" s="174"/>
      <c r="N454" s="213"/>
    </row>
    <row r="455" ht="12.75" customHeight="1">
      <c r="A455" s="199"/>
      <c r="B455" s="214"/>
      <c r="E455" s="212"/>
      <c r="L455" s="213"/>
      <c r="M455" s="174"/>
      <c r="N455" s="213"/>
    </row>
    <row r="456" ht="12.75" customHeight="1">
      <c r="A456" s="199"/>
      <c r="B456" s="214"/>
      <c r="E456" s="212"/>
      <c r="L456" s="213"/>
      <c r="M456" s="174"/>
      <c r="N456" s="213"/>
    </row>
    <row r="457" ht="12.75" customHeight="1">
      <c r="A457" s="199"/>
      <c r="B457" s="214"/>
      <c r="E457" s="212"/>
      <c r="L457" s="213"/>
      <c r="M457" s="174"/>
      <c r="N457" s="213"/>
    </row>
    <row r="458" ht="12.75" customHeight="1">
      <c r="A458" s="199"/>
      <c r="B458" s="214"/>
      <c r="E458" s="212"/>
      <c r="L458" s="213"/>
      <c r="M458" s="174"/>
      <c r="N458" s="213"/>
    </row>
    <row r="459" ht="12.75" customHeight="1">
      <c r="A459" s="199"/>
      <c r="B459" s="214"/>
      <c r="E459" s="212"/>
      <c r="L459" s="213"/>
      <c r="M459" s="174"/>
      <c r="N459" s="213"/>
    </row>
    <row r="460" ht="12.75" customHeight="1">
      <c r="A460" s="199"/>
      <c r="B460" s="214"/>
      <c r="E460" s="212"/>
      <c r="L460" s="213"/>
      <c r="M460" s="174"/>
      <c r="N460" s="213"/>
    </row>
    <row r="461" ht="12.75" customHeight="1">
      <c r="A461" s="199"/>
      <c r="B461" s="214"/>
      <c r="E461" s="212"/>
      <c r="L461" s="213"/>
      <c r="M461" s="174"/>
      <c r="N461" s="213"/>
    </row>
    <row r="462" ht="12.75" customHeight="1">
      <c r="A462" s="199"/>
      <c r="B462" s="214"/>
      <c r="E462" s="212"/>
      <c r="L462" s="213"/>
      <c r="M462" s="174"/>
      <c r="N462" s="213"/>
    </row>
    <row r="463" ht="12.75" customHeight="1">
      <c r="A463" s="199"/>
      <c r="B463" s="214"/>
      <c r="E463" s="212"/>
      <c r="L463" s="213"/>
      <c r="M463" s="174"/>
      <c r="N463" s="213"/>
    </row>
    <row r="464" ht="12.75" customHeight="1">
      <c r="A464" s="199"/>
      <c r="B464" s="214"/>
      <c r="E464" s="212"/>
      <c r="L464" s="213"/>
      <c r="M464" s="174"/>
      <c r="N464" s="213"/>
    </row>
    <row r="465" ht="12.75" customHeight="1">
      <c r="A465" s="199"/>
      <c r="B465" s="214"/>
      <c r="E465" s="212"/>
      <c r="L465" s="213"/>
      <c r="M465" s="174"/>
      <c r="N465" s="213"/>
    </row>
    <row r="466" ht="12.75" customHeight="1">
      <c r="A466" s="199"/>
      <c r="B466" s="214"/>
      <c r="E466" s="212"/>
      <c r="L466" s="213"/>
      <c r="M466" s="174"/>
      <c r="N466" s="213"/>
    </row>
    <row r="467" ht="12.75" customHeight="1">
      <c r="A467" s="199"/>
      <c r="B467" s="214"/>
      <c r="E467" s="212"/>
      <c r="L467" s="213"/>
      <c r="M467" s="174"/>
      <c r="N467" s="213"/>
    </row>
    <row r="468" ht="12.75" customHeight="1">
      <c r="A468" s="199"/>
      <c r="B468" s="214"/>
      <c r="E468" s="212"/>
      <c r="L468" s="213"/>
      <c r="M468" s="174"/>
      <c r="N468" s="213"/>
    </row>
    <row r="469" ht="12.75" customHeight="1">
      <c r="A469" s="199"/>
      <c r="B469" s="214"/>
      <c r="E469" s="212"/>
      <c r="L469" s="213"/>
      <c r="M469" s="174"/>
      <c r="N469" s="213"/>
    </row>
    <row r="470" ht="12.75" customHeight="1">
      <c r="A470" s="199"/>
      <c r="B470" s="214"/>
      <c r="E470" s="212"/>
      <c r="L470" s="213"/>
      <c r="M470" s="174"/>
      <c r="N470" s="213"/>
    </row>
    <row r="471" ht="12.75" customHeight="1">
      <c r="A471" s="199"/>
      <c r="B471" s="214"/>
      <c r="E471" s="212"/>
      <c r="L471" s="213"/>
      <c r="M471" s="174"/>
      <c r="N471" s="213"/>
    </row>
    <row r="472" ht="12.75" customHeight="1">
      <c r="A472" s="199"/>
      <c r="B472" s="214"/>
      <c r="E472" s="212"/>
      <c r="L472" s="213"/>
      <c r="M472" s="174"/>
      <c r="N472" s="213"/>
    </row>
    <row r="473" ht="12.75" customHeight="1">
      <c r="A473" s="199"/>
      <c r="B473" s="214"/>
      <c r="E473" s="212"/>
      <c r="L473" s="213"/>
      <c r="M473" s="174"/>
      <c r="N473" s="213"/>
    </row>
    <row r="474" ht="12.75" customHeight="1">
      <c r="A474" s="199"/>
      <c r="B474" s="214"/>
      <c r="E474" s="212"/>
      <c r="L474" s="213"/>
      <c r="M474" s="174"/>
      <c r="N474" s="213"/>
    </row>
    <row r="475" ht="12.75" customHeight="1">
      <c r="A475" s="199"/>
      <c r="B475" s="214"/>
      <c r="E475" s="212"/>
      <c r="L475" s="213"/>
      <c r="M475" s="174"/>
      <c r="N475" s="213"/>
    </row>
    <row r="476" ht="12.75" customHeight="1">
      <c r="A476" s="199"/>
      <c r="B476" s="214"/>
      <c r="E476" s="212"/>
      <c r="L476" s="213"/>
      <c r="M476" s="174"/>
      <c r="N476" s="213"/>
    </row>
    <row r="477" ht="12.75" customHeight="1">
      <c r="A477" s="199"/>
      <c r="B477" s="214"/>
      <c r="E477" s="212"/>
      <c r="L477" s="213"/>
      <c r="M477" s="174"/>
      <c r="N477" s="213"/>
    </row>
    <row r="478" ht="12.75" customHeight="1">
      <c r="A478" s="199"/>
      <c r="B478" s="214"/>
      <c r="E478" s="212"/>
      <c r="L478" s="213"/>
      <c r="M478" s="174"/>
      <c r="N478" s="213"/>
    </row>
    <row r="479" ht="12.75" customHeight="1">
      <c r="A479" s="199"/>
      <c r="B479" s="214"/>
      <c r="E479" s="212"/>
      <c r="L479" s="213"/>
      <c r="M479" s="174"/>
      <c r="N479" s="213"/>
    </row>
    <row r="480" ht="12.75" customHeight="1">
      <c r="A480" s="199"/>
      <c r="B480" s="214"/>
      <c r="E480" s="212"/>
      <c r="L480" s="213"/>
      <c r="M480" s="174"/>
      <c r="N480" s="213"/>
    </row>
    <row r="481" ht="12.75" customHeight="1">
      <c r="A481" s="199"/>
      <c r="B481" s="214"/>
      <c r="E481" s="212"/>
      <c r="L481" s="213"/>
      <c r="M481" s="174"/>
      <c r="N481" s="213"/>
    </row>
    <row r="482" ht="12.75" customHeight="1">
      <c r="A482" s="199"/>
      <c r="B482" s="214"/>
      <c r="E482" s="212"/>
      <c r="L482" s="213"/>
      <c r="M482" s="174"/>
      <c r="N482" s="213"/>
    </row>
    <row r="483" ht="12.75" customHeight="1">
      <c r="A483" s="199"/>
      <c r="B483" s="214"/>
      <c r="E483" s="212"/>
      <c r="L483" s="213"/>
      <c r="M483" s="174"/>
      <c r="N483" s="213"/>
    </row>
    <row r="484" ht="12.75" customHeight="1">
      <c r="A484" s="199"/>
      <c r="B484" s="214"/>
      <c r="E484" s="212"/>
      <c r="L484" s="213"/>
      <c r="M484" s="174"/>
      <c r="N484" s="213"/>
    </row>
    <row r="485" ht="12.75" customHeight="1">
      <c r="A485" s="199"/>
      <c r="B485" s="214"/>
      <c r="E485" s="212"/>
      <c r="L485" s="213"/>
      <c r="M485" s="174"/>
      <c r="N485" s="213"/>
    </row>
    <row r="486" ht="12.75" customHeight="1">
      <c r="A486" s="199"/>
      <c r="B486" s="214"/>
      <c r="E486" s="212"/>
      <c r="L486" s="213"/>
      <c r="M486" s="174"/>
      <c r="N486" s="213"/>
    </row>
    <row r="487" ht="12.75" customHeight="1">
      <c r="A487" s="199"/>
      <c r="B487" s="214"/>
      <c r="E487" s="212"/>
      <c r="L487" s="213"/>
      <c r="M487" s="174"/>
      <c r="N487" s="213"/>
    </row>
    <row r="488" ht="12.75" customHeight="1">
      <c r="A488" s="199"/>
      <c r="B488" s="214"/>
      <c r="E488" s="212"/>
      <c r="L488" s="213"/>
      <c r="M488" s="174"/>
      <c r="N488" s="213"/>
    </row>
    <row r="489" ht="12.75" customHeight="1">
      <c r="A489" s="199"/>
      <c r="B489" s="214"/>
      <c r="E489" s="212"/>
      <c r="L489" s="213"/>
      <c r="M489" s="174"/>
      <c r="N489" s="213"/>
    </row>
    <row r="490" ht="12.75" customHeight="1">
      <c r="A490" s="199"/>
      <c r="B490" s="214"/>
      <c r="E490" s="212"/>
      <c r="L490" s="213"/>
      <c r="M490" s="174"/>
      <c r="N490" s="213"/>
    </row>
    <row r="491" ht="12.75" customHeight="1">
      <c r="A491" s="199"/>
      <c r="B491" s="214"/>
      <c r="E491" s="212"/>
      <c r="L491" s="213"/>
      <c r="M491" s="174"/>
      <c r="N491" s="213"/>
    </row>
    <row r="492" ht="12.75" customHeight="1">
      <c r="A492" s="199"/>
      <c r="B492" s="214"/>
      <c r="E492" s="212"/>
      <c r="L492" s="213"/>
      <c r="M492" s="174"/>
      <c r="N492" s="213"/>
    </row>
    <row r="493" ht="12.75" customHeight="1">
      <c r="A493" s="199"/>
      <c r="B493" s="214"/>
      <c r="E493" s="212"/>
      <c r="L493" s="213"/>
      <c r="M493" s="174"/>
      <c r="N493" s="213"/>
    </row>
    <row r="494" ht="12.75" customHeight="1">
      <c r="A494" s="199"/>
      <c r="B494" s="214"/>
      <c r="E494" s="212"/>
      <c r="L494" s="213"/>
      <c r="M494" s="174"/>
      <c r="N494" s="213"/>
    </row>
    <row r="495" ht="12.75" customHeight="1">
      <c r="A495" s="199"/>
      <c r="B495" s="214"/>
      <c r="E495" s="212"/>
      <c r="L495" s="213"/>
      <c r="M495" s="174"/>
      <c r="N495" s="213"/>
    </row>
    <row r="496" ht="12.75" customHeight="1">
      <c r="A496" s="199"/>
      <c r="B496" s="214"/>
      <c r="E496" s="212"/>
      <c r="L496" s="213"/>
      <c r="M496" s="174"/>
      <c r="N496" s="213"/>
    </row>
    <row r="497" ht="12.75" customHeight="1">
      <c r="A497" s="199"/>
      <c r="B497" s="214"/>
      <c r="E497" s="212"/>
      <c r="L497" s="213"/>
      <c r="M497" s="174"/>
      <c r="N497" s="213"/>
    </row>
    <row r="498" ht="12.75" customHeight="1">
      <c r="A498" s="199"/>
      <c r="B498" s="214"/>
      <c r="E498" s="212"/>
      <c r="L498" s="213"/>
      <c r="M498" s="174"/>
      <c r="N498" s="213"/>
    </row>
    <row r="499" ht="12.75" customHeight="1">
      <c r="A499" s="199"/>
      <c r="B499" s="214"/>
      <c r="E499" s="212"/>
      <c r="L499" s="213"/>
      <c r="M499" s="174"/>
      <c r="N499" s="213"/>
    </row>
    <row r="500" ht="12.75" customHeight="1">
      <c r="A500" s="199"/>
      <c r="B500" s="214"/>
      <c r="E500" s="212"/>
      <c r="L500" s="213"/>
      <c r="M500" s="174"/>
      <c r="N500" s="213"/>
    </row>
    <row r="501" ht="12.75" customHeight="1">
      <c r="A501" s="199"/>
      <c r="B501" s="214"/>
      <c r="E501" s="212"/>
      <c r="L501" s="213"/>
      <c r="M501" s="174"/>
      <c r="N501" s="213"/>
    </row>
    <row r="502" ht="12.75" customHeight="1">
      <c r="A502" s="199"/>
      <c r="B502" s="214"/>
      <c r="E502" s="212"/>
      <c r="L502" s="213"/>
      <c r="M502" s="174"/>
      <c r="N502" s="213"/>
    </row>
    <row r="503" ht="12.75" customHeight="1">
      <c r="A503" s="199"/>
      <c r="B503" s="214"/>
      <c r="E503" s="212"/>
      <c r="L503" s="213"/>
      <c r="M503" s="174"/>
      <c r="N503" s="213"/>
    </row>
    <row r="504" ht="12.75" customHeight="1">
      <c r="A504" s="199"/>
      <c r="B504" s="214"/>
      <c r="E504" s="212"/>
      <c r="L504" s="213"/>
      <c r="M504" s="174"/>
      <c r="N504" s="213"/>
    </row>
    <row r="505" ht="12.75" customHeight="1">
      <c r="A505" s="199"/>
      <c r="B505" s="214"/>
      <c r="E505" s="212"/>
      <c r="L505" s="213"/>
      <c r="M505" s="174"/>
      <c r="N505" s="213"/>
    </row>
    <row r="506" ht="12.75" customHeight="1">
      <c r="A506" s="199"/>
      <c r="B506" s="214"/>
      <c r="E506" s="212"/>
      <c r="L506" s="213"/>
      <c r="M506" s="174"/>
      <c r="N506" s="213"/>
    </row>
    <row r="507" ht="12.75" customHeight="1">
      <c r="A507" s="199"/>
      <c r="B507" s="214"/>
      <c r="E507" s="212"/>
      <c r="L507" s="213"/>
      <c r="M507" s="174"/>
      <c r="N507" s="213"/>
    </row>
    <row r="508" ht="12.75" customHeight="1">
      <c r="A508" s="199"/>
      <c r="B508" s="214"/>
      <c r="E508" s="212"/>
      <c r="L508" s="213"/>
      <c r="M508" s="174"/>
      <c r="N508" s="213"/>
    </row>
    <row r="509" ht="12.75" customHeight="1">
      <c r="A509" s="199"/>
      <c r="B509" s="214"/>
      <c r="E509" s="212"/>
      <c r="L509" s="213"/>
      <c r="M509" s="174"/>
      <c r="N509" s="213"/>
    </row>
    <row r="510" ht="12.75" customHeight="1">
      <c r="A510" s="199"/>
      <c r="B510" s="214"/>
      <c r="E510" s="212"/>
      <c r="L510" s="213"/>
      <c r="M510" s="174"/>
      <c r="N510" s="213"/>
    </row>
    <row r="511" ht="12.75" customHeight="1">
      <c r="A511" s="199"/>
      <c r="B511" s="214"/>
      <c r="E511" s="212"/>
      <c r="L511" s="213"/>
      <c r="M511" s="174"/>
      <c r="N511" s="213"/>
    </row>
    <row r="512" ht="12.75" customHeight="1">
      <c r="A512" s="199"/>
      <c r="B512" s="214"/>
      <c r="E512" s="212"/>
      <c r="L512" s="213"/>
      <c r="M512" s="174"/>
      <c r="N512" s="213"/>
    </row>
    <row r="513" ht="12.75" customHeight="1">
      <c r="A513" s="199"/>
      <c r="B513" s="214"/>
      <c r="E513" s="212"/>
      <c r="L513" s="213"/>
      <c r="M513" s="174"/>
      <c r="N513" s="213"/>
    </row>
    <row r="514" ht="12.75" customHeight="1">
      <c r="A514" s="199"/>
      <c r="B514" s="214"/>
      <c r="E514" s="212"/>
      <c r="L514" s="213"/>
      <c r="M514" s="174"/>
      <c r="N514" s="213"/>
    </row>
    <row r="515" ht="12.75" customHeight="1">
      <c r="A515" s="199"/>
      <c r="B515" s="214"/>
      <c r="E515" s="212"/>
      <c r="L515" s="213"/>
      <c r="M515" s="174"/>
      <c r="N515" s="213"/>
    </row>
    <row r="516" ht="12.75" customHeight="1">
      <c r="A516" s="199"/>
      <c r="B516" s="214"/>
      <c r="E516" s="212"/>
      <c r="L516" s="213"/>
      <c r="M516" s="174"/>
      <c r="N516" s="213"/>
    </row>
    <row r="517" ht="12.75" customHeight="1">
      <c r="A517" s="199"/>
      <c r="B517" s="214"/>
      <c r="E517" s="212"/>
      <c r="L517" s="213"/>
      <c r="M517" s="174"/>
      <c r="N517" s="213"/>
    </row>
    <row r="518" ht="12.75" customHeight="1">
      <c r="A518" s="199"/>
      <c r="B518" s="214"/>
      <c r="E518" s="212"/>
      <c r="L518" s="213"/>
      <c r="M518" s="174"/>
      <c r="N518" s="213"/>
    </row>
    <row r="519" ht="12.75" customHeight="1">
      <c r="A519" s="199"/>
      <c r="B519" s="214"/>
      <c r="E519" s="212"/>
      <c r="L519" s="213"/>
      <c r="M519" s="174"/>
      <c r="N519" s="213"/>
    </row>
    <row r="520" ht="12.75" customHeight="1">
      <c r="A520" s="199"/>
      <c r="B520" s="214"/>
      <c r="E520" s="212"/>
      <c r="L520" s="213"/>
      <c r="M520" s="174"/>
      <c r="N520" s="213"/>
    </row>
    <row r="521" ht="12.75" customHeight="1">
      <c r="A521" s="199"/>
      <c r="B521" s="214"/>
      <c r="E521" s="212"/>
      <c r="L521" s="213"/>
      <c r="M521" s="174"/>
      <c r="N521" s="213"/>
    </row>
    <row r="522" ht="12.75" customHeight="1">
      <c r="A522" s="199"/>
      <c r="B522" s="214"/>
      <c r="E522" s="212"/>
      <c r="L522" s="213"/>
      <c r="M522" s="174"/>
      <c r="N522" s="213"/>
    </row>
    <row r="523" ht="12.75" customHeight="1">
      <c r="A523" s="199"/>
      <c r="B523" s="214"/>
      <c r="E523" s="212"/>
      <c r="L523" s="213"/>
      <c r="M523" s="174"/>
      <c r="N523" s="213"/>
    </row>
    <row r="524" ht="12.75" customHeight="1">
      <c r="A524" s="199"/>
      <c r="B524" s="214"/>
      <c r="E524" s="212"/>
      <c r="L524" s="213"/>
      <c r="M524" s="174"/>
      <c r="N524" s="213"/>
    </row>
    <row r="525" ht="12.75" customHeight="1">
      <c r="A525" s="199"/>
      <c r="B525" s="214"/>
      <c r="E525" s="212"/>
      <c r="L525" s="213"/>
      <c r="M525" s="174"/>
      <c r="N525" s="213"/>
    </row>
    <row r="526" ht="12.75" customHeight="1">
      <c r="A526" s="199"/>
      <c r="B526" s="214"/>
      <c r="E526" s="212"/>
      <c r="L526" s="213"/>
      <c r="M526" s="174"/>
      <c r="N526" s="213"/>
    </row>
    <row r="527" ht="12.75" customHeight="1">
      <c r="A527" s="199"/>
      <c r="B527" s="214"/>
      <c r="E527" s="212"/>
      <c r="L527" s="213"/>
      <c r="M527" s="174"/>
      <c r="N527" s="213"/>
    </row>
    <row r="528" ht="12.75" customHeight="1">
      <c r="A528" s="199"/>
      <c r="B528" s="214"/>
      <c r="E528" s="212"/>
      <c r="L528" s="213"/>
      <c r="M528" s="174"/>
      <c r="N528" s="213"/>
    </row>
    <row r="529" ht="12.75" customHeight="1">
      <c r="A529" s="199"/>
      <c r="B529" s="214"/>
      <c r="E529" s="212"/>
      <c r="L529" s="213"/>
      <c r="M529" s="174"/>
      <c r="N529" s="213"/>
    </row>
    <row r="530" ht="12.75" customHeight="1">
      <c r="A530" s="199"/>
      <c r="B530" s="214"/>
      <c r="E530" s="212"/>
      <c r="L530" s="213"/>
      <c r="M530" s="174"/>
      <c r="N530" s="213"/>
    </row>
    <row r="531" ht="12.75" customHeight="1">
      <c r="A531" s="199"/>
      <c r="B531" s="214"/>
      <c r="E531" s="212"/>
      <c r="L531" s="213"/>
      <c r="M531" s="174"/>
      <c r="N531" s="213"/>
    </row>
    <row r="532" ht="12.75" customHeight="1">
      <c r="A532" s="199"/>
      <c r="B532" s="214"/>
      <c r="E532" s="212"/>
      <c r="L532" s="213"/>
      <c r="M532" s="174"/>
      <c r="N532" s="213"/>
    </row>
    <row r="533" ht="12.75" customHeight="1">
      <c r="A533" s="199"/>
      <c r="B533" s="214"/>
      <c r="E533" s="212"/>
      <c r="L533" s="213"/>
      <c r="M533" s="174"/>
      <c r="N533" s="213"/>
    </row>
    <row r="534" ht="12.75" customHeight="1">
      <c r="A534" s="199"/>
      <c r="B534" s="214"/>
      <c r="E534" s="212"/>
      <c r="L534" s="213"/>
      <c r="M534" s="174"/>
      <c r="N534" s="213"/>
    </row>
    <row r="535" ht="12.75" customHeight="1">
      <c r="A535" s="199"/>
      <c r="B535" s="214"/>
      <c r="E535" s="212"/>
      <c r="L535" s="213"/>
      <c r="M535" s="174"/>
      <c r="N535" s="213"/>
    </row>
    <row r="536" ht="12.75" customHeight="1">
      <c r="A536" s="199"/>
      <c r="B536" s="214"/>
      <c r="E536" s="212"/>
      <c r="L536" s="213"/>
      <c r="M536" s="174"/>
      <c r="N536" s="213"/>
    </row>
    <row r="537" ht="12.75" customHeight="1">
      <c r="A537" s="199"/>
      <c r="B537" s="214"/>
      <c r="E537" s="212"/>
      <c r="L537" s="213"/>
      <c r="M537" s="174"/>
      <c r="N537" s="213"/>
    </row>
    <row r="538" ht="12.75" customHeight="1">
      <c r="A538" s="199"/>
      <c r="B538" s="214"/>
      <c r="E538" s="212"/>
      <c r="L538" s="213"/>
      <c r="M538" s="174"/>
      <c r="N538" s="213"/>
    </row>
    <row r="539" ht="12.75" customHeight="1">
      <c r="A539" s="199"/>
      <c r="B539" s="214"/>
      <c r="E539" s="212"/>
      <c r="L539" s="213"/>
      <c r="M539" s="174"/>
      <c r="N539" s="213"/>
    </row>
    <row r="540" ht="12.75" customHeight="1">
      <c r="A540" s="199"/>
      <c r="B540" s="214"/>
      <c r="E540" s="212"/>
      <c r="L540" s="213"/>
      <c r="M540" s="174"/>
      <c r="N540" s="213"/>
    </row>
    <row r="541" ht="12.75" customHeight="1">
      <c r="A541" s="199"/>
      <c r="B541" s="214"/>
      <c r="E541" s="212"/>
      <c r="L541" s="213"/>
      <c r="M541" s="174"/>
      <c r="N541" s="213"/>
    </row>
    <row r="542" ht="12.75" customHeight="1">
      <c r="A542" s="199"/>
      <c r="B542" s="214"/>
      <c r="E542" s="212"/>
      <c r="L542" s="213"/>
      <c r="M542" s="174"/>
      <c r="N542" s="213"/>
    </row>
    <row r="543" ht="12.75" customHeight="1">
      <c r="A543" s="199"/>
      <c r="B543" s="214"/>
      <c r="E543" s="212"/>
      <c r="L543" s="213"/>
      <c r="M543" s="174"/>
      <c r="N543" s="213"/>
    </row>
    <row r="544" ht="12.75" customHeight="1">
      <c r="A544" s="199"/>
      <c r="B544" s="214"/>
      <c r="E544" s="212"/>
      <c r="L544" s="213"/>
      <c r="M544" s="174"/>
      <c r="N544" s="213"/>
    </row>
    <row r="545" ht="12.75" customHeight="1">
      <c r="A545" s="199"/>
      <c r="B545" s="214"/>
      <c r="E545" s="212"/>
      <c r="L545" s="213"/>
      <c r="M545" s="174"/>
      <c r="N545" s="213"/>
    </row>
    <row r="546" ht="12.75" customHeight="1">
      <c r="A546" s="199"/>
      <c r="B546" s="214"/>
      <c r="E546" s="212"/>
      <c r="L546" s="213"/>
      <c r="M546" s="174"/>
      <c r="N546" s="213"/>
    </row>
    <row r="547" ht="12.75" customHeight="1">
      <c r="A547" s="199"/>
      <c r="B547" s="214"/>
      <c r="E547" s="212"/>
      <c r="L547" s="213"/>
      <c r="M547" s="174"/>
      <c r="N547" s="213"/>
    </row>
    <row r="548" ht="12.75" customHeight="1">
      <c r="A548" s="199"/>
      <c r="B548" s="214"/>
      <c r="E548" s="212"/>
      <c r="L548" s="213"/>
      <c r="M548" s="174"/>
      <c r="N548" s="213"/>
    </row>
    <row r="549" ht="12.75" customHeight="1">
      <c r="A549" s="199"/>
      <c r="B549" s="214"/>
      <c r="E549" s="212"/>
      <c r="L549" s="213"/>
      <c r="M549" s="174"/>
      <c r="N549" s="213"/>
    </row>
    <row r="550" ht="12.75" customHeight="1">
      <c r="A550" s="199"/>
      <c r="B550" s="214"/>
      <c r="E550" s="212"/>
      <c r="L550" s="213"/>
      <c r="M550" s="174"/>
      <c r="N550" s="213"/>
    </row>
    <row r="551" ht="12.75" customHeight="1">
      <c r="A551" s="199"/>
      <c r="B551" s="214"/>
      <c r="E551" s="212"/>
      <c r="L551" s="213"/>
      <c r="M551" s="174"/>
      <c r="N551" s="213"/>
    </row>
    <row r="552" ht="12.75" customHeight="1">
      <c r="A552" s="199"/>
      <c r="B552" s="214"/>
      <c r="E552" s="212"/>
      <c r="L552" s="213"/>
      <c r="M552" s="174"/>
      <c r="N552" s="213"/>
    </row>
    <row r="553" ht="12.75" customHeight="1">
      <c r="A553" s="199"/>
      <c r="B553" s="214"/>
      <c r="E553" s="212"/>
      <c r="L553" s="213"/>
      <c r="M553" s="174"/>
      <c r="N553" s="213"/>
    </row>
    <row r="554" ht="12.75" customHeight="1">
      <c r="A554" s="199"/>
      <c r="B554" s="214"/>
      <c r="E554" s="212"/>
      <c r="L554" s="213"/>
      <c r="M554" s="174"/>
      <c r="N554" s="213"/>
    </row>
    <row r="555" ht="12.75" customHeight="1">
      <c r="A555" s="199"/>
      <c r="B555" s="214"/>
      <c r="E555" s="212"/>
      <c r="L555" s="213"/>
      <c r="M555" s="174"/>
      <c r="N555" s="213"/>
    </row>
    <row r="556" ht="12.75" customHeight="1">
      <c r="A556" s="199"/>
      <c r="B556" s="214"/>
      <c r="E556" s="212"/>
      <c r="L556" s="213"/>
      <c r="M556" s="174"/>
      <c r="N556" s="213"/>
    </row>
    <row r="557" ht="12.75" customHeight="1">
      <c r="A557" s="199"/>
      <c r="B557" s="214"/>
      <c r="E557" s="212"/>
      <c r="L557" s="213"/>
      <c r="M557" s="174"/>
      <c r="N557" s="213"/>
    </row>
    <row r="558" ht="12.75" customHeight="1">
      <c r="A558" s="199"/>
      <c r="B558" s="214"/>
      <c r="E558" s="212"/>
      <c r="L558" s="213"/>
      <c r="M558" s="174"/>
      <c r="N558" s="213"/>
    </row>
    <row r="559" ht="12.75" customHeight="1">
      <c r="A559" s="199"/>
      <c r="B559" s="214"/>
      <c r="E559" s="212"/>
      <c r="L559" s="213"/>
      <c r="M559" s="174"/>
      <c r="N559" s="213"/>
    </row>
    <row r="560" ht="12.75" customHeight="1">
      <c r="A560" s="199"/>
      <c r="B560" s="214"/>
      <c r="E560" s="212"/>
      <c r="L560" s="213"/>
      <c r="M560" s="174"/>
      <c r="N560" s="213"/>
    </row>
    <row r="561" ht="12.75" customHeight="1">
      <c r="A561" s="199"/>
      <c r="B561" s="214"/>
      <c r="E561" s="212"/>
      <c r="L561" s="213"/>
      <c r="M561" s="174"/>
      <c r="N561" s="213"/>
    </row>
    <row r="562" ht="12.75" customHeight="1">
      <c r="A562" s="199"/>
      <c r="B562" s="214"/>
      <c r="E562" s="212"/>
      <c r="L562" s="213"/>
      <c r="M562" s="174"/>
      <c r="N562" s="213"/>
    </row>
    <row r="563" ht="12.75" customHeight="1">
      <c r="A563" s="199"/>
      <c r="B563" s="214"/>
      <c r="E563" s="212"/>
      <c r="L563" s="213"/>
      <c r="M563" s="174"/>
      <c r="N563" s="213"/>
    </row>
    <row r="564" ht="12.75" customHeight="1">
      <c r="A564" s="199"/>
      <c r="B564" s="214"/>
      <c r="E564" s="212"/>
      <c r="L564" s="213"/>
      <c r="M564" s="174"/>
      <c r="N564" s="213"/>
    </row>
    <row r="565" ht="12.75" customHeight="1">
      <c r="A565" s="199"/>
      <c r="B565" s="214"/>
      <c r="E565" s="212"/>
      <c r="L565" s="213"/>
      <c r="M565" s="174"/>
      <c r="N565" s="213"/>
    </row>
    <row r="566" ht="12.75" customHeight="1">
      <c r="A566" s="199"/>
      <c r="B566" s="214"/>
      <c r="E566" s="212"/>
      <c r="L566" s="213"/>
      <c r="M566" s="174"/>
      <c r="N566" s="213"/>
    </row>
    <row r="567" ht="12.75" customHeight="1">
      <c r="A567" s="199"/>
      <c r="B567" s="214"/>
      <c r="E567" s="212"/>
      <c r="L567" s="213"/>
      <c r="M567" s="174"/>
      <c r="N567" s="213"/>
    </row>
    <row r="568" ht="12.75" customHeight="1">
      <c r="A568" s="199"/>
      <c r="B568" s="214"/>
      <c r="E568" s="212"/>
      <c r="L568" s="213"/>
      <c r="M568" s="174"/>
      <c r="N568" s="213"/>
    </row>
    <row r="569" ht="12.75" customHeight="1">
      <c r="A569" s="199"/>
      <c r="B569" s="214"/>
      <c r="E569" s="212"/>
      <c r="L569" s="213"/>
      <c r="M569" s="174"/>
      <c r="N569" s="213"/>
    </row>
    <row r="570" ht="12.75" customHeight="1">
      <c r="A570" s="199"/>
      <c r="B570" s="214"/>
      <c r="E570" s="212"/>
      <c r="L570" s="213"/>
      <c r="M570" s="174"/>
      <c r="N570" s="213"/>
    </row>
    <row r="571" ht="12.75" customHeight="1">
      <c r="A571" s="199"/>
      <c r="B571" s="214"/>
      <c r="E571" s="212"/>
      <c r="L571" s="213"/>
      <c r="M571" s="174"/>
      <c r="N571" s="213"/>
    </row>
    <row r="572" ht="12.75" customHeight="1">
      <c r="A572" s="199"/>
      <c r="B572" s="214"/>
      <c r="E572" s="212"/>
      <c r="L572" s="213"/>
      <c r="M572" s="174"/>
      <c r="N572" s="213"/>
    </row>
    <row r="573" ht="12.75" customHeight="1">
      <c r="A573" s="199"/>
      <c r="B573" s="214"/>
      <c r="E573" s="212"/>
      <c r="L573" s="213"/>
      <c r="M573" s="174"/>
      <c r="N573" s="213"/>
    </row>
    <row r="574" ht="12.75" customHeight="1">
      <c r="A574" s="199"/>
      <c r="B574" s="214"/>
      <c r="E574" s="212"/>
      <c r="L574" s="213"/>
      <c r="M574" s="174"/>
      <c r="N574" s="213"/>
    </row>
    <row r="575" ht="12.75" customHeight="1">
      <c r="A575" s="199"/>
      <c r="B575" s="214"/>
      <c r="E575" s="212"/>
      <c r="L575" s="213"/>
      <c r="M575" s="174"/>
      <c r="N575" s="213"/>
    </row>
    <row r="576" ht="12.75" customHeight="1">
      <c r="A576" s="199"/>
      <c r="B576" s="214"/>
      <c r="E576" s="212"/>
      <c r="L576" s="213"/>
      <c r="M576" s="174"/>
      <c r="N576" s="213"/>
    </row>
    <row r="577" ht="12.75" customHeight="1">
      <c r="A577" s="199"/>
      <c r="B577" s="214"/>
      <c r="E577" s="212"/>
      <c r="L577" s="213"/>
      <c r="M577" s="174"/>
      <c r="N577" s="213"/>
    </row>
    <row r="578" ht="12.75" customHeight="1">
      <c r="A578" s="199"/>
      <c r="B578" s="214"/>
      <c r="E578" s="212"/>
      <c r="L578" s="213"/>
      <c r="M578" s="174"/>
      <c r="N578" s="213"/>
    </row>
    <row r="579" ht="12.75" customHeight="1">
      <c r="A579" s="199"/>
      <c r="B579" s="214"/>
      <c r="E579" s="212"/>
      <c r="L579" s="213"/>
      <c r="M579" s="174"/>
      <c r="N579" s="213"/>
    </row>
    <row r="580" ht="12.75" customHeight="1">
      <c r="A580" s="199"/>
      <c r="B580" s="214"/>
      <c r="E580" s="212"/>
      <c r="L580" s="213"/>
      <c r="M580" s="174"/>
      <c r="N580" s="213"/>
    </row>
    <row r="581" ht="12.75" customHeight="1">
      <c r="A581" s="199"/>
      <c r="B581" s="214"/>
      <c r="E581" s="212"/>
      <c r="L581" s="213"/>
      <c r="M581" s="174"/>
      <c r="N581" s="213"/>
    </row>
    <row r="582" ht="12.75" customHeight="1">
      <c r="A582" s="199"/>
      <c r="B582" s="214"/>
      <c r="E582" s="212"/>
      <c r="L582" s="213"/>
      <c r="M582" s="174"/>
      <c r="N582" s="213"/>
    </row>
    <row r="583" ht="12.75" customHeight="1">
      <c r="A583" s="199"/>
      <c r="B583" s="214"/>
      <c r="E583" s="212"/>
      <c r="L583" s="213"/>
      <c r="M583" s="174"/>
      <c r="N583" s="213"/>
    </row>
    <row r="584" ht="12.75" customHeight="1">
      <c r="A584" s="199"/>
      <c r="B584" s="214"/>
      <c r="E584" s="212"/>
      <c r="L584" s="213"/>
      <c r="M584" s="174"/>
      <c r="N584" s="213"/>
    </row>
    <row r="585" ht="12.75" customHeight="1">
      <c r="A585" s="199"/>
      <c r="B585" s="214"/>
      <c r="E585" s="212"/>
      <c r="L585" s="213"/>
      <c r="M585" s="174"/>
      <c r="N585" s="213"/>
    </row>
    <row r="586" ht="12.75" customHeight="1">
      <c r="A586" s="199"/>
      <c r="B586" s="214"/>
      <c r="E586" s="212"/>
      <c r="L586" s="213"/>
      <c r="M586" s="174"/>
      <c r="N586" s="213"/>
    </row>
    <row r="587" ht="12.75" customHeight="1">
      <c r="A587" s="199"/>
      <c r="B587" s="214"/>
      <c r="E587" s="212"/>
      <c r="L587" s="213"/>
      <c r="M587" s="174"/>
      <c r="N587" s="213"/>
    </row>
    <row r="588" ht="12.75" customHeight="1">
      <c r="A588" s="199"/>
      <c r="B588" s="214"/>
      <c r="E588" s="212"/>
      <c r="L588" s="213"/>
      <c r="M588" s="174"/>
      <c r="N588" s="213"/>
    </row>
    <row r="589" ht="12.75" customHeight="1">
      <c r="A589" s="199"/>
      <c r="B589" s="214"/>
      <c r="E589" s="212"/>
      <c r="L589" s="213"/>
      <c r="M589" s="174"/>
      <c r="N589" s="213"/>
    </row>
    <row r="590" ht="12.75" customHeight="1">
      <c r="A590" s="199"/>
      <c r="B590" s="214"/>
      <c r="E590" s="212"/>
      <c r="L590" s="213"/>
      <c r="M590" s="174"/>
      <c r="N590" s="213"/>
    </row>
    <row r="591" ht="12.75" customHeight="1">
      <c r="A591" s="199"/>
      <c r="B591" s="214"/>
      <c r="E591" s="212"/>
      <c r="L591" s="213"/>
      <c r="M591" s="174"/>
      <c r="N591" s="213"/>
    </row>
    <row r="592" ht="12.75" customHeight="1">
      <c r="A592" s="199"/>
      <c r="B592" s="214"/>
      <c r="E592" s="212"/>
      <c r="L592" s="213"/>
      <c r="M592" s="174"/>
      <c r="N592" s="213"/>
    </row>
    <row r="593" ht="12.75" customHeight="1">
      <c r="A593" s="199"/>
      <c r="B593" s="214"/>
      <c r="E593" s="212"/>
      <c r="L593" s="213"/>
      <c r="M593" s="174"/>
      <c r="N593" s="213"/>
    </row>
    <row r="594" ht="12.75" customHeight="1">
      <c r="A594" s="199"/>
      <c r="B594" s="214"/>
      <c r="E594" s="212"/>
      <c r="L594" s="213"/>
      <c r="M594" s="174"/>
      <c r="N594" s="213"/>
    </row>
    <row r="595" ht="12.75" customHeight="1">
      <c r="A595" s="199"/>
      <c r="B595" s="214"/>
      <c r="E595" s="212"/>
      <c r="L595" s="213"/>
      <c r="M595" s="174"/>
      <c r="N595" s="213"/>
    </row>
    <row r="596" ht="12.75" customHeight="1">
      <c r="A596" s="199"/>
      <c r="B596" s="214"/>
      <c r="E596" s="212"/>
      <c r="L596" s="213"/>
      <c r="M596" s="174"/>
      <c r="N596" s="213"/>
    </row>
    <row r="597" ht="12.75" customHeight="1">
      <c r="A597" s="199"/>
      <c r="B597" s="214"/>
      <c r="E597" s="212"/>
      <c r="L597" s="213"/>
      <c r="M597" s="174"/>
      <c r="N597" s="213"/>
    </row>
    <row r="598" ht="12.75" customHeight="1">
      <c r="A598" s="199"/>
      <c r="B598" s="214"/>
      <c r="E598" s="212"/>
      <c r="L598" s="213"/>
      <c r="M598" s="174"/>
      <c r="N598" s="213"/>
    </row>
    <row r="599" ht="12.75" customHeight="1">
      <c r="A599" s="199"/>
      <c r="B599" s="214"/>
      <c r="E599" s="212"/>
      <c r="L599" s="213"/>
      <c r="M599" s="174"/>
      <c r="N599" s="213"/>
    </row>
    <row r="600" ht="12.75" customHeight="1">
      <c r="A600" s="199"/>
      <c r="B600" s="214"/>
      <c r="E600" s="212"/>
      <c r="L600" s="213"/>
      <c r="M600" s="174"/>
      <c r="N600" s="213"/>
    </row>
    <row r="601" ht="12.75" customHeight="1">
      <c r="A601" s="199"/>
      <c r="B601" s="214"/>
      <c r="E601" s="212"/>
      <c r="L601" s="213"/>
      <c r="M601" s="174"/>
      <c r="N601" s="213"/>
    </row>
    <row r="602" ht="12.75" customHeight="1">
      <c r="A602" s="199"/>
      <c r="B602" s="214"/>
      <c r="E602" s="212"/>
      <c r="L602" s="213"/>
      <c r="M602" s="174"/>
      <c r="N602" s="213"/>
    </row>
    <row r="603" ht="12.75" customHeight="1">
      <c r="A603" s="199"/>
      <c r="B603" s="214"/>
      <c r="E603" s="212"/>
      <c r="L603" s="213"/>
      <c r="M603" s="174"/>
      <c r="N603" s="213"/>
    </row>
    <row r="604" ht="12.75" customHeight="1">
      <c r="A604" s="199"/>
      <c r="B604" s="214"/>
      <c r="E604" s="212"/>
      <c r="L604" s="213"/>
      <c r="M604" s="174"/>
      <c r="N604" s="213"/>
    </row>
    <row r="605" ht="12.75" customHeight="1">
      <c r="A605" s="199"/>
      <c r="B605" s="214"/>
      <c r="E605" s="212"/>
      <c r="L605" s="213"/>
      <c r="M605" s="174"/>
      <c r="N605" s="213"/>
    </row>
    <row r="606" ht="12.75" customHeight="1">
      <c r="A606" s="199"/>
      <c r="B606" s="214"/>
      <c r="E606" s="212"/>
      <c r="L606" s="213"/>
      <c r="M606" s="174"/>
      <c r="N606" s="213"/>
    </row>
    <row r="607" ht="12.75" customHeight="1">
      <c r="A607" s="199"/>
      <c r="B607" s="214"/>
      <c r="E607" s="212"/>
      <c r="L607" s="213"/>
      <c r="M607" s="174"/>
      <c r="N607" s="213"/>
    </row>
    <row r="608" ht="12.75" customHeight="1">
      <c r="A608" s="199"/>
      <c r="B608" s="214"/>
      <c r="E608" s="212"/>
      <c r="L608" s="213"/>
      <c r="M608" s="174"/>
      <c r="N608" s="213"/>
    </row>
    <row r="609" ht="12.75" customHeight="1">
      <c r="A609" s="199"/>
      <c r="B609" s="214"/>
      <c r="E609" s="212"/>
      <c r="L609" s="213"/>
      <c r="M609" s="174"/>
      <c r="N609" s="213"/>
    </row>
    <row r="610" ht="12.75" customHeight="1">
      <c r="A610" s="199"/>
      <c r="B610" s="214"/>
      <c r="E610" s="212"/>
      <c r="L610" s="213"/>
      <c r="M610" s="174"/>
      <c r="N610" s="213"/>
    </row>
    <row r="611" ht="12.75" customHeight="1">
      <c r="A611" s="199"/>
      <c r="B611" s="214"/>
      <c r="E611" s="212"/>
      <c r="L611" s="213"/>
      <c r="M611" s="174"/>
      <c r="N611" s="213"/>
    </row>
    <row r="612" ht="12.75" customHeight="1">
      <c r="A612" s="199"/>
      <c r="B612" s="214"/>
      <c r="E612" s="212"/>
      <c r="L612" s="213"/>
      <c r="M612" s="174"/>
      <c r="N612" s="213"/>
    </row>
    <row r="613" ht="12.75" customHeight="1">
      <c r="A613" s="199"/>
      <c r="B613" s="214"/>
      <c r="E613" s="212"/>
      <c r="L613" s="213"/>
      <c r="M613" s="174"/>
      <c r="N613" s="213"/>
    </row>
    <row r="614" ht="12.75" customHeight="1">
      <c r="A614" s="199"/>
      <c r="B614" s="214"/>
      <c r="E614" s="212"/>
      <c r="L614" s="213"/>
      <c r="M614" s="174"/>
      <c r="N614" s="213"/>
    </row>
    <row r="615" ht="12.75" customHeight="1">
      <c r="A615" s="199"/>
      <c r="B615" s="214"/>
      <c r="E615" s="212"/>
      <c r="L615" s="213"/>
      <c r="M615" s="174"/>
      <c r="N615" s="213"/>
    </row>
    <row r="616" ht="12.75" customHeight="1">
      <c r="A616" s="199"/>
      <c r="B616" s="214"/>
      <c r="E616" s="212"/>
      <c r="L616" s="213"/>
      <c r="M616" s="174"/>
      <c r="N616" s="213"/>
    </row>
    <row r="617" ht="12.75" customHeight="1">
      <c r="A617" s="199"/>
      <c r="B617" s="214"/>
      <c r="E617" s="212"/>
      <c r="L617" s="213"/>
      <c r="M617" s="174"/>
      <c r="N617" s="213"/>
    </row>
    <row r="618" ht="12.75" customHeight="1">
      <c r="A618" s="199"/>
      <c r="B618" s="214"/>
      <c r="E618" s="212"/>
      <c r="L618" s="213"/>
      <c r="M618" s="174"/>
      <c r="N618" s="213"/>
    </row>
    <row r="619" ht="12.75" customHeight="1">
      <c r="A619" s="199"/>
      <c r="B619" s="214"/>
      <c r="E619" s="212"/>
      <c r="L619" s="213"/>
      <c r="M619" s="174"/>
      <c r="N619" s="213"/>
    </row>
    <row r="620" ht="12.75" customHeight="1">
      <c r="A620" s="199"/>
      <c r="B620" s="214"/>
      <c r="E620" s="212"/>
      <c r="L620" s="213"/>
      <c r="M620" s="174"/>
      <c r="N620" s="213"/>
    </row>
    <row r="621" ht="12.75" customHeight="1">
      <c r="A621" s="199"/>
      <c r="B621" s="214"/>
      <c r="E621" s="212"/>
      <c r="L621" s="213"/>
      <c r="M621" s="174"/>
      <c r="N621" s="213"/>
    </row>
    <row r="622" ht="12.75" customHeight="1">
      <c r="A622" s="199"/>
      <c r="B622" s="214"/>
      <c r="E622" s="212"/>
      <c r="L622" s="213"/>
      <c r="M622" s="174"/>
      <c r="N622" s="213"/>
    </row>
    <row r="623" ht="12.75" customHeight="1">
      <c r="A623" s="199"/>
      <c r="B623" s="214"/>
      <c r="E623" s="212"/>
      <c r="L623" s="213"/>
      <c r="M623" s="174"/>
      <c r="N623" s="213"/>
    </row>
    <row r="624" ht="12.75" customHeight="1">
      <c r="A624" s="199"/>
      <c r="B624" s="214"/>
      <c r="E624" s="212"/>
      <c r="L624" s="213"/>
      <c r="M624" s="174"/>
      <c r="N624" s="213"/>
    </row>
    <row r="625" ht="12.75" customHeight="1">
      <c r="A625" s="199"/>
      <c r="B625" s="214"/>
      <c r="E625" s="212"/>
      <c r="L625" s="213"/>
      <c r="M625" s="174"/>
      <c r="N625" s="213"/>
    </row>
    <row r="626" ht="12.75" customHeight="1">
      <c r="A626" s="199"/>
      <c r="B626" s="214"/>
      <c r="E626" s="212"/>
      <c r="L626" s="213"/>
      <c r="M626" s="174"/>
      <c r="N626" s="213"/>
    </row>
    <row r="627" ht="12.75" customHeight="1">
      <c r="A627" s="199"/>
      <c r="B627" s="214"/>
      <c r="E627" s="212"/>
      <c r="L627" s="213"/>
      <c r="M627" s="174"/>
      <c r="N627" s="213"/>
    </row>
    <row r="628" ht="12.75" customHeight="1">
      <c r="A628" s="199"/>
      <c r="B628" s="214"/>
      <c r="E628" s="212"/>
      <c r="L628" s="213"/>
      <c r="M628" s="174"/>
      <c r="N628" s="213"/>
    </row>
    <row r="629" ht="12.75" customHeight="1">
      <c r="A629" s="199"/>
      <c r="B629" s="214"/>
      <c r="E629" s="212"/>
      <c r="L629" s="213"/>
      <c r="M629" s="174"/>
      <c r="N629" s="213"/>
    </row>
    <row r="630" ht="12.75" customHeight="1">
      <c r="A630" s="199"/>
      <c r="B630" s="214"/>
      <c r="E630" s="212"/>
      <c r="L630" s="213"/>
      <c r="M630" s="174"/>
      <c r="N630" s="213"/>
    </row>
    <row r="631" ht="12.75" customHeight="1">
      <c r="A631" s="199"/>
      <c r="B631" s="214"/>
      <c r="E631" s="212"/>
      <c r="L631" s="213"/>
      <c r="M631" s="174"/>
      <c r="N631" s="213"/>
    </row>
    <row r="632" ht="12.75" customHeight="1">
      <c r="A632" s="199"/>
      <c r="B632" s="214"/>
      <c r="E632" s="212"/>
      <c r="L632" s="213"/>
      <c r="M632" s="174"/>
      <c r="N632" s="213"/>
    </row>
    <row r="633" ht="12.75" customHeight="1">
      <c r="A633" s="199"/>
      <c r="B633" s="214"/>
      <c r="E633" s="212"/>
      <c r="L633" s="213"/>
      <c r="M633" s="174"/>
      <c r="N633" s="213"/>
    </row>
    <row r="634" ht="12.75" customHeight="1">
      <c r="A634" s="199"/>
      <c r="B634" s="214"/>
      <c r="E634" s="212"/>
      <c r="L634" s="213"/>
      <c r="M634" s="174"/>
      <c r="N634" s="213"/>
    </row>
    <row r="635" ht="12.75" customHeight="1">
      <c r="A635" s="199"/>
      <c r="B635" s="214"/>
      <c r="E635" s="212"/>
      <c r="L635" s="213"/>
      <c r="M635" s="174"/>
      <c r="N635" s="213"/>
    </row>
    <row r="636" ht="12.75" customHeight="1">
      <c r="A636" s="199"/>
      <c r="B636" s="214"/>
      <c r="E636" s="212"/>
      <c r="L636" s="213"/>
      <c r="M636" s="174"/>
      <c r="N636" s="213"/>
    </row>
    <row r="637" ht="12.75" customHeight="1">
      <c r="A637" s="199"/>
      <c r="B637" s="214"/>
      <c r="E637" s="212"/>
      <c r="L637" s="213"/>
      <c r="M637" s="174"/>
      <c r="N637" s="213"/>
    </row>
    <row r="638" ht="12.75" customHeight="1">
      <c r="A638" s="199"/>
      <c r="B638" s="214"/>
      <c r="E638" s="212"/>
      <c r="L638" s="213"/>
      <c r="M638" s="174"/>
      <c r="N638" s="213"/>
    </row>
    <row r="639" ht="12.75" customHeight="1">
      <c r="A639" s="199"/>
      <c r="B639" s="214"/>
      <c r="E639" s="212"/>
      <c r="L639" s="213"/>
      <c r="M639" s="174"/>
      <c r="N639" s="213"/>
    </row>
    <row r="640" ht="12.75" customHeight="1">
      <c r="A640" s="199"/>
      <c r="B640" s="214"/>
      <c r="E640" s="212"/>
      <c r="L640" s="213"/>
      <c r="M640" s="174"/>
      <c r="N640" s="213"/>
    </row>
    <row r="641" ht="12.75" customHeight="1">
      <c r="A641" s="199"/>
      <c r="B641" s="214"/>
      <c r="E641" s="212"/>
      <c r="L641" s="213"/>
      <c r="M641" s="174"/>
      <c r="N641" s="213"/>
    </row>
    <row r="642" ht="12.75" customHeight="1">
      <c r="A642" s="199"/>
      <c r="B642" s="214"/>
      <c r="E642" s="212"/>
      <c r="L642" s="213"/>
      <c r="M642" s="174"/>
      <c r="N642" s="213"/>
    </row>
    <row r="643" ht="12.75" customHeight="1">
      <c r="A643" s="199"/>
      <c r="B643" s="214"/>
      <c r="E643" s="212"/>
      <c r="L643" s="213"/>
      <c r="M643" s="174"/>
      <c r="N643" s="213"/>
    </row>
    <row r="644" ht="12.75" customHeight="1">
      <c r="A644" s="199"/>
      <c r="B644" s="214"/>
      <c r="E644" s="212"/>
      <c r="L644" s="213"/>
      <c r="M644" s="174"/>
      <c r="N644" s="213"/>
    </row>
    <row r="645" ht="12.75" customHeight="1">
      <c r="A645" s="199"/>
      <c r="B645" s="214"/>
      <c r="E645" s="212"/>
      <c r="L645" s="213"/>
      <c r="M645" s="174"/>
      <c r="N645" s="213"/>
    </row>
    <row r="646" ht="12.75" customHeight="1">
      <c r="A646" s="199"/>
      <c r="B646" s="214"/>
      <c r="E646" s="212"/>
      <c r="L646" s="213"/>
      <c r="M646" s="174"/>
      <c r="N646" s="213"/>
    </row>
    <row r="647" ht="12.75" customHeight="1">
      <c r="A647" s="199"/>
      <c r="B647" s="214"/>
      <c r="E647" s="212"/>
      <c r="L647" s="213"/>
      <c r="M647" s="174"/>
      <c r="N647" s="213"/>
    </row>
    <row r="648" ht="12.75" customHeight="1">
      <c r="A648" s="199"/>
      <c r="B648" s="214"/>
      <c r="E648" s="212"/>
      <c r="L648" s="213"/>
      <c r="M648" s="174"/>
      <c r="N648" s="213"/>
    </row>
    <row r="649" ht="12.75" customHeight="1">
      <c r="A649" s="199"/>
      <c r="B649" s="214"/>
      <c r="E649" s="212"/>
      <c r="L649" s="213"/>
      <c r="M649" s="174"/>
      <c r="N649" s="213"/>
    </row>
    <row r="650" ht="12.75" customHeight="1">
      <c r="A650" s="199"/>
      <c r="B650" s="214"/>
      <c r="E650" s="212"/>
      <c r="L650" s="213"/>
      <c r="M650" s="174"/>
      <c r="N650" s="213"/>
    </row>
    <row r="651" ht="12.75" customHeight="1">
      <c r="A651" s="199"/>
      <c r="B651" s="214"/>
      <c r="E651" s="212"/>
      <c r="L651" s="213"/>
      <c r="M651" s="174"/>
      <c r="N651" s="213"/>
    </row>
    <row r="652" ht="12.75" customHeight="1">
      <c r="A652" s="199"/>
      <c r="B652" s="214"/>
      <c r="E652" s="212"/>
      <c r="L652" s="213"/>
      <c r="M652" s="174"/>
      <c r="N652" s="213"/>
    </row>
    <row r="653" ht="12.75" customHeight="1">
      <c r="A653" s="199"/>
      <c r="B653" s="214"/>
      <c r="E653" s="212"/>
      <c r="L653" s="213"/>
      <c r="M653" s="174"/>
      <c r="N653" s="213"/>
    </row>
    <row r="654" ht="12.75" customHeight="1">
      <c r="A654" s="199"/>
      <c r="B654" s="214"/>
      <c r="E654" s="212"/>
      <c r="L654" s="213"/>
      <c r="M654" s="174"/>
      <c r="N654" s="213"/>
    </row>
    <row r="655" ht="12.75" customHeight="1">
      <c r="A655" s="199"/>
      <c r="B655" s="214"/>
      <c r="E655" s="212"/>
      <c r="L655" s="213"/>
      <c r="M655" s="174"/>
      <c r="N655" s="213"/>
    </row>
    <row r="656" ht="12.75" customHeight="1">
      <c r="A656" s="199"/>
      <c r="B656" s="214"/>
      <c r="E656" s="212"/>
      <c r="L656" s="213"/>
      <c r="M656" s="174"/>
      <c r="N656" s="213"/>
    </row>
    <row r="657" ht="12.75" customHeight="1">
      <c r="A657" s="199"/>
      <c r="B657" s="214"/>
      <c r="E657" s="212"/>
      <c r="L657" s="213"/>
      <c r="M657" s="174"/>
      <c r="N657" s="213"/>
    </row>
    <row r="658" ht="12.75" customHeight="1">
      <c r="A658" s="199"/>
      <c r="B658" s="214"/>
      <c r="E658" s="212"/>
      <c r="L658" s="213"/>
      <c r="M658" s="174"/>
      <c r="N658" s="213"/>
    </row>
    <row r="659" ht="12.75" customHeight="1">
      <c r="A659" s="199"/>
      <c r="B659" s="214"/>
      <c r="E659" s="212"/>
      <c r="L659" s="213"/>
      <c r="M659" s="174"/>
      <c r="N659" s="213"/>
    </row>
    <row r="660" ht="12.75" customHeight="1">
      <c r="A660" s="199"/>
      <c r="B660" s="214"/>
      <c r="E660" s="212"/>
      <c r="L660" s="213"/>
      <c r="M660" s="174"/>
      <c r="N660" s="213"/>
    </row>
    <row r="661" ht="12.75" customHeight="1">
      <c r="A661" s="199"/>
      <c r="B661" s="214"/>
      <c r="E661" s="212"/>
      <c r="L661" s="213"/>
      <c r="M661" s="174"/>
      <c r="N661" s="213"/>
    </row>
    <row r="662" ht="12.75" customHeight="1">
      <c r="A662" s="199"/>
      <c r="B662" s="214"/>
      <c r="E662" s="212"/>
      <c r="L662" s="213"/>
      <c r="M662" s="174"/>
      <c r="N662" s="213"/>
    </row>
    <row r="663" ht="12.75" customHeight="1">
      <c r="A663" s="199"/>
      <c r="B663" s="214"/>
      <c r="E663" s="212"/>
      <c r="L663" s="213"/>
      <c r="M663" s="174"/>
      <c r="N663" s="213"/>
    </row>
    <row r="664" ht="12.75" customHeight="1">
      <c r="A664" s="199"/>
      <c r="B664" s="214"/>
      <c r="E664" s="212"/>
      <c r="L664" s="213"/>
      <c r="M664" s="174"/>
      <c r="N664" s="213"/>
    </row>
    <row r="665" ht="12.75" customHeight="1">
      <c r="A665" s="199"/>
      <c r="B665" s="214"/>
      <c r="E665" s="212"/>
      <c r="L665" s="213"/>
      <c r="M665" s="174"/>
      <c r="N665" s="213"/>
    </row>
    <row r="666" ht="12.75" customHeight="1">
      <c r="A666" s="199"/>
      <c r="B666" s="214"/>
      <c r="E666" s="212"/>
      <c r="L666" s="213"/>
      <c r="M666" s="174"/>
      <c r="N666" s="213"/>
    </row>
    <row r="667" ht="12.75" customHeight="1">
      <c r="A667" s="199"/>
      <c r="B667" s="214"/>
      <c r="E667" s="212"/>
      <c r="L667" s="213"/>
      <c r="M667" s="174"/>
      <c r="N667" s="213"/>
    </row>
    <row r="668" ht="12.75" customHeight="1">
      <c r="A668" s="199"/>
      <c r="B668" s="214"/>
      <c r="E668" s="212"/>
      <c r="L668" s="213"/>
      <c r="M668" s="174"/>
      <c r="N668" s="213"/>
    </row>
    <row r="669" ht="12.75" customHeight="1">
      <c r="A669" s="199"/>
      <c r="B669" s="214"/>
      <c r="E669" s="212"/>
      <c r="L669" s="213"/>
      <c r="M669" s="174"/>
      <c r="N669" s="213"/>
    </row>
    <row r="670" ht="12.75" customHeight="1">
      <c r="A670" s="199"/>
      <c r="B670" s="214"/>
      <c r="E670" s="212"/>
      <c r="L670" s="213"/>
      <c r="M670" s="174"/>
      <c r="N670" s="213"/>
    </row>
    <row r="671" ht="12.75" customHeight="1">
      <c r="A671" s="199"/>
      <c r="B671" s="214"/>
      <c r="E671" s="212"/>
      <c r="L671" s="213"/>
      <c r="M671" s="174"/>
      <c r="N671" s="213"/>
    </row>
    <row r="672" ht="12.75" customHeight="1">
      <c r="A672" s="199"/>
      <c r="B672" s="214"/>
      <c r="E672" s="212"/>
      <c r="L672" s="213"/>
      <c r="M672" s="174"/>
      <c r="N672" s="213"/>
    </row>
    <row r="673" ht="12.75" customHeight="1">
      <c r="A673" s="199"/>
      <c r="B673" s="214"/>
      <c r="E673" s="212"/>
      <c r="L673" s="213"/>
      <c r="M673" s="174"/>
      <c r="N673" s="213"/>
    </row>
    <row r="674" ht="12.75" customHeight="1">
      <c r="A674" s="199"/>
      <c r="B674" s="214"/>
      <c r="E674" s="212"/>
      <c r="L674" s="213"/>
      <c r="M674" s="174"/>
      <c r="N674" s="213"/>
    </row>
    <row r="675" ht="12.75" customHeight="1">
      <c r="A675" s="199"/>
      <c r="B675" s="214"/>
      <c r="E675" s="212"/>
      <c r="L675" s="213"/>
      <c r="M675" s="174"/>
      <c r="N675" s="213"/>
    </row>
    <row r="676" ht="12.75" customHeight="1">
      <c r="A676" s="199"/>
      <c r="B676" s="214"/>
      <c r="E676" s="212"/>
      <c r="L676" s="213"/>
      <c r="M676" s="174"/>
      <c r="N676" s="213"/>
    </row>
    <row r="677" ht="12.75" customHeight="1">
      <c r="A677" s="199"/>
      <c r="B677" s="214"/>
      <c r="E677" s="212"/>
      <c r="L677" s="213"/>
      <c r="M677" s="174"/>
      <c r="N677" s="213"/>
    </row>
    <row r="678" ht="12.75" customHeight="1">
      <c r="A678" s="199"/>
      <c r="B678" s="214"/>
      <c r="E678" s="212"/>
      <c r="L678" s="213"/>
      <c r="M678" s="174"/>
      <c r="N678" s="213"/>
    </row>
    <row r="679" ht="12.75" customHeight="1">
      <c r="A679" s="199"/>
      <c r="B679" s="214"/>
      <c r="E679" s="212"/>
      <c r="L679" s="213"/>
      <c r="M679" s="174"/>
      <c r="N679" s="213"/>
    </row>
    <row r="680" ht="12.75" customHeight="1">
      <c r="A680" s="199"/>
      <c r="B680" s="214"/>
      <c r="E680" s="212"/>
      <c r="L680" s="213"/>
      <c r="M680" s="174"/>
      <c r="N680" s="213"/>
    </row>
    <row r="681" ht="12.75" customHeight="1">
      <c r="A681" s="199"/>
      <c r="B681" s="214"/>
      <c r="E681" s="212"/>
      <c r="L681" s="213"/>
      <c r="M681" s="174"/>
      <c r="N681" s="213"/>
    </row>
    <row r="682" ht="12.75" customHeight="1">
      <c r="A682" s="199"/>
      <c r="B682" s="214"/>
      <c r="E682" s="212"/>
      <c r="L682" s="213"/>
      <c r="M682" s="174"/>
      <c r="N682" s="213"/>
    </row>
    <row r="683" ht="12.75" customHeight="1">
      <c r="A683" s="199"/>
      <c r="B683" s="214"/>
      <c r="E683" s="212"/>
      <c r="L683" s="213"/>
      <c r="M683" s="174"/>
      <c r="N683" s="213"/>
    </row>
    <row r="684" ht="12.75" customHeight="1">
      <c r="A684" s="199"/>
      <c r="B684" s="214"/>
      <c r="E684" s="212"/>
      <c r="L684" s="213"/>
      <c r="M684" s="174"/>
      <c r="N684" s="213"/>
    </row>
    <row r="685" ht="12.75" customHeight="1">
      <c r="A685" s="199"/>
      <c r="B685" s="214"/>
      <c r="E685" s="212"/>
      <c r="L685" s="213"/>
      <c r="M685" s="174"/>
      <c r="N685" s="213"/>
    </row>
    <row r="686" ht="12.75" customHeight="1">
      <c r="A686" s="199"/>
      <c r="B686" s="214"/>
      <c r="E686" s="212"/>
      <c r="L686" s="213"/>
      <c r="M686" s="174"/>
      <c r="N686" s="213"/>
    </row>
    <row r="687" ht="12.75" customHeight="1">
      <c r="A687" s="199"/>
      <c r="B687" s="214"/>
      <c r="E687" s="212"/>
      <c r="L687" s="213"/>
      <c r="M687" s="174"/>
      <c r="N687" s="213"/>
    </row>
    <row r="688" ht="12.75" customHeight="1">
      <c r="A688" s="199"/>
      <c r="B688" s="214"/>
      <c r="E688" s="212"/>
      <c r="L688" s="213"/>
      <c r="M688" s="174"/>
      <c r="N688" s="213"/>
    </row>
    <row r="689" ht="12.75" customHeight="1">
      <c r="A689" s="199"/>
      <c r="B689" s="214"/>
      <c r="E689" s="212"/>
      <c r="L689" s="213"/>
      <c r="M689" s="174"/>
      <c r="N689" s="213"/>
    </row>
    <row r="690" ht="12.75" customHeight="1">
      <c r="A690" s="199"/>
      <c r="B690" s="214"/>
      <c r="E690" s="212"/>
      <c r="L690" s="213"/>
      <c r="M690" s="174"/>
      <c r="N690" s="213"/>
    </row>
    <row r="691" ht="12.75" customHeight="1">
      <c r="A691" s="199"/>
      <c r="B691" s="214"/>
      <c r="E691" s="212"/>
      <c r="L691" s="213"/>
      <c r="M691" s="174"/>
      <c r="N691" s="213"/>
    </row>
    <row r="692" ht="12.75" customHeight="1">
      <c r="A692" s="199"/>
      <c r="B692" s="214"/>
      <c r="E692" s="212"/>
      <c r="L692" s="213"/>
      <c r="M692" s="174"/>
      <c r="N692" s="213"/>
    </row>
    <row r="693" ht="12.75" customHeight="1">
      <c r="A693" s="199"/>
      <c r="B693" s="214"/>
      <c r="E693" s="212"/>
      <c r="L693" s="213"/>
      <c r="M693" s="174"/>
      <c r="N693" s="213"/>
    </row>
    <row r="694" ht="12.75" customHeight="1">
      <c r="A694" s="199"/>
      <c r="B694" s="214"/>
      <c r="E694" s="212"/>
      <c r="L694" s="213"/>
      <c r="M694" s="174"/>
      <c r="N694" s="213"/>
    </row>
    <row r="695" ht="12.75" customHeight="1">
      <c r="A695" s="199"/>
      <c r="B695" s="214"/>
      <c r="E695" s="212"/>
      <c r="L695" s="213"/>
      <c r="M695" s="174"/>
      <c r="N695" s="213"/>
    </row>
    <row r="696" ht="12.75" customHeight="1">
      <c r="A696" s="199"/>
      <c r="B696" s="214"/>
      <c r="E696" s="212"/>
      <c r="L696" s="213"/>
      <c r="M696" s="174"/>
      <c r="N696" s="213"/>
    </row>
    <row r="697" ht="12.75" customHeight="1">
      <c r="A697" s="199"/>
      <c r="B697" s="214"/>
      <c r="E697" s="212"/>
      <c r="L697" s="213"/>
      <c r="M697" s="174"/>
      <c r="N697" s="213"/>
    </row>
    <row r="698" ht="12.75" customHeight="1">
      <c r="A698" s="199"/>
      <c r="B698" s="214"/>
      <c r="E698" s="212"/>
      <c r="L698" s="213"/>
      <c r="M698" s="174"/>
      <c r="N698" s="213"/>
    </row>
    <row r="699" ht="12.75" customHeight="1">
      <c r="A699" s="199"/>
      <c r="B699" s="214"/>
      <c r="E699" s="212"/>
      <c r="L699" s="213"/>
      <c r="M699" s="174"/>
      <c r="N699" s="213"/>
    </row>
    <row r="700" ht="12.75" customHeight="1">
      <c r="A700" s="199"/>
      <c r="B700" s="214"/>
      <c r="E700" s="212"/>
      <c r="L700" s="213"/>
      <c r="M700" s="174"/>
      <c r="N700" s="213"/>
    </row>
    <row r="701" ht="12.75" customHeight="1">
      <c r="A701" s="199"/>
      <c r="B701" s="214"/>
      <c r="E701" s="212"/>
      <c r="L701" s="213"/>
      <c r="M701" s="174"/>
      <c r="N701" s="213"/>
    </row>
    <row r="702" ht="12.75" customHeight="1">
      <c r="A702" s="199"/>
      <c r="B702" s="214"/>
      <c r="E702" s="212"/>
      <c r="L702" s="213"/>
      <c r="M702" s="174"/>
      <c r="N702" s="213"/>
    </row>
    <row r="703" ht="12.75" customHeight="1">
      <c r="A703" s="199"/>
      <c r="B703" s="214"/>
      <c r="E703" s="212"/>
      <c r="L703" s="213"/>
      <c r="M703" s="174"/>
      <c r="N703" s="213"/>
    </row>
    <row r="704" ht="12.75" customHeight="1">
      <c r="A704" s="199"/>
      <c r="B704" s="214"/>
      <c r="E704" s="212"/>
      <c r="L704" s="213"/>
      <c r="M704" s="174"/>
      <c r="N704" s="213"/>
    </row>
    <row r="705" ht="12.75" customHeight="1">
      <c r="A705" s="199"/>
      <c r="B705" s="214"/>
      <c r="E705" s="212"/>
      <c r="L705" s="213"/>
      <c r="M705" s="174"/>
      <c r="N705" s="213"/>
    </row>
    <row r="706" ht="12.75" customHeight="1">
      <c r="A706" s="199"/>
      <c r="B706" s="214"/>
      <c r="E706" s="212"/>
      <c r="L706" s="213"/>
      <c r="M706" s="174"/>
      <c r="N706" s="213"/>
    </row>
    <row r="707" ht="12.75" customHeight="1">
      <c r="A707" s="199"/>
      <c r="B707" s="214"/>
      <c r="E707" s="212"/>
      <c r="L707" s="213"/>
      <c r="M707" s="174"/>
      <c r="N707" s="213"/>
    </row>
    <row r="708" ht="12.75" customHeight="1">
      <c r="A708" s="199"/>
      <c r="B708" s="214"/>
      <c r="E708" s="212"/>
      <c r="L708" s="213"/>
      <c r="M708" s="174"/>
      <c r="N708" s="213"/>
    </row>
    <row r="709" ht="12.75" customHeight="1">
      <c r="A709" s="199"/>
      <c r="B709" s="214"/>
      <c r="E709" s="212"/>
      <c r="L709" s="213"/>
      <c r="M709" s="174"/>
      <c r="N709" s="213"/>
    </row>
    <row r="710" ht="12.75" customHeight="1">
      <c r="A710" s="199"/>
      <c r="B710" s="214"/>
      <c r="E710" s="212"/>
      <c r="L710" s="213"/>
      <c r="M710" s="174"/>
      <c r="N710" s="213"/>
    </row>
    <row r="711" ht="12.75" customHeight="1">
      <c r="A711" s="199"/>
      <c r="B711" s="214"/>
      <c r="E711" s="212"/>
      <c r="L711" s="213"/>
      <c r="M711" s="174"/>
      <c r="N711" s="213"/>
    </row>
    <row r="712" ht="12.75" customHeight="1">
      <c r="A712" s="199"/>
      <c r="B712" s="214"/>
      <c r="E712" s="212"/>
      <c r="L712" s="213"/>
      <c r="M712" s="174"/>
      <c r="N712" s="213"/>
    </row>
    <row r="713" ht="12.75" customHeight="1">
      <c r="A713" s="199"/>
      <c r="B713" s="214"/>
      <c r="E713" s="212"/>
      <c r="L713" s="213"/>
      <c r="M713" s="174"/>
      <c r="N713" s="213"/>
    </row>
    <row r="714" ht="12.75" customHeight="1">
      <c r="A714" s="199"/>
      <c r="B714" s="214"/>
      <c r="E714" s="212"/>
      <c r="L714" s="213"/>
      <c r="M714" s="174"/>
      <c r="N714" s="213"/>
    </row>
    <row r="715" ht="12.75" customHeight="1">
      <c r="A715" s="199"/>
      <c r="B715" s="214"/>
      <c r="E715" s="212"/>
      <c r="L715" s="213"/>
      <c r="M715" s="174"/>
      <c r="N715" s="213"/>
    </row>
    <row r="716" ht="12.75" customHeight="1">
      <c r="A716" s="199"/>
      <c r="B716" s="214"/>
      <c r="E716" s="212"/>
      <c r="L716" s="213"/>
      <c r="M716" s="174"/>
      <c r="N716" s="213"/>
    </row>
    <row r="717" ht="12.75" customHeight="1">
      <c r="A717" s="199"/>
      <c r="B717" s="214"/>
      <c r="E717" s="212"/>
      <c r="L717" s="213"/>
      <c r="M717" s="174"/>
      <c r="N717" s="213"/>
    </row>
    <row r="718" ht="12.75" customHeight="1">
      <c r="A718" s="199"/>
      <c r="B718" s="214"/>
      <c r="E718" s="212"/>
      <c r="L718" s="213"/>
      <c r="M718" s="174"/>
      <c r="N718" s="213"/>
    </row>
    <row r="719" ht="12.75" customHeight="1">
      <c r="A719" s="199"/>
      <c r="B719" s="214"/>
      <c r="E719" s="212"/>
      <c r="L719" s="213"/>
      <c r="M719" s="174"/>
      <c r="N719" s="213"/>
    </row>
    <row r="720" ht="12.75" customHeight="1">
      <c r="A720" s="199"/>
      <c r="B720" s="214"/>
      <c r="E720" s="212"/>
      <c r="L720" s="213"/>
      <c r="M720" s="174"/>
      <c r="N720" s="213"/>
    </row>
    <row r="721" ht="12.75" customHeight="1">
      <c r="A721" s="199"/>
      <c r="B721" s="214"/>
      <c r="E721" s="212"/>
      <c r="L721" s="213"/>
      <c r="M721" s="174"/>
      <c r="N721" s="213"/>
    </row>
    <row r="722" ht="12.75" customHeight="1">
      <c r="A722" s="199"/>
      <c r="B722" s="214"/>
      <c r="E722" s="212"/>
      <c r="L722" s="213"/>
      <c r="M722" s="174"/>
      <c r="N722" s="213"/>
    </row>
    <row r="723" ht="12.75" customHeight="1">
      <c r="A723" s="199"/>
      <c r="B723" s="214"/>
      <c r="E723" s="212"/>
      <c r="L723" s="213"/>
      <c r="M723" s="174"/>
      <c r="N723" s="213"/>
    </row>
    <row r="724" ht="12.75" customHeight="1">
      <c r="A724" s="199"/>
      <c r="B724" s="214"/>
      <c r="E724" s="212"/>
      <c r="L724" s="213"/>
      <c r="M724" s="174"/>
      <c r="N724" s="213"/>
    </row>
    <row r="725" ht="12.75" customHeight="1">
      <c r="A725" s="199"/>
      <c r="B725" s="214"/>
      <c r="E725" s="212"/>
      <c r="L725" s="213"/>
      <c r="M725" s="174"/>
      <c r="N725" s="213"/>
    </row>
    <row r="726" ht="12.75" customHeight="1">
      <c r="A726" s="199"/>
      <c r="B726" s="214"/>
      <c r="E726" s="212"/>
      <c r="L726" s="213"/>
      <c r="M726" s="174"/>
      <c r="N726" s="213"/>
    </row>
    <row r="727" ht="12.75" customHeight="1">
      <c r="A727" s="199"/>
      <c r="B727" s="214"/>
      <c r="E727" s="212"/>
      <c r="L727" s="213"/>
      <c r="M727" s="174"/>
      <c r="N727" s="213"/>
    </row>
    <row r="728" ht="12.75" customHeight="1">
      <c r="A728" s="199"/>
      <c r="B728" s="214"/>
      <c r="E728" s="212"/>
      <c r="L728" s="213"/>
      <c r="M728" s="174"/>
      <c r="N728" s="213"/>
    </row>
    <row r="729" ht="12.75" customHeight="1">
      <c r="A729" s="199"/>
      <c r="B729" s="214"/>
      <c r="E729" s="212"/>
      <c r="L729" s="213"/>
      <c r="M729" s="174"/>
      <c r="N729" s="213"/>
    </row>
    <row r="730" ht="12.75" customHeight="1">
      <c r="A730" s="199"/>
      <c r="B730" s="214"/>
      <c r="E730" s="212"/>
      <c r="L730" s="213"/>
      <c r="M730" s="174"/>
      <c r="N730" s="213"/>
    </row>
    <row r="731" ht="12.75" customHeight="1">
      <c r="A731" s="199"/>
      <c r="B731" s="214"/>
      <c r="E731" s="212"/>
      <c r="L731" s="213"/>
      <c r="M731" s="174"/>
      <c r="N731" s="213"/>
    </row>
    <row r="732" ht="12.75" customHeight="1">
      <c r="A732" s="199"/>
      <c r="B732" s="214"/>
      <c r="E732" s="212"/>
      <c r="L732" s="213"/>
      <c r="M732" s="174"/>
      <c r="N732" s="213"/>
    </row>
    <row r="733" ht="12.75" customHeight="1">
      <c r="A733" s="199"/>
      <c r="B733" s="214"/>
      <c r="E733" s="212"/>
      <c r="L733" s="213"/>
      <c r="M733" s="174"/>
      <c r="N733" s="213"/>
    </row>
    <row r="734" ht="12.75" customHeight="1">
      <c r="A734" s="199"/>
      <c r="B734" s="214"/>
      <c r="E734" s="212"/>
      <c r="L734" s="213"/>
      <c r="M734" s="174"/>
      <c r="N734" s="213"/>
    </row>
    <row r="735" ht="12.75" customHeight="1">
      <c r="A735" s="199"/>
      <c r="B735" s="214"/>
      <c r="E735" s="212"/>
      <c r="L735" s="213"/>
      <c r="M735" s="174"/>
      <c r="N735" s="213"/>
    </row>
    <row r="736" ht="12.75" customHeight="1">
      <c r="A736" s="199"/>
      <c r="B736" s="214"/>
      <c r="E736" s="212"/>
      <c r="L736" s="213"/>
      <c r="M736" s="174"/>
      <c r="N736" s="213"/>
    </row>
    <row r="737" ht="12.75" customHeight="1">
      <c r="A737" s="199"/>
      <c r="B737" s="214"/>
      <c r="E737" s="212"/>
      <c r="L737" s="213"/>
      <c r="M737" s="174"/>
      <c r="N737" s="213"/>
    </row>
    <row r="738" ht="12.75" customHeight="1">
      <c r="A738" s="199"/>
      <c r="B738" s="214"/>
      <c r="E738" s="212"/>
      <c r="L738" s="213"/>
      <c r="M738" s="174"/>
      <c r="N738" s="213"/>
    </row>
    <row r="739" ht="12.75" customHeight="1">
      <c r="A739" s="199"/>
      <c r="B739" s="214"/>
      <c r="E739" s="212"/>
      <c r="L739" s="213"/>
      <c r="M739" s="174"/>
      <c r="N739" s="213"/>
    </row>
    <row r="740" ht="12.75" customHeight="1">
      <c r="A740" s="199"/>
      <c r="B740" s="214"/>
      <c r="E740" s="212"/>
      <c r="L740" s="213"/>
      <c r="M740" s="174"/>
      <c r="N740" s="213"/>
    </row>
    <row r="741" ht="12.75" customHeight="1">
      <c r="A741" s="199"/>
      <c r="B741" s="214"/>
      <c r="E741" s="212"/>
      <c r="L741" s="213"/>
      <c r="M741" s="174"/>
      <c r="N741" s="213"/>
    </row>
    <row r="742" ht="12.75" customHeight="1">
      <c r="A742" s="199"/>
      <c r="B742" s="214"/>
      <c r="E742" s="212"/>
      <c r="L742" s="213"/>
      <c r="M742" s="174"/>
      <c r="N742" s="213"/>
    </row>
    <row r="743" ht="12.75" customHeight="1">
      <c r="A743" s="199"/>
      <c r="B743" s="214"/>
      <c r="E743" s="212"/>
      <c r="L743" s="213"/>
      <c r="M743" s="174"/>
      <c r="N743" s="213"/>
    </row>
    <row r="744" ht="12.75" customHeight="1">
      <c r="A744" s="199"/>
      <c r="B744" s="214"/>
      <c r="E744" s="212"/>
      <c r="L744" s="213"/>
      <c r="M744" s="174"/>
      <c r="N744" s="213"/>
    </row>
    <row r="745" ht="12.75" customHeight="1">
      <c r="A745" s="199"/>
      <c r="B745" s="214"/>
      <c r="E745" s="212"/>
      <c r="L745" s="213"/>
      <c r="M745" s="174"/>
      <c r="N745" s="213"/>
    </row>
    <row r="746" ht="12.75" customHeight="1">
      <c r="A746" s="199"/>
      <c r="B746" s="214"/>
      <c r="E746" s="212"/>
      <c r="L746" s="213"/>
      <c r="M746" s="174"/>
      <c r="N746" s="213"/>
    </row>
    <row r="747" ht="12.75" customHeight="1">
      <c r="A747" s="199"/>
      <c r="B747" s="214"/>
      <c r="E747" s="212"/>
      <c r="L747" s="213"/>
      <c r="M747" s="174"/>
      <c r="N747" s="213"/>
    </row>
    <row r="748" ht="12.75" customHeight="1">
      <c r="A748" s="199"/>
      <c r="B748" s="214"/>
      <c r="E748" s="212"/>
      <c r="L748" s="213"/>
      <c r="M748" s="174"/>
      <c r="N748" s="213"/>
    </row>
    <row r="749" ht="12.75" customHeight="1">
      <c r="A749" s="199"/>
      <c r="B749" s="214"/>
      <c r="E749" s="212"/>
      <c r="L749" s="213"/>
      <c r="M749" s="174"/>
      <c r="N749" s="213"/>
    </row>
    <row r="750" ht="12.75" customHeight="1">
      <c r="A750" s="199"/>
      <c r="B750" s="214"/>
      <c r="E750" s="212"/>
      <c r="L750" s="213"/>
      <c r="M750" s="174"/>
      <c r="N750" s="213"/>
    </row>
    <row r="751" ht="12.75" customHeight="1">
      <c r="A751" s="199"/>
      <c r="B751" s="214"/>
      <c r="E751" s="212"/>
      <c r="L751" s="213"/>
      <c r="M751" s="174"/>
      <c r="N751" s="213"/>
    </row>
    <row r="752" ht="12.75" customHeight="1">
      <c r="A752" s="199"/>
      <c r="B752" s="214"/>
      <c r="E752" s="212"/>
      <c r="L752" s="213"/>
      <c r="M752" s="174"/>
      <c r="N752" s="213"/>
    </row>
    <row r="753" ht="12.75" customHeight="1">
      <c r="A753" s="199"/>
      <c r="B753" s="214"/>
      <c r="E753" s="212"/>
      <c r="L753" s="213"/>
      <c r="M753" s="174"/>
      <c r="N753" s="213"/>
    </row>
    <row r="754" ht="12.75" customHeight="1">
      <c r="A754" s="199"/>
      <c r="B754" s="214"/>
      <c r="E754" s="212"/>
      <c r="L754" s="213"/>
      <c r="M754" s="174"/>
      <c r="N754" s="213"/>
    </row>
    <row r="755" ht="12.75" customHeight="1">
      <c r="A755" s="199"/>
      <c r="B755" s="214"/>
      <c r="E755" s="212"/>
      <c r="L755" s="213"/>
      <c r="M755" s="174"/>
      <c r="N755" s="213"/>
    </row>
    <row r="756" ht="12.75" customHeight="1">
      <c r="A756" s="199"/>
      <c r="B756" s="214"/>
      <c r="E756" s="212"/>
      <c r="L756" s="213"/>
      <c r="M756" s="174"/>
      <c r="N756" s="213"/>
    </row>
    <row r="757" ht="12.75" customHeight="1">
      <c r="A757" s="199"/>
      <c r="B757" s="214"/>
      <c r="E757" s="212"/>
      <c r="L757" s="213"/>
      <c r="M757" s="174"/>
      <c r="N757" s="213"/>
    </row>
    <row r="758" ht="12.75" customHeight="1">
      <c r="A758" s="199"/>
      <c r="B758" s="214"/>
      <c r="E758" s="212"/>
      <c r="L758" s="213"/>
      <c r="M758" s="174"/>
      <c r="N758" s="213"/>
    </row>
    <row r="759" ht="12.75" customHeight="1">
      <c r="A759" s="199"/>
      <c r="B759" s="214"/>
      <c r="E759" s="212"/>
      <c r="L759" s="213"/>
      <c r="M759" s="174"/>
      <c r="N759" s="213"/>
    </row>
    <row r="760" ht="12.75" customHeight="1">
      <c r="A760" s="199"/>
      <c r="B760" s="214"/>
      <c r="E760" s="212"/>
      <c r="L760" s="213"/>
      <c r="M760" s="174"/>
      <c r="N760" s="213"/>
    </row>
    <row r="761" ht="12.75" customHeight="1">
      <c r="A761" s="199"/>
      <c r="B761" s="214"/>
      <c r="E761" s="212"/>
      <c r="L761" s="213"/>
      <c r="M761" s="174"/>
      <c r="N761" s="213"/>
    </row>
    <row r="762" ht="12.75" customHeight="1">
      <c r="A762" s="199"/>
      <c r="B762" s="214"/>
      <c r="E762" s="212"/>
      <c r="L762" s="213"/>
      <c r="M762" s="174"/>
      <c r="N762" s="213"/>
    </row>
    <row r="763" ht="12.75" customHeight="1">
      <c r="A763" s="199"/>
      <c r="B763" s="214"/>
      <c r="E763" s="212"/>
      <c r="L763" s="213"/>
      <c r="M763" s="174"/>
      <c r="N763" s="213"/>
    </row>
    <row r="764" ht="12.75" customHeight="1">
      <c r="A764" s="199"/>
      <c r="B764" s="214"/>
      <c r="E764" s="212"/>
      <c r="L764" s="213"/>
      <c r="M764" s="174"/>
      <c r="N764" s="213"/>
    </row>
    <row r="765" ht="12.75" customHeight="1">
      <c r="A765" s="199"/>
      <c r="B765" s="214"/>
      <c r="E765" s="212"/>
      <c r="L765" s="213"/>
      <c r="M765" s="174"/>
      <c r="N765" s="213"/>
    </row>
    <row r="766" ht="12.75" customHeight="1">
      <c r="A766" s="199"/>
      <c r="B766" s="214"/>
      <c r="E766" s="212"/>
      <c r="L766" s="213"/>
      <c r="M766" s="174"/>
      <c r="N766" s="213"/>
    </row>
    <row r="767" ht="12.75" customHeight="1">
      <c r="A767" s="199"/>
      <c r="B767" s="214"/>
      <c r="E767" s="212"/>
      <c r="L767" s="213"/>
      <c r="M767" s="174"/>
      <c r="N767" s="213"/>
    </row>
    <row r="768" ht="12.75" customHeight="1">
      <c r="A768" s="199"/>
      <c r="B768" s="214"/>
      <c r="E768" s="212"/>
      <c r="L768" s="213"/>
      <c r="M768" s="174"/>
      <c r="N768" s="213"/>
    </row>
    <row r="769" ht="12.75" customHeight="1">
      <c r="A769" s="199"/>
      <c r="B769" s="214"/>
      <c r="E769" s="212"/>
      <c r="L769" s="213"/>
      <c r="M769" s="174"/>
      <c r="N769" s="213"/>
    </row>
    <row r="770" ht="12.75" customHeight="1">
      <c r="A770" s="199"/>
      <c r="B770" s="214"/>
      <c r="E770" s="212"/>
      <c r="L770" s="213"/>
      <c r="M770" s="174"/>
      <c r="N770" s="213"/>
    </row>
    <row r="771" ht="12.75" customHeight="1">
      <c r="A771" s="199"/>
      <c r="B771" s="214"/>
      <c r="E771" s="212"/>
      <c r="L771" s="213"/>
      <c r="M771" s="174"/>
      <c r="N771" s="213"/>
    </row>
    <row r="772" ht="12.75" customHeight="1">
      <c r="A772" s="199"/>
      <c r="B772" s="214"/>
      <c r="E772" s="212"/>
      <c r="L772" s="213"/>
      <c r="M772" s="174"/>
      <c r="N772" s="213"/>
    </row>
    <row r="773" ht="12.75" customHeight="1">
      <c r="A773" s="199"/>
      <c r="B773" s="214"/>
      <c r="E773" s="212"/>
      <c r="L773" s="213"/>
      <c r="M773" s="174"/>
      <c r="N773" s="213"/>
    </row>
    <row r="774" ht="12.75" customHeight="1">
      <c r="A774" s="199"/>
      <c r="B774" s="214"/>
      <c r="E774" s="212"/>
      <c r="L774" s="213"/>
      <c r="M774" s="174"/>
      <c r="N774" s="213"/>
    </row>
    <row r="775" ht="12.75" customHeight="1">
      <c r="A775" s="199"/>
      <c r="B775" s="214"/>
      <c r="E775" s="212"/>
      <c r="L775" s="213"/>
      <c r="M775" s="174"/>
      <c r="N775" s="213"/>
    </row>
    <row r="776" ht="12.75" customHeight="1">
      <c r="A776" s="199"/>
      <c r="B776" s="214"/>
      <c r="E776" s="212"/>
      <c r="L776" s="213"/>
      <c r="M776" s="174"/>
      <c r="N776" s="213"/>
    </row>
    <row r="777" ht="12.75" customHeight="1">
      <c r="A777" s="199"/>
      <c r="B777" s="214"/>
      <c r="E777" s="212"/>
      <c r="L777" s="213"/>
      <c r="M777" s="174"/>
      <c r="N777" s="213"/>
    </row>
    <row r="778" ht="12.75" customHeight="1">
      <c r="A778" s="199"/>
      <c r="B778" s="214"/>
      <c r="E778" s="212"/>
      <c r="L778" s="213"/>
      <c r="M778" s="174"/>
      <c r="N778" s="213"/>
    </row>
    <row r="779" ht="12.75" customHeight="1">
      <c r="A779" s="199"/>
      <c r="B779" s="214"/>
      <c r="E779" s="212"/>
      <c r="L779" s="213"/>
      <c r="M779" s="174"/>
      <c r="N779" s="213"/>
    </row>
    <row r="780" ht="12.75" customHeight="1">
      <c r="A780" s="199"/>
      <c r="B780" s="214"/>
      <c r="E780" s="212"/>
      <c r="L780" s="213"/>
      <c r="M780" s="174"/>
      <c r="N780" s="213"/>
    </row>
    <row r="781" ht="12.75" customHeight="1">
      <c r="A781" s="199"/>
      <c r="B781" s="214"/>
      <c r="E781" s="212"/>
      <c r="L781" s="213"/>
      <c r="M781" s="174"/>
      <c r="N781" s="213"/>
    </row>
    <row r="782" ht="12.75" customHeight="1">
      <c r="A782" s="199"/>
      <c r="B782" s="214"/>
      <c r="E782" s="212"/>
      <c r="L782" s="213"/>
      <c r="M782" s="174"/>
      <c r="N782" s="213"/>
    </row>
    <row r="783" ht="12.75" customHeight="1">
      <c r="A783" s="199"/>
      <c r="B783" s="214"/>
      <c r="E783" s="212"/>
      <c r="L783" s="213"/>
      <c r="M783" s="174"/>
      <c r="N783" s="213"/>
    </row>
    <row r="784" ht="12.75" customHeight="1">
      <c r="A784" s="199"/>
      <c r="B784" s="214"/>
      <c r="E784" s="212"/>
      <c r="L784" s="213"/>
      <c r="M784" s="174"/>
      <c r="N784" s="213"/>
    </row>
    <row r="785" ht="12.75" customHeight="1">
      <c r="A785" s="199"/>
      <c r="B785" s="214"/>
      <c r="E785" s="212"/>
      <c r="L785" s="213"/>
      <c r="M785" s="174"/>
      <c r="N785" s="213"/>
    </row>
    <row r="786" ht="12.75" customHeight="1">
      <c r="A786" s="199"/>
      <c r="B786" s="214"/>
      <c r="E786" s="212"/>
      <c r="L786" s="213"/>
      <c r="M786" s="174"/>
      <c r="N786" s="213"/>
    </row>
    <row r="787" ht="12.75" customHeight="1">
      <c r="A787" s="199"/>
      <c r="B787" s="214"/>
      <c r="E787" s="212"/>
      <c r="L787" s="213"/>
      <c r="M787" s="174"/>
      <c r="N787" s="213"/>
    </row>
    <row r="788" ht="12.75" customHeight="1">
      <c r="A788" s="199"/>
      <c r="B788" s="214"/>
      <c r="E788" s="212"/>
      <c r="L788" s="213"/>
      <c r="M788" s="174"/>
      <c r="N788" s="213"/>
    </row>
    <row r="789" ht="12.75" customHeight="1">
      <c r="A789" s="199"/>
      <c r="B789" s="214"/>
      <c r="E789" s="212"/>
      <c r="L789" s="213"/>
      <c r="M789" s="174"/>
      <c r="N789" s="213"/>
    </row>
    <row r="790" ht="12.75" customHeight="1">
      <c r="A790" s="199"/>
      <c r="B790" s="214"/>
      <c r="E790" s="212"/>
      <c r="L790" s="213"/>
      <c r="M790" s="174"/>
      <c r="N790" s="213"/>
    </row>
    <row r="791" ht="12.75" customHeight="1">
      <c r="A791" s="199"/>
      <c r="B791" s="214"/>
      <c r="E791" s="212"/>
      <c r="L791" s="213"/>
      <c r="M791" s="174"/>
      <c r="N791" s="213"/>
    </row>
    <row r="792" ht="12.75" customHeight="1">
      <c r="A792" s="199"/>
      <c r="B792" s="214"/>
      <c r="E792" s="212"/>
      <c r="L792" s="213"/>
      <c r="M792" s="174"/>
      <c r="N792" s="213"/>
    </row>
    <row r="793" ht="12.75" customHeight="1">
      <c r="A793" s="199"/>
      <c r="B793" s="214"/>
      <c r="E793" s="212"/>
      <c r="L793" s="213"/>
      <c r="M793" s="174"/>
      <c r="N793" s="213"/>
    </row>
    <row r="794" ht="12.75" customHeight="1">
      <c r="A794" s="199"/>
      <c r="B794" s="214"/>
      <c r="E794" s="212"/>
      <c r="L794" s="213"/>
      <c r="M794" s="174"/>
      <c r="N794" s="213"/>
    </row>
    <row r="795" ht="12.75" customHeight="1">
      <c r="A795" s="199"/>
      <c r="B795" s="214"/>
      <c r="E795" s="212"/>
      <c r="L795" s="213"/>
      <c r="M795" s="174"/>
      <c r="N795" s="213"/>
    </row>
    <row r="796" ht="12.75" customHeight="1">
      <c r="A796" s="199"/>
      <c r="B796" s="214"/>
      <c r="E796" s="212"/>
      <c r="L796" s="213"/>
      <c r="M796" s="174"/>
      <c r="N796" s="213"/>
    </row>
    <row r="797" ht="12.75" customHeight="1">
      <c r="A797" s="199"/>
      <c r="B797" s="214"/>
      <c r="E797" s="212"/>
      <c r="L797" s="213"/>
      <c r="M797" s="174"/>
      <c r="N797" s="213"/>
    </row>
    <row r="798" ht="12.75" customHeight="1">
      <c r="A798" s="199"/>
      <c r="B798" s="214"/>
      <c r="E798" s="212"/>
      <c r="L798" s="213"/>
      <c r="M798" s="174"/>
      <c r="N798" s="213"/>
    </row>
    <row r="799" ht="12.75" customHeight="1">
      <c r="A799" s="199"/>
      <c r="B799" s="214"/>
      <c r="E799" s="212"/>
      <c r="L799" s="213"/>
      <c r="M799" s="174"/>
      <c r="N799" s="213"/>
    </row>
    <row r="800" ht="12.75" customHeight="1">
      <c r="A800" s="199"/>
      <c r="B800" s="214"/>
      <c r="E800" s="212"/>
      <c r="L800" s="213"/>
      <c r="M800" s="174"/>
      <c r="N800" s="213"/>
    </row>
    <row r="801" ht="12.75" customHeight="1">
      <c r="A801" s="199"/>
      <c r="B801" s="214"/>
      <c r="E801" s="212"/>
      <c r="L801" s="213"/>
      <c r="M801" s="174"/>
      <c r="N801" s="213"/>
    </row>
    <row r="802" ht="12.75" customHeight="1">
      <c r="A802" s="199"/>
      <c r="B802" s="214"/>
      <c r="E802" s="212"/>
      <c r="L802" s="213"/>
      <c r="M802" s="174"/>
      <c r="N802" s="213"/>
    </row>
    <row r="803" ht="12.75" customHeight="1">
      <c r="A803" s="199"/>
      <c r="B803" s="214"/>
      <c r="E803" s="212"/>
      <c r="L803" s="213"/>
      <c r="M803" s="174"/>
      <c r="N803" s="213"/>
    </row>
    <row r="804" ht="12.75" customHeight="1">
      <c r="A804" s="199"/>
      <c r="B804" s="214"/>
      <c r="E804" s="212"/>
      <c r="L804" s="213"/>
      <c r="M804" s="174"/>
      <c r="N804" s="213"/>
    </row>
    <row r="805" ht="12.75" customHeight="1">
      <c r="A805" s="199"/>
      <c r="B805" s="214"/>
      <c r="E805" s="212"/>
      <c r="L805" s="213"/>
      <c r="M805" s="174"/>
      <c r="N805" s="213"/>
    </row>
    <row r="806" ht="12.75" customHeight="1">
      <c r="A806" s="199"/>
      <c r="B806" s="214"/>
      <c r="E806" s="212"/>
      <c r="L806" s="213"/>
      <c r="M806" s="174"/>
      <c r="N806" s="213"/>
    </row>
    <row r="807" ht="12.75" customHeight="1">
      <c r="A807" s="199"/>
      <c r="B807" s="214"/>
      <c r="E807" s="212"/>
      <c r="L807" s="213"/>
      <c r="M807" s="174"/>
      <c r="N807" s="213"/>
    </row>
    <row r="808" ht="12.75" customHeight="1">
      <c r="A808" s="199"/>
      <c r="B808" s="214"/>
      <c r="E808" s="212"/>
      <c r="L808" s="213"/>
      <c r="M808" s="174"/>
      <c r="N808" s="213"/>
    </row>
    <row r="809" ht="12.75" customHeight="1">
      <c r="A809" s="199"/>
      <c r="B809" s="214"/>
      <c r="E809" s="212"/>
      <c r="L809" s="213"/>
      <c r="M809" s="174"/>
      <c r="N809" s="213"/>
    </row>
    <row r="810" ht="12.75" customHeight="1">
      <c r="A810" s="199"/>
      <c r="B810" s="214"/>
      <c r="E810" s="212"/>
      <c r="L810" s="213"/>
      <c r="M810" s="174"/>
      <c r="N810" s="213"/>
    </row>
    <row r="811" ht="12.75" customHeight="1">
      <c r="A811" s="199"/>
      <c r="B811" s="214"/>
      <c r="E811" s="212"/>
      <c r="L811" s="213"/>
      <c r="M811" s="174"/>
      <c r="N811" s="213"/>
    </row>
    <row r="812" ht="12.75" customHeight="1">
      <c r="A812" s="199"/>
      <c r="B812" s="214"/>
      <c r="E812" s="212"/>
      <c r="L812" s="213"/>
      <c r="M812" s="174"/>
      <c r="N812" s="213"/>
    </row>
    <row r="813" ht="12.75" customHeight="1">
      <c r="A813" s="199"/>
      <c r="B813" s="214"/>
      <c r="E813" s="212"/>
      <c r="L813" s="213"/>
      <c r="M813" s="174"/>
      <c r="N813" s="213"/>
    </row>
    <row r="814" ht="12.75" customHeight="1">
      <c r="A814" s="199"/>
      <c r="B814" s="214"/>
      <c r="E814" s="212"/>
      <c r="L814" s="213"/>
      <c r="M814" s="174"/>
      <c r="N814" s="213"/>
    </row>
    <row r="815" ht="12.75" customHeight="1">
      <c r="A815" s="199"/>
      <c r="B815" s="214"/>
      <c r="E815" s="212"/>
      <c r="L815" s="213"/>
      <c r="M815" s="174"/>
      <c r="N815" s="213"/>
    </row>
    <row r="816" ht="12.75" customHeight="1">
      <c r="A816" s="199"/>
      <c r="B816" s="214"/>
      <c r="E816" s="212"/>
      <c r="L816" s="213"/>
      <c r="M816" s="174"/>
      <c r="N816" s="213"/>
    </row>
    <row r="817" ht="12.75" customHeight="1">
      <c r="A817" s="199"/>
      <c r="B817" s="214"/>
      <c r="E817" s="212"/>
      <c r="L817" s="213"/>
      <c r="M817" s="174"/>
      <c r="N817" s="213"/>
    </row>
    <row r="818" ht="12.75" customHeight="1">
      <c r="A818" s="199"/>
      <c r="B818" s="214"/>
      <c r="E818" s="212"/>
      <c r="L818" s="213"/>
      <c r="M818" s="174"/>
      <c r="N818" s="213"/>
    </row>
    <row r="819" ht="12.75" customHeight="1">
      <c r="A819" s="199"/>
      <c r="B819" s="214"/>
      <c r="E819" s="212"/>
      <c r="L819" s="213"/>
      <c r="M819" s="174"/>
      <c r="N819" s="213"/>
    </row>
    <row r="820" ht="12.75" customHeight="1">
      <c r="A820" s="199"/>
      <c r="B820" s="214"/>
      <c r="E820" s="212"/>
      <c r="L820" s="213"/>
      <c r="M820" s="174"/>
      <c r="N820" s="213"/>
    </row>
    <row r="821" ht="12.75" customHeight="1">
      <c r="A821" s="199"/>
      <c r="B821" s="214"/>
      <c r="E821" s="212"/>
      <c r="L821" s="213"/>
      <c r="M821" s="174"/>
      <c r="N821" s="213"/>
    </row>
    <row r="822" ht="12.75" customHeight="1">
      <c r="A822" s="199"/>
      <c r="B822" s="214"/>
      <c r="E822" s="212"/>
      <c r="L822" s="213"/>
      <c r="M822" s="174"/>
      <c r="N822" s="213"/>
    </row>
    <row r="823" ht="12.75" customHeight="1">
      <c r="A823" s="199"/>
      <c r="B823" s="214"/>
      <c r="E823" s="212"/>
      <c r="L823" s="213"/>
      <c r="M823" s="174"/>
      <c r="N823" s="213"/>
    </row>
    <row r="824" ht="12.75" customHeight="1">
      <c r="A824" s="199"/>
      <c r="B824" s="214"/>
      <c r="E824" s="212"/>
      <c r="L824" s="213"/>
      <c r="M824" s="174"/>
      <c r="N824" s="213"/>
    </row>
    <row r="825" ht="12.75" customHeight="1">
      <c r="A825" s="199"/>
      <c r="B825" s="214"/>
      <c r="E825" s="212"/>
      <c r="L825" s="213"/>
      <c r="M825" s="174"/>
      <c r="N825" s="213"/>
    </row>
    <row r="826" ht="12.75" customHeight="1">
      <c r="A826" s="199"/>
      <c r="B826" s="214"/>
      <c r="E826" s="212"/>
      <c r="L826" s="213"/>
      <c r="M826" s="174"/>
      <c r="N826" s="213"/>
    </row>
    <row r="827" ht="12.75" customHeight="1">
      <c r="A827" s="199"/>
      <c r="B827" s="214"/>
      <c r="E827" s="212"/>
      <c r="L827" s="213"/>
      <c r="M827" s="174"/>
      <c r="N827" s="213"/>
    </row>
    <row r="828" ht="12.75" customHeight="1">
      <c r="A828" s="199"/>
      <c r="B828" s="214"/>
      <c r="E828" s="212"/>
      <c r="L828" s="213"/>
      <c r="M828" s="174"/>
      <c r="N828" s="213"/>
    </row>
    <row r="829" ht="12.75" customHeight="1">
      <c r="A829" s="199"/>
      <c r="B829" s="214"/>
      <c r="E829" s="212"/>
      <c r="L829" s="213"/>
      <c r="M829" s="174"/>
      <c r="N829" s="213"/>
    </row>
    <row r="830" ht="12.75" customHeight="1">
      <c r="A830" s="199"/>
      <c r="B830" s="214"/>
      <c r="E830" s="212"/>
      <c r="L830" s="213"/>
      <c r="M830" s="174"/>
      <c r="N830" s="213"/>
    </row>
    <row r="831" ht="12.75" customHeight="1">
      <c r="A831" s="199"/>
      <c r="B831" s="214"/>
      <c r="E831" s="212"/>
      <c r="L831" s="213"/>
      <c r="M831" s="174"/>
      <c r="N831" s="213"/>
    </row>
    <row r="832" ht="12.75" customHeight="1">
      <c r="A832" s="199"/>
      <c r="B832" s="214"/>
      <c r="E832" s="212"/>
      <c r="L832" s="213"/>
      <c r="M832" s="174"/>
      <c r="N832" s="213"/>
    </row>
    <row r="833" ht="12.75" customHeight="1">
      <c r="A833" s="199"/>
      <c r="B833" s="214"/>
      <c r="E833" s="212"/>
      <c r="L833" s="213"/>
      <c r="M833" s="174"/>
      <c r="N833" s="213"/>
    </row>
    <row r="834" ht="12.75" customHeight="1">
      <c r="A834" s="199"/>
      <c r="B834" s="214"/>
      <c r="E834" s="212"/>
      <c r="L834" s="213"/>
      <c r="M834" s="174"/>
      <c r="N834" s="213"/>
    </row>
    <row r="835" ht="12.75" customHeight="1">
      <c r="A835" s="199"/>
      <c r="B835" s="214"/>
      <c r="E835" s="212"/>
      <c r="L835" s="213"/>
      <c r="M835" s="174"/>
      <c r="N835" s="213"/>
    </row>
    <row r="836" ht="12.75" customHeight="1">
      <c r="A836" s="199"/>
      <c r="B836" s="214"/>
      <c r="E836" s="212"/>
      <c r="L836" s="213"/>
      <c r="M836" s="174"/>
      <c r="N836" s="213"/>
    </row>
    <row r="837" ht="12.75" customHeight="1">
      <c r="A837" s="199"/>
      <c r="B837" s="214"/>
      <c r="E837" s="212"/>
      <c r="L837" s="213"/>
      <c r="M837" s="174"/>
      <c r="N837" s="213"/>
    </row>
    <row r="838" ht="12.75" customHeight="1">
      <c r="A838" s="199"/>
      <c r="B838" s="214"/>
      <c r="E838" s="212"/>
      <c r="L838" s="213"/>
      <c r="M838" s="174"/>
      <c r="N838" s="213"/>
    </row>
    <row r="839" ht="12.75" customHeight="1">
      <c r="A839" s="199"/>
      <c r="B839" s="214"/>
      <c r="E839" s="212"/>
      <c r="L839" s="213"/>
      <c r="M839" s="174"/>
      <c r="N839" s="213"/>
    </row>
    <row r="840" ht="12.75" customHeight="1">
      <c r="A840" s="199"/>
      <c r="B840" s="214"/>
      <c r="E840" s="212"/>
      <c r="L840" s="213"/>
      <c r="M840" s="174"/>
      <c r="N840" s="213"/>
    </row>
    <row r="841" ht="12.75" customHeight="1">
      <c r="A841" s="199"/>
      <c r="B841" s="214"/>
      <c r="E841" s="212"/>
      <c r="L841" s="213"/>
      <c r="M841" s="174"/>
      <c r="N841" s="213"/>
    </row>
    <row r="842" ht="12.75" customHeight="1">
      <c r="A842" s="199"/>
      <c r="B842" s="214"/>
      <c r="E842" s="212"/>
      <c r="L842" s="213"/>
      <c r="M842" s="174"/>
      <c r="N842" s="213"/>
    </row>
    <row r="843" ht="12.75" customHeight="1">
      <c r="A843" s="199"/>
      <c r="B843" s="214"/>
      <c r="E843" s="212"/>
      <c r="L843" s="213"/>
      <c r="M843" s="174"/>
      <c r="N843" s="213"/>
    </row>
    <row r="844" ht="12.75" customHeight="1">
      <c r="A844" s="199"/>
      <c r="B844" s="214"/>
      <c r="E844" s="212"/>
      <c r="L844" s="213"/>
      <c r="M844" s="174"/>
      <c r="N844" s="213"/>
    </row>
    <row r="845" ht="12.75" customHeight="1">
      <c r="A845" s="199"/>
      <c r="B845" s="214"/>
      <c r="E845" s="212"/>
      <c r="L845" s="213"/>
      <c r="M845" s="174"/>
      <c r="N845" s="213"/>
    </row>
    <row r="846" ht="12.75" customHeight="1">
      <c r="A846" s="199"/>
      <c r="B846" s="214"/>
      <c r="E846" s="212"/>
      <c r="L846" s="213"/>
      <c r="M846" s="174"/>
      <c r="N846" s="213"/>
    </row>
    <row r="847" ht="12.75" customHeight="1">
      <c r="A847" s="199"/>
      <c r="B847" s="214"/>
      <c r="E847" s="212"/>
      <c r="L847" s="213"/>
      <c r="M847" s="174"/>
      <c r="N847" s="213"/>
    </row>
    <row r="848" ht="12.75" customHeight="1">
      <c r="A848" s="199"/>
      <c r="B848" s="214"/>
      <c r="E848" s="212"/>
      <c r="L848" s="213"/>
      <c r="M848" s="174"/>
      <c r="N848" s="213"/>
    </row>
    <row r="849" ht="12.75" customHeight="1">
      <c r="A849" s="199"/>
      <c r="B849" s="214"/>
      <c r="E849" s="212"/>
      <c r="L849" s="213"/>
      <c r="M849" s="174"/>
      <c r="N849" s="213"/>
    </row>
    <row r="850" ht="12.75" customHeight="1">
      <c r="A850" s="199"/>
      <c r="B850" s="214"/>
      <c r="E850" s="212"/>
      <c r="L850" s="213"/>
      <c r="M850" s="174"/>
      <c r="N850" s="213"/>
    </row>
    <row r="851" ht="12.75" customHeight="1">
      <c r="A851" s="199"/>
      <c r="B851" s="214"/>
      <c r="E851" s="212"/>
      <c r="L851" s="213"/>
      <c r="M851" s="174"/>
      <c r="N851" s="213"/>
    </row>
    <row r="852" ht="12.75" customHeight="1">
      <c r="A852" s="199"/>
      <c r="B852" s="214"/>
      <c r="E852" s="212"/>
      <c r="L852" s="213"/>
      <c r="M852" s="174"/>
      <c r="N852" s="213"/>
    </row>
    <row r="853" ht="12.75" customHeight="1">
      <c r="A853" s="199"/>
      <c r="B853" s="214"/>
      <c r="E853" s="212"/>
      <c r="L853" s="213"/>
      <c r="M853" s="174"/>
      <c r="N853" s="213"/>
    </row>
    <row r="854" ht="12.75" customHeight="1">
      <c r="A854" s="199"/>
      <c r="B854" s="214"/>
      <c r="E854" s="212"/>
      <c r="L854" s="213"/>
      <c r="M854" s="174"/>
      <c r="N854" s="213"/>
    </row>
    <row r="855" ht="12.75" customHeight="1">
      <c r="A855" s="199"/>
      <c r="B855" s="214"/>
      <c r="E855" s="212"/>
      <c r="L855" s="213"/>
      <c r="M855" s="174"/>
      <c r="N855" s="213"/>
    </row>
    <row r="856" ht="12.75" customHeight="1">
      <c r="A856" s="199"/>
      <c r="B856" s="214"/>
      <c r="E856" s="212"/>
      <c r="L856" s="213"/>
      <c r="M856" s="174"/>
      <c r="N856" s="213"/>
    </row>
    <row r="857" ht="12.75" customHeight="1">
      <c r="A857" s="199"/>
      <c r="B857" s="214"/>
      <c r="E857" s="212"/>
      <c r="L857" s="213"/>
      <c r="M857" s="174"/>
      <c r="N857" s="213"/>
    </row>
    <row r="858" ht="12.75" customHeight="1">
      <c r="A858" s="199"/>
      <c r="B858" s="214"/>
      <c r="E858" s="212"/>
      <c r="L858" s="213"/>
      <c r="M858" s="174"/>
      <c r="N858" s="213"/>
    </row>
    <row r="859" ht="12.75" customHeight="1">
      <c r="A859" s="199"/>
      <c r="B859" s="214"/>
      <c r="E859" s="212"/>
      <c r="L859" s="213"/>
      <c r="M859" s="174"/>
      <c r="N859" s="213"/>
    </row>
    <row r="860" ht="12.75" customHeight="1">
      <c r="A860" s="199"/>
      <c r="B860" s="214"/>
      <c r="E860" s="212"/>
      <c r="L860" s="213"/>
      <c r="M860" s="174"/>
      <c r="N860" s="213"/>
    </row>
    <row r="861" ht="12.75" customHeight="1">
      <c r="A861" s="199"/>
      <c r="B861" s="214"/>
      <c r="E861" s="212"/>
      <c r="L861" s="213"/>
      <c r="M861" s="174"/>
      <c r="N861" s="213"/>
    </row>
    <row r="862" ht="12.75" customHeight="1">
      <c r="A862" s="199"/>
      <c r="B862" s="214"/>
      <c r="E862" s="212"/>
      <c r="L862" s="213"/>
      <c r="M862" s="174"/>
      <c r="N862" s="213"/>
    </row>
    <row r="863" ht="12.75" customHeight="1">
      <c r="A863" s="199"/>
      <c r="B863" s="214"/>
      <c r="E863" s="212"/>
      <c r="L863" s="213"/>
      <c r="M863" s="174"/>
      <c r="N863" s="213"/>
    </row>
    <row r="864" ht="12.75" customHeight="1">
      <c r="A864" s="199"/>
      <c r="B864" s="214"/>
      <c r="E864" s="212"/>
      <c r="L864" s="213"/>
      <c r="M864" s="174"/>
      <c r="N864" s="213"/>
    </row>
    <row r="865" ht="12.75" customHeight="1">
      <c r="A865" s="199"/>
      <c r="B865" s="214"/>
      <c r="E865" s="212"/>
      <c r="L865" s="213"/>
      <c r="M865" s="174"/>
      <c r="N865" s="213"/>
    </row>
    <row r="866" ht="12.75" customHeight="1">
      <c r="A866" s="199"/>
      <c r="B866" s="214"/>
      <c r="E866" s="212"/>
      <c r="L866" s="213"/>
      <c r="M866" s="174"/>
      <c r="N866" s="213"/>
    </row>
    <row r="867" ht="12.75" customHeight="1">
      <c r="A867" s="199"/>
      <c r="B867" s="214"/>
      <c r="E867" s="212"/>
      <c r="L867" s="213"/>
      <c r="M867" s="174"/>
      <c r="N867" s="213"/>
    </row>
    <row r="868" ht="12.75" customHeight="1">
      <c r="A868" s="199"/>
      <c r="B868" s="214"/>
      <c r="E868" s="212"/>
      <c r="L868" s="213"/>
      <c r="M868" s="174"/>
      <c r="N868" s="213"/>
    </row>
    <row r="869" ht="12.75" customHeight="1">
      <c r="A869" s="199"/>
      <c r="B869" s="214"/>
      <c r="E869" s="212"/>
      <c r="L869" s="213"/>
      <c r="M869" s="174"/>
      <c r="N869" s="213"/>
    </row>
    <row r="870" ht="12.75" customHeight="1">
      <c r="A870" s="199"/>
      <c r="B870" s="214"/>
      <c r="E870" s="212"/>
      <c r="L870" s="213"/>
      <c r="M870" s="174"/>
      <c r="N870" s="213"/>
    </row>
    <row r="871" ht="12.75" customHeight="1">
      <c r="A871" s="199"/>
      <c r="B871" s="214"/>
      <c r="E871" s="212"/>
      <c r="L871" s="213"/>
      <c r="M871" s="174"/>
      <c r="N871" s="213"/>
    </row>
    <row r="872" ht="12.75" customHeight="1">
      <c r="A872" s="199"/>
      <c r="B872" s="214"/>
      <c r="E872" s="212"/>
      <c r="L872" s="213"/>
      <c r="M872" s="174"/>
      <c r="N872" s="213"/>
    </row>
    <row r="873" ht="12.75" customHeight="1">
      <c r="A873" s="199"/>
      <c r="B873" s="214"/>
      <c r="E873" s="212"/>
      <c r="L873" s="213"/>
      <c r="M873" s="174"/>
      <c r="N873" s="213"/>
    </row>
    <row r="874" ht="12.75" customHeight="1">
      <c r="A874" s="199"/>
      <c r="B874" s="214"/>
      <c r="E874" s="212"/>
      <c r="L874" s="213"/>
      <c r="M874" s="174"/>
      <c r="N874" s="213"/>
    </row>
    <row r="875" ht="12.75" customHeight="1">
      <c r="A875" s="199"/>
      <c r="B875" s="214"/>
      <c r="E875" s="212"/>
      <c r="L875" s="213"/>
      <c r="M875" s="174"/>
      <c r="N875" s="213"/>
    </row>
    <row r="876" ht="12.75" customHeight="1">
      <c r="A876" s="199"/>
      <c r="B876" s="214"/>
      <c r="E876" s="212"/>
      <c r="L876" s="213"/>
      <c r="M876" s="174"/>
      <c r="N876" s="213"/>
    </row>
    <row r="877" ht="12.75" customHeight="1">
      <c r="A877" s="199"/>
      <c r="B877" s="214"/>
      <c r="E877" s="212"/>
      <c r="L877" s="213"/>
      <c r="M877" s="174"/>
      <c r="N877" s="213"/>
    </row>
    <row r="878" ht="12.75" customHeight="1">
      <c r="A878" s="199"/>
      <c r="B878" s="214"/>
      <c r="E878" s="212"/>
      <c r="L878" s="213"/>
      <c r="M878" s="174"/>
      <c r="N878" s="213"/>
    </row>
    <row r="879" ht="12.75" customHeight="1">
      <c r="A879" s="199"/>
      <c r="B879" s="214"/>
      <c r="E879" s="212"/>
      <c r="L879" s="213"/>
      <c r="M879" s="174"/>
      <c r="N879" s="213"/>
    </row>
    <row r="880" ht="12.75" customHeight="1">
      <c r="A880" s="199"/>
      <c r="B880" s="214"/>
      <c r="E880" s="212"/>
      <c r="L880" s="213"/>
      <c r="M880" s="174"/>
      <c r="N880" s="213"/>
    </row>
    <row r="881" ht="12.75" customHeight="1">
      <c r="A881" s="199"/>
      <c r="B881" s="214"/>
      <c r="E881" s="212"/>
      <c r="L881" s="213"/>
      <c r="M881" s="174"/>
      <c r="N881" s="213"/>
    </row>
    <row r="882" ht="12.75" customHeight="1">
      <c r="A882" s="199"/>
      <c r="B882" s="214"/>
      <c r="E882" s="212"/>
      <c r="L882" s="213"/>
      <c r="M882" s="174"/>
      <c r="N882" s="213"/>
    </row>
    <row r="883" ht="12.75" customHeight="1">
      <c r="A883" s="199"/>
      <c r="B883" s="214"/>
      <c r="E883" s="212"/>
      <c r="L883" s="213"/>
      <c r="M883" s="174"/>
      <c r="N883" s="213"/>
    </row>
    <row r="884" ht="12.75" customHeight="1">
      <c r="A884" s="199"/>
      <c r="B884" s="214"/>
      <c r="E884" s="212"/>
      <c r="L884" s="213"/>
      <c r="M884" s="174"/>
      <c r="N884" s="213"/>
    </row>
    <row r="885" ht="12.75" customHeight="1">
      <c r="A885" s="199"/>
      <c r="B885" s="214"/>
      <c r="E885" s="212"/>
      <c r="L885" s="213"/>
      <c r="M885" s="174"/>
      <c r="N885" s="213"/>
    </row>
    <row r="886" ht="12.75" customHeight="1">
      <c r="A886" s="199"/>
      <c r="B886" s="214"/>
      <c r="E886" s="212"/>
      <c r="L886" s="213"/>
      <c r="M886" s="174"/>
      <c r="N886" s="213"/>
    </row>
    <row r="887" ht="12.75" customHeight="1">
      <c r="A887" s="199"/>
      <c r="B887" s="214"/>
      <c r="E887" s="212"/>
      <c r="L887" s="213"/>
      <c r="M887" s="174"/>
      <c r="N887" s="213"/>
    </row>
    <row r="888" ht="12.75" customHeight="1">
      <c r="A888" s="199"/>
      <c r="B888" s="214"/>
      <c r="E888" s="212"/>
      <c r="L888" s="213"/>
      <c r="M888" s="174"/>
      <c r="N888" s="213"/>
    </row>
    <row r="889" ht="12.75" customHeight="1">
      <c r="A889" s="199"/>
      <c r="B889" s="214"/>
      <c r="E889" s="212"/>
      <c r="L889" s="213"/>
      <c r="M889" s="174"/>
      <c r="N889" s="213"/>
    </row>
    <row r="890" ht="12.75" customHeight="1">
      <c r="A890" s="199"/>
      <c r="B890" s="214"/>
      <c r="E890" s="212"/>
      <c r="L890" s="213"/>
      <c r="M890" s="174"/>
      <c r="N890" s="213"/>
    </row>
    <row r="891" ht="12.75" customHeight="1">
      <c r="A891" s="199"/>
      <c r="B891" s="214"/>
      <c r="E891" s="212"/>
      <c r="L891" s="213"/>
      <c r="M891" s="174"/>
      <c r="N891" s="213"/>
    </row>
    <row r="892" ht="12.75" customHeight="1">
      <c r="A892" s="199"/>
      <c r="B892" s="214"/>
      <c r="E892" s="212"/>
      <c r="L892" s="213"/>
      <c r="M892" s="174"/>
      <c r="N892" s="213"/>
    </row>
    <row r="893" ht="12.75" customHeight="1">
      <c r="A893" s="199"/>
      <c r="B893" s="214"/>
      <c r="E893" s="212"/>
      <c r="L893" s="213"/>
      <c r="M893" s="174"/>
      <c r="N893" s="213"/>
    </row>
    <row r="894" ht="12.75" customHeight="1">
      <c r="A894" s="199"/>
      <c r="B894" s="214"/>
      <c r="E894" s="212"/>
      <c r="L894" s="213"/>
      <c r="M894" s="174"/>
      <c r="N894" s="213"/>
    </row>
    <row r="895" ht="12.75" customHeight="1">
      <c r="A895" s="199"/>
      <c r="B895" s="214"/>
      <c r="E895" s="212"/>
      <c r="L895" s="213"/>
      <c r="M895" s="174"/>
      <c r="N895" s="213"/>
    </row>
    <row r="896" ht="12.75" customHeight="1">
      <c r="A896" s="199"/>
      <c r="B896" s="214"/>
      <c r="E896" s="212"/>
      <c r="L896" s="213"/>
      <c r="M896" s="174"/>
      <c r="N896" s="213"/>
    </row>
    <row r="897" ht="12.75" customHeight="1">
      <c r="A897" s="199"/>
      <c r="B897" s="214"/>
      <c r="E897" s="212"/>
      <c r="L897" s="213"/>
      <c r="M897" s="174"/>
      <c r="N897" s="213"/>
    </row>
    <row r="898" ht="12.75" customHeight="1">
      <c r="A898" s="199"/>
      <c r="B898" s="214"/>
      <c r="E898" s="212"/>
      <c r="L898" s="213"/>
      <c r="M898" s="174"/>
      <c r="N898" s="213"/>
    </row>
    <row r="899" ht="12.75" customHeight="1">
      <c r="A899" s="199"/>
      <c r="B899" s="214"/>
      <c r="E899" s="212"/>
      <c r="L899" s="213"/>
      <c r="M899" s="174"/>
      <c r="N899" s="213"/>
    </row>
    <row r="900" ht="12.75" customHeight="1">
      <c r="A900" s="199"/>
      <c r="B900" s="214"/>
      <c r="E900" s="212"/>
      <c r="L900" s="213"/>
      <c r="M900" s="174"/>
      <c r="N900" s="213"/>
    </row>
    <row r="901" ht="12.75" customHeight="1">
      <c r="A901" s="199"/>
      <c r="B901" s="214"/>
      <c r="E901" s="212"/>
      <c r="L901" s="213"/>
      <c r="M901" s="174"/>
      <c r="N901" s="213"/>
    </row>
    <row r="902" ht="12.75" customHeight="1">
      <c r="A902" s="199"/>
      <c r="B902" s="214"/>
      <c r="E902" s="212"/>
      <c r="L902" s="213"/>
      <c r="M902" s="174"/>
      <c r="N902" s="213"/>
    </row>
    <row r="903" ht="12.75" customHeight="1">
      <c r="A903" s="199"/>
      <c r="B903" s="214"/>
      <c r="E903" s="212"/>
      <c r="L903" s="213"/>
      <c r="M903" s="174"/>
      <c r="N903" s="213"/>
    </row>
    <row r="904" ht="12.75" customHeight="1">
      <c r="A904" s="199"/>
      <c r="B904" s="214"/>
      <c r="E904" s="212"/>
      <c r="L904" s="213"/>
      <c r="M904" s="174"/>
      <c r="N904" s="213"/>
    </row>
    <row r="905" ht="12.75" customHeight="1">
      <c r="A905" s="199"/>
      <c r="B905" s="214"/>
      <c r="E905" s="212"/>
      <c r="L905" s="213"/>
      <c r="M905" s="174"/>
      <c r="N905" s="213"/>
    </row>
    <row r="906" ht="12.75" customHeight="1">
      <c r="A906" s="199"/>
      <c r="B906" s="214"/>
      <c r="E906" s="212"/>
      <c r="L906" s="213"/>
      <c r="M906" s="174"/>
      <c r="N906" s="213"/>
    </row>
    <row r="907" ht="12.75" customHeight="1">
      <c r="A907" s="199"/>
      <c r="B907" s="214"/>
      <c r="E907" s="212"/>
      <c r="L907" s="213"/>
      <c r="M907" s="174"/>
      <c r="N907" s="213"/>
    </row>
    <row r="908" ht="12.75" customHeight="1">
      <c r="A908" s="199"/>
      <c r="B908" s="214"/>
      <c r="E908" s="212"/>
      <c r="L908" s="213"/>
      <c r="M908" s="174"/>
      <c r="N908" s="213"/>
    </row>
    <row r="909" ht="12.75" customHeight="1">
      <c r="A909" s="199"/>
      <c r="B909" s="214"/>
      <c r="E909" s="212"/>
      <c r="L909" s="213"/>
      <c r="M909" s="174"/>
      <c r="N909" s="213"/>
    </row>
    <row r="910" ht="12.75" customHeight="1">
      <c r="A910" s="199"/>
      <c r="B910" s="214"/>
      <c r="E910" s="212"/>
      <c r="L910" s="213"/>
      <c r="M910" s="174"/>
      <c r="N910" s="213"/>
    </row>
    <row r="911" ht="12.75" customHeight="1">
      <c r="A911" s="199"/>
      <c r="B911" s="214"/>
      <c r="E911" s="212"/>
      <c r="L911" s="213"/>
      <c r="M911" s="174"/>
      <c r="N911" s="213"/>
    </row>
    <row r="912" ht="12.75" customHeight="1">
      <c r="A912" s="199"/>
      <c r="B912" s="214"/>
      <c r="E912" s="212"/>
      <c r="L912" s="213"/>
      <c r="M912" s="174"/>
      <c r="N912" s="213"/>
    </row>
    <row r="913" ht="12.75" customHeight="1">
      <c r="A913" s="199"/>
      <c r="B913" s="214"/>
      <c r="E913" s="212"/>
      <c r="L913" s="213"/>
      <c r="M913" s="174"/>
      <c r="N913" s="213"/>
    </row>
    <row r="914" ht="12.75" customHeight="1">
      <c r="A914" s="199"/>
      <c r="B914" s="214"/>
      <c r="E914" s="212"/>
      <c r="L914" s="213"/>
      <c r="M914" s="174"/>
      <c r="N914" s="213"/>
    </row>
    <row r="915" ht="12.75" customHeight="1">
      <c r="A915" s="199"/>
      <c r="B915" s="214"/>
      <c r="E915" s="212"/>
      <c r="L915" s="213"/>
      <c r="M915" s="174"/>
      <c r="N915" s="213"/>
    </row>
    <row r="916" ht="12.75" customHeight="1">
      <c r="A916" s="199"/>
      <c r="B916" s="214"/>
      <c r="E916" s="212"/>
      <c r="L916" s="213"/>
      <c r="M916" s="174"/>
      <c r="N916" s="213"/>
    </row>
    <row r="917" ht="12.75" customHeight="1">
      <c r="A917" s="199"/>
      <c r="B917" s="214"/>
      <c r="E917" s="212"/>
      <c r="L917" s="213"/>
      <c r="M917" s="174"/>
      <c r="N917" s="213"/>
    </row>
    <row r="918" ht="12.75" customHeight="1">
      <c r="A918" s="199"/>
      <c r="B918" s="214"/>
      <c r="E918" s="212"/>
      <c r="L918" s="213"/>
      <c r="M918" s="174"/>
      <c r="N918" s="213"/>
    </row>
    <row r="919" ht="12.75" customHeight="1">
      <c r="A919" s="199"/>
      <c r="B919" s="214"/>
      <c r="E919" s="212"/>
      <c r="L919" s="213"/>
      <c r="M919" s="174"/>
      <c r="N919" s="213"/>
    </row>
    <row r="920" ht="12.75" customHeight="1">
      <c r="A920" s="199"/>
      <c r="B920" s="214"/>
      <c r="E920" s="212"/>
      <c r="L920" s="213"/>
      <c r="M920" s="174"/>
      <c r="N920" s="213"/>
    </row>
    <row r="921" ht="12.75" customHeight="1">
      <c r="A921" s="199"/>
      <c r="B921" s="214"/>
      <c r="E921" s="212"/>
      <c r="L921" s="213"/>
      <c r="M921" s="174"/>
      <c r="N921" s="213"/>
    </row>
    <row r="922" ht="12.75" customHeight="1">
      <c r="A922" s="199"/>
      <c r="B922" s="214"/>
      <c r="E922" s="212"/>
      <c r="L922" s="213"/>
      <c r="M922" s="174"/>
      <c r="N922" s="213"/>
    </row>
    <row r="923" ht="12.75" customHeight="1">
      <c r="A923" s="199"/>
      <c r="B923" s="214"/>
      <c r="E923" s="212"/>
      <c r="L923" s="213"/>
      <c r="M923" s="174"/>
      <c r="N923" s="213"/>
    </row>
    <row r="924" ht="12.75" customHeight="1">
      <c r="A924" s="199"/>
      <c r="B924" s="214"/>
      <c r="E924" s="212"/>
      <c r="L924" s="213"/>
      <c r="M924" s="174"/>
      <c r="N924" s="213"/>
    </row>
    <row r="925" ht="12.75" customHeight="1">
      <c r="A925" s="199"/>
      <c r="B925" s="214"/>
      <c r="E925" s="212"/>
      <c r="L925" s="213"/>
      <c r="M925" s="174"/>
      <c r="N925" s="213"/>
    </row>
    <row r="926" ht="12.75" customHeight="1">
      <c r="A926" s="199"/>
      <c r="B926" s="214"/>
      <c r="E926" s="212"/>
      <c r="L926" s="213"/>
      <c r="M926" s="174"/>
      <c r="N926" s="213"/>
    </row>
    <row r="927" ht="12.75" customHeight="1">
      <c r="A927" s="199"/>
      <c r="B927" s="214"/>
      <c r="E927" s="212"/>
      <c r="L927" s="213"/>
      <c r="M927" s="174"/>
      <c r="N927" s="213"/>
    </row>
    <row r="928" ht="12.75" customHeight="1">
      <c r="A928" s="199"/>
      <c r="B928" s="214"/>
      <c r="E928" s="212"/>
      <c r="L928" s="213"/>
      <c r="M928" s="174"/>
      <c r="N928" s="213"/>
    </row>
    <row r="929" ht="12.75" customHeight="1">
      <c r="A929" s="199"/>
      <c r="B929" s="214"/>
      <c r="E929" s="212"/>
      <c r="L929" s="213"/>
      <c r="M929" s="174"/>
      <c r="N929" s="213"/>
    </row>
    <row r="930" ht="12.75" customHeight="1">
      <c r="A930" s="199"/>
      <c r="B930" s="214"/>
      <c r="E930" s="212"/>
      <c r="L930" s="213"/>
      <c r="M930" s="174"/>
      <c r="N930" s="213"/>
    </row>
    <row r="931" ht="12.75" customHeight="1">
      <c r="A931" s="199"/>
      <c r="B931" s="214"/>
      <c r="E931" s="212"/>
      <c r="L931" s="213"/>
      <c r="M931" s="174"/>
      <c r="N931" s="213"/>
    </row>
    <row r="932" ht="12.75" customHeight="1">
      <c r="A932" s="199"/>
      <c r="B932" s="214"/>
      <c r="E932" s="212"/>
      <c r="L932" s="213"/>
      <c r="M932" s="174"/>
      <c r="N932" s="213"/>
    </row>
    <row r="933" ht="12.75" customHeight="1">
      <c r="A933" s="199"/>
      <c r="B933" s="214"/>
      <c r="E933" s="212"/>
      <c r="L933" s="213"/>
      <c r="M933" s="174"/>
      <c r="N933" s="213"/>
    </row>
    <row r="934" ht="12.75" customHeight="1">
      <c r="A934" s="199"/>
      <c r="B934" s="214"/>
      <c r="E934" s="212"/>
      <c r="L934" s="213"/>
      <c r="M934" s="174"/>
      <c r="N934" s="213"/>
    </row>
    <row r="935" ht="12.75" customHeight="1">
      <c r="A935" s="199"/>
      <c r="B935" s="214"/>
      <c r="E935" s="212"/>
      <c r="L935" s="213"/>
      <c r="M935" s="174"/>
      <c r="N935" s="213"/>
    </row>
    <row r="936" ht="12.75" customHeight="1">
      <c r="A936" s="199"/>
      <c r="B936" s="214"/>
      <c r="E936" s="212"/>
      <c r="L936" s="213"/>
      <c r="M936" s="174"/>
      <c r="N936" s="213"/>
    </row>
    <row r="937" ht="12.75" customHeight="1">
      <c r="A937" s="199"/>
      <c r="B937" s="214"/>
      <c r="E937" s="212"/>
      <c r="L937" s="213"/>
      <c r="M937" s="174"/>
      <c r="N937" s="213"/>
    </row>
    <row r="938" ht="12.75" customHeight="1">
      <c r="A938" s="199"/>
      <c r="B938" s="214"/>
      <c r="E938" s="212"/>
      <c r="L938" s="213"/>
      <c r="M938" s="174"/>
      <c r="N938" s="213"/>
    </row>
    <row r="939" ht="12.75" customHeight="1">
      <c r="A939" s="199"/>
      <c r="B939" s="214"/>
      <c r="E939" s="212"/>
      <c r="L939" s="213"/>
      <c r="M939" s="174"/>
      <c r="N939" s="213"/>
    </row>
    <row r="940" ht="12.75" customHeight="1">
      <c r="A940" s="199"/>
      <c r="B940" s="214"/>
      <c r="E940" s="212"/>
      <c r="L940" s="213"/>
      <c r="M940" s="174"/>
      <c r="N940" s="213"/>
    </row>
    <row r="941" ht="12.75" customHeight="1">
      <c r="A941" s="199"/>
      <c r="B941" s="214"/>
      <c r="E941" s="212"/>
      <c r="L941" s="213"/>
      <c r="M941" s="174"/>
      <c r="N941" s="213"/>
    </row>
    <row r="942" ht="12.75" customHeight="1">
      <c r="A942" s="199"/>
      <c r="B942" s="214"/>
      <c r="E942" s="212"/>
      <c r="L942" s="213"/>
      <c r="M942" s="174"/>
      <c r="N942" s="213"/>
    </row>
    <row r="943" ht="12.75" customHeight="1">
      <c r="A943" s="199"/>
      <c r="B943" s="214"/>
      <c r="E943" s="212"/>
      <c r="L943" s="213"/>
      <c r="M943" s="174"/>
      <c r="N943" s="213"/>
    </row>
    <row r="944" ht="12.75" customHeight="1">
      <c r="A944" s="199"/>
      <c r="B944" s="214"/>
      <c r="E944" s="212"/>
      <c r="L944" s="213"/>
      <c r="M944" s="174"/>
      <c r="N944" s="213"/>
    </row>
    <row r="945" ht="12.75" customHeight="1">
      <c r="A945" s="199"/>
      <c r="B945" s="214"/>
      <c r="E945" s="212"/>
      <c r="L945" s="213"/>
      <c r="M945" s="174"/>
      <c r="N945" s="213"/>
    </row>
    <row r="946" ht="12.75" customHeight="1">
      <c r="A946" s="199"/>
      <c r="B946" s="214"/>
      <c r="E946" s="212"/>
      <c r="L946" s="213"/>
      <c r="M946" s="174"/>
      <c r="N946" s="213"/>
    </row>
    <row r="947" ht="12.75" customHeight="1">
      <c r="A947" s="199"/>
      <c r="B947" s="214"/>
      <c r="E947" s="212"/>
      <c r="L947" s="213"/>
      <c r="M947" s="174"/>
      <c r="N947" s="213"/>
    </row>
    <row r="948" ht="12.75" customHeight="1">
      <c r="A948" s="199"/>
      <c r="B948" s="214"/>
      <c r="E948" s="212"/>
      <c r="L948" s="213"/>
      <c r="M948" s="174"/>
      <c r="N948" s="213"/>
    </row>
    <row r="949" ht="12.75" customHeight="1">
      <c r="A949" s="199"/>
      <c r="B949" s="214"/>
      <c r="E949" s="212"/>
      <c r="L949" s="213"/>
      <c r="M949" s="174"/>
      <c r="N949" s="213"/>
    </row>
    <row r="950" ht="12.75" customHeight="1">
      <c r="A950" s="199"/>
      <c r="B950" s="214"/>
      <c r="E950" s="212"/>
      <c r="L950" s="213"/>
      <c r="M950" s="174"/>
      <c r="N950" s="213"/>
    </row>
    <row r="951" ht="12.75" customHeight="1">
      <c r="A951" s="199"/>
      <c r="B951" s="214"/>
      <c r="E951" s="212"/>
      <c r="L951" s="213"/>
      <c r="M951" s="174"/>
      <c r="N951" s="213"/>
    </row>
    <row r="952" ht="12.75" customHeight="1">
      <c r="A952" s="199"/>
      <c r="B952" s="214"/>
      <c r="E952" s="212"/>
      <c r="L952" s="213"/>
      <c r="M952" s="174"/>
      <c r="N952" s="213"/>
    </row>
    <row r="953" ht="12.75" customHeight="1">
      <c r="A953" s="199"/>
      <c r="B953" s="214"/>
      <c r="E953" s="212"/>
      <c r="L953" s="213"/>
      <c r="M953" s="174"/>
      <c r="N953" s="213"/>
    </row>
    <row r="954" ht="12.75" customHeight="1">
      <c r="A954" s="199"/>
      <c r="B954" s="214"/>
      <c r="E954" s="212"/>
      <c r="L954" s="213"/>
      <c r="M954" s="174"/>
      <c r="N954" s="213"/>
    </row>
    <row r="955" ht="12.75" customHeight="1">
      <c r="A955" s="199"/>
      <c r="B955" s="214"/>
      <c r="E955" s="212"/>
      <c r="L955" s="213"/>
      <c r="M955" s="174"/>
      <c r="N955" s="213"/>
    </row>
    <row r="956" ht="12.75" customHeight="1">
      <c r="A956" s="199"/>
      <c r="B956" s="214"/>
      <c r="E956" s="212"/>
      <c r="L956" s="213"/>
      <c r="M956" s="174"/>
      <c r="N956" s="213"/>
    </row>
    <row r="957" ht="12.75" customHeight="1">
      <c r="A957" s="199"/>
      <c r="B957" s="214"/>
      <c r="E957" s="212"/>
      <c r="L957" s="213"/>
      <c r="M957" s="174"/>
      <c r="N957" s="213"/>
    </row>
    <row r="958" ht="12.75" customHeight="1">
      <c r="A958" s="199"/>
      <c r="B958" s="214"/>
      <c r="E958" s="212"/>
      <c r="L958" s="213"/>
      <c r="M958" s="174"/>
      <c r="N958" s="213"/>
    </row>
    <row r="959" ht="12.75" customHeight="1">
      <c r="A959" s="199"/>
      <c r="B959" s="214"/>
      <c r="E959" s="212"/>
      <c r="L959" s="213"/>
      <c r="M959" s="174"/>
      <c r="N959" s="213"/>
    </row>
    <row r="960" ht="12.75" customHeight="1">
      <c r="A960" s="199"/>
      <c r="B960" s="214"/>
      <c r="E960" s="212"/>
      <c r="L960" s="213"/>
      <c r="M960" s="174"/>
      <c r="N960" s="213"/>
    </row>
    <row r="961" ht="12.75" customHeight="1">
      <c r="A961" s="199"/>
      <c r="B961" s="214"/>
      <c r="E961" s="212"/>
      <c r="L961" s="213"/>
      <c r="M961" s="174"/>
      <c r="N961" s="213"/>
    </row>
    <row r="962" ht="12.75" customHeight="1">
      <c r="A962" s="199"/>
      <c r="B962" s="214"/>
      <c r="E962" s="212"/>
      <c r="L962" s="213"/>
      <c r="M962" s="174"/>
      <c r="N962" s="213"/>
    </row>
    <row r="963" ht="12.75" customHeight="1">
      <c r="A963" s="199"/>
      <c r="B963" s="214"/>
      <c r="E963" s="212"/>
      <c r="L963" s="213"/>
      <c r="M963" s="174"/>
      <c r="N963" s="213"/>
    </row>
    <row r="964" ht="12.75" customHeight="1">
      <c r="A964" s="199"/>
      <c r="B964" s="214"/>
      <c r="E964" s="212"/>
      <c r="L964" s="213"/>
      <c r="M964" s="174"/>
      <c r="N964" s="213"/>
    </row>
    <row r="965" ht="12.75" customHeight="1">
      <c r="A965" s="199"/>
      <c r="B965" s="214"/>
      <c r="E965" s="212"/>
      <c r="L965" s="213"/>
      <c r="M965" s="174"/>
      <c r="N965" s="213"/>
    </row>
    <row r="966" ht="12.75" customHeight="1">
      <c r="A966" s="199"/>
      <c r="B966" s="214"/>
      <c r="E966" s="212"/>
      <c r="L966" s="213"/>
      <c r="M966" s="174"/>
      <c r="N966" s="213"/>
    </row>
    <row r="967" ht="12.75" customHeight="1">
      <c r="A967" s="199"/>
      <c r="B967" s="214"/>
      <c r="E967" s="212"/>
      <c r="L967" s="213"/>
      <c r="M967" s="174"/>
      <c r="N967" s="213"/>
    </row>
    <row r="968" ht="12.75" customHeight="1">
      <c r="A968" s="199"/>
      <c r="B968" s="214"/>
      <c r="E968" s="212"/>
      <c r="L968" s="213"/>
      <c r="M968" s="174"/>
      <c r="N968" s="213"/>
    </row>
    <row r="969" ht="12.75" customHeight="1">
      <c r="A969" s="199"/>
      <c r="B969" s="214"/>
      <c r="E969" s="212"/>
      <c r="L969" s="213"/>
      <c r="M969" s="174"/>
      <c r="N969" s="213"/>
    </row>
    <row r="970" ht="12.75" customHeight="1">
      <c r="A970" s="199"/>
      <c r="B970" s="214"/>
      <c r="E970" s="212"/>
      <c r="L970" s="213"/>
      <c r="M970" s="174"/>
      <c r="N970" s="213"/>
    </row>
    <row r="971" ht="12.75" customHeight="1">
      <c r="A971" s="199"/>
      <c r="B971" s="214"/>
      <c r="E971" s="212"/>
      <c r="L971" s="213"/>
      <c r="M971" s="174"/>
      <c r="N971" s="213"/>
    </row>
    <row r="972" ht="12.75" customHeight="1">
      <c r="A972" s="199"/>
      <c r="B972" s="214"/>
      <c r="E972" s="212"/>
      <c r="L972" s="213"/>
      <c r="M972" s="174"/>
      <c r="N972" s="213"/>
    </row>
    <row r="973" ht="12.75" customHeight="1">
      <c r="A973" s="199"/>
      <c r="B973" s="214"/>
      <c r="E973" s="212"/>
      <c r="L973" s="213"/>
      <c r="M973" s="174"/>
      <c r="N973" s="213"/>
    </row>
    <row r="974" ht="12.75" customHeight="1">
      <c r="A974" s="199"/>
      <c r="B974" s="214"/>
      <c r="E974" s="212"/>
      <c r="L974" s="213"/>
      <c r="M974" s="174"/>
      <c r="N974" s="213"/>
    </row>
    <row r="975" ht="12.75" customHeight="1">
      <c r="A975" s="199"/>
      <c r="B975" s="214"/>
      <c r="E975" s="212"/>
      <c r="L975" s="213"/>
      <c r="M975" s="174"/>
      <c r="N975" s="213"/>
    </row>
    <row r="976" ht="12.75" customHeight="1">
      <c r="A976" s="199"/>
      <c r="B976" s="214"/>
      <c r="E976" s="212"/>
      <c r="L976" s="213"/>
      <c r="M976" s="174"/>
      <c r="N976" s="213"/>
    </row>
    <row r="977" ht="12.75" customHeight="1">
      <c r="A977" s="199"/>
      <c r="B977" s="214"/>
      <c r="E977" s="212"/>
      <c r="L977" s="213"/>
      <c r="M977" s="174"/>
      <c r="N977" s="213"/>
    </row>
    <row r="978" ht="12.75" customHeight="1">
      <c r="A978" s="199"/>
      <c r="B978" s="214"/>
      <c r="E978" s="212"/>
      <c r="L978" s="213"/>
      <c r="M978" s="174"/>
      <c r="N978" s="213"/>
    </row>
    <row r="979" ht="12.75" customHeight="1">
      <c r="A979" s="199"/>
      <c r="B979" s="214"/>
      <c r="E979" s="212"/>
      <c r="L979" s="213"/>
      <c r="M979" s="174"/>
      <c r="N979" s="213"/>
    </row>
    <row r="980" ht="12.75" customHeight="1">
      <c r="A980" s="199"/>
      <c r="B980" s="214"/>
      <c r="E980" s="212"/>
      <c r="L980" s="213"/>
      <c r="M980" s="174"/>
      <c r="N980" s="213"/>
    </row>
    <row r="981" ht="12.75" customHeight="1">
      <c r="A981" s="199"/>
      <c r="B981" s="214"/>
      <c r="E981" s="212"/>
      <c r="L981" s="213"/>
      <c r="M981" s="174"/>
      <c r="N981" s="213"/>
    </row>
    <row r="982" ht="12.75" customHeight="1">
      <c r="A982" s="199"/>
      <c r="B982" s="214"/>
      <c r="E982" s="212"/>
      <c r="L982" s="213"/>
      <c r="M982" s="174"/>
      <c r="N982" s="213"/>
    </row>
    <row r="983" ht="12.75" customHeight="1">
      <c r="A983" s="199"/>
      <c r="B983" s="214"/>
      <c r="E983" s="212"/>
      <c r="L983" s="213"/>
      <c r="M983" s="174"/>
      <c r="N983" s="213"/>
    </row>
    <row r="984" ht="12.75" customHeight="1">
      <c r="A984" s="199"/>
      <c r="B984" s="214"/>
      <c r="E984" s="212"/>
      <c r="L984" s="213"/>
      <c r="M984" s="174"/>
      <c r="N984" s="213"/>
    </row>
    <row r="985" ht="12.75" customHeight="1">
      <c r="A985" s="199"/>
      <c r="B985" s="214"/>
      <c r="E985" s="212"/>
      <c r="L985" s="213"/>
      <c r="M985" s="174"/>
      <c r="N985" s="213"/>
    </row>
    <row r="986" ht="12.75" customHeight="1">
      <c r="A986" s="199"/>
      <c r="B986" s="214"/>
      <c r="E986" s="212"/>
      <c r="L986" s="213"/>
      <c r="M986" s="174"/>
      <c r="N986" s="213"/>
    </row>
    <row r="987" ht="12.75" customHeight="1">
      <c r="A987" s="199"/>
      <c r="B987" s="214"/>
      <c r="E987" s="212"/>
      <c r="L987" s="213"/>
      <c r="M987" s="174"/>
      <c r="N987" s="213"/>
    </row>
    <row r="988" ht="12.75" customHeight="1">
      <c r="A988" s="199"/>
      <c r="B988" s="214"/>
      <c r="E988" s="212"/>
      <c r="L988" s="213"/>
      <c r="M988" s="174"/>
      <c r="N988" s="213"/>
    </row>
    <row r="989" ht="12.75" customHeight="1">
      <c r="A989" s="199"/>
      <c r="B989" s="214"/>
      <c r="E989" s="212"/>
      <c r="L989" s="213"/>
      <c r="M989" s="174"/>
      <c r="N989" s="213"/>
    </row>
    <row r="990" ht="12.75" customHeight="1">
      <c r="A990" s="199"/>
      <c r="B990" s="214"/>
      <c r="E990" s="212"/>
      <c r="L990" s="213"/>
      <c r="M990" s="174"/>
      <c r="N990" s="213"/>
    </row>
    <row r="991" ht="12.75" customHeight="1">
      <c r="A991" s="199"/>
      <c r="B991" s="214"/>
      <c r="E991" s="212"/>
      <c r="L991" s="213"/>
      <c r="M991" s="174"/>
      <c r="N991" s="213"/>
    </row>
    <row r="992" ht="12.75" customHeight="1">
      <c r="A992" s="199"/>
      <c r="B992" s="214"/>
      <c r="E992" s="212"/>
      <c r="L992" s="213"/>
      <c r="M992" s="174"/>
      <c r="N992" s="213"/>
    </row>
    <row r="993" ht="12.75" customHeight="1">
      <c r="A993" s="199"/>
      <c r="B993" s="214"/>
      <c r="E993" s="212"/>
      <c r="L993" s="213"/>
      <c r="M993" s="174"/>
      <c r="N993" s="213"/>
    </row>
    <row r="994" ht="12.75" customHeight="1">
      <c r="A994" s="199"/>
      <c r="B994" s="214"/>
      <c r="E994" s="212"/>
      <c r="L994" s="213"/>
      <c r="M994" s="174"/>
      <c r="N994" s="213"/>
    </row>
    <row r="995" ht="12.75" customHeight="1">
      <c r="A995" s="199"/>
      <c r="B995" s="214"/>
      <c r="E995" s="212"/>
      <c r="L995" s="213"/>
      <c r="M995" s="174"/>
      <c r="N995" s="213"/>
    </row>
    <row r="996" ht="12.75" customHeight="1">
      <c r="A996" s="199"/>
      <c r="B996" s="214"/>
      <c r="E996" s="212"/>
      <c r="L996" s="213"/>
      <c r="M996" s="174"/>
      <c r="N996" s="213"/>
    </row>
    <row r="997" ht="12.75" customHeight="1">
      <c r="A997" s="199"/>
      <c r="B997" s="214"/>
      <c r="E997" s="212"/>
      <c r="L997" s="213"/>
      <c r="M997" s="174"/>
      <c r="N997" s="213"/>
    </row>
    <row r="998" ht="12.75" customHeight="1">
      <c r="A998" s="199"/>
      <c r="B998" s="214"/>
      <c r="E998" s="212"/>
      <c r="L998" s="213"/>
      <c r="M998" s="174"/>
      <c r="N998" s="213"/>
    </row>
  </sheetData>
  <mergeCells count="205">
    <mergeCell ref="I19:J19"/>
    <mergeCell ref="I20:J20"/>
    <mergeCell ref="I12:J12"/>
    <mergeCell ref="I13:J13"/>
    <mergeCell ref="I14:J14"/>
    <mergeCell ref="I15:J15"/>
    <mergeCell ref="I16:J16"/>
    <mergeCell ref="I17:J17"/>
    <mergeCell ref="I18:J18"/>
    <mergeCell ref="G23:H23"/>
    <mergeCell ref="I23:J23"/>
    <mergeCell ref="G18:H18"/>
    <mergeCell ref="G19:H19"/>
    <mergeCell ref="G20:H20"/>
    <mergeCell ref="G21:H21"/>
    <mergeCell ref="I21:J21"/>
    <mergeCell ref="G22:H22"/>
    <mergeCell ref="I22:J22"/>
    <mergeCell ref="G8:H8"/>
    <mergeCell ref="I8:J8"/>
    <mergeCell ref="G9:H9"/>
    <mergeCell ref="I9:J9"/>
    <mergeCell ref="G10:H10"/>
    <mergeCell ref="I10:J10"/>
    <mergeCell ref="I11:J11"/>
    <mergeCell ref="G11:H11"/>
    <mergeCell ref="G12:H12"/>
    <mergeCell ref="G13:H13"/>
    <mergeCell ref="G14:H14"/>
    <mergeCell ref="G15:H15"/>
    <mergeCell ref="G16:H16"/>
    <mergeCell ref="G17:H17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7:D67"/>
    <mergeCell ref="C68:D68"/>
    <mergeCell ref="C69:D69"/>
    <mergeCell ref="C70:D70"/>
    <mergeCell ref="C60:D60"/>
    <mergeCell ref="C61:D61"/>
    <mergeCell ref="C62:D62"/>
    <mergeCell ref="C63:D63"/>
    <mergeCell ref="C64:D64"/>
    <mergeCell ref="C65:D65"/>
    <mergeCell ref="C66:D66"/>
    <mergeCell ref="B1:P1"/>
    <mergeCell ref="C2:D2"/>
    <mergeCell ref="G2:H2"/>
    <mergeCell ref="I2:J2"/>
    <mergeCell ref="C4:D4"/>
    <mergeCell ref="I4:J4"/>
    <mergeCell ref="C5:D5"/>
    <mergeCell ref="I5:J5"/>
    <mergeCell ref="G4:H4"/>
    <mergeCell ref="G5:H5"/>
    <mergeCell ref="C6:D6"/>
    <mergeCell ref="G6:H6"/>
    <mergeCell ref="I6:J6"/>
    <mergeCell ref="G7:H7"/>
    <mergeCell ref="I7:J7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I24:J24"/>
    <mergeCell ref="G25:H25"/>
    <mergeCell ref="I25:J25"/>
    <mergeCell ref="G32:H32"/>
    <mergeCell ref="G33:H33"/>
    <mergeCell ref="G34:H34"/>
    <mergeCell ref="I33:J33"/>
    <mergeCell ref="I34:J34"/>
    <mergeCell ref="I53:J53"/>
    <mergeCell ref="I54:J54"/>
    <mergeCell ref="I46:J46"/>
    <mergeCell ref="I47:J47"/>
    <mergeCell ref="I48:J48"/>
    <mergeCell ref="I49:J49"/>
    <mergeCell ref="I50:J50"/>
    <mergeCell ref="I51:J51"/>
    <mergeCell ref="I52:J52"/>
    <mergeCell ref="G57:H57"/>
    <mergeCell ref="I57:J57"/>
    <mergeCell ref="G58:H58"/>
    <mergeCell ref="I58:J58"/>
    <mergeCell ref="G59:H59"/>
    <mergeCell ref="I59:J59"/>
    <mergeCell ref="I60:J60"/>
    <mergeCell ref="G67:H67"/>
    <mergeCell ref="G68:H68"/>
    <mergeCell ref="G69:H69"/>
    <mergeCell ref="G70:H70"/>
    <mergeCell ref="G60:H60"/>
    <mergeCell ref="G61:H61"/>
    <mergeCell ref="G62:H62"/>
    <mergeCell ref="G63:H63"/>
    <mergeCell ref="G64:H64"/>
    <mergeCell ref="G65:H65"/>
    <mergeCell ref="G66:H66"/>
    <mergeCell ref="I68:J68"/>
    <mergeCell ref="I69:J69"/>
    <mergeCell ref="I70:J70"/>
    <mergeCell ref="I61:J61"/>
    <mergeCell ref="I62:J62"/>
    <mergeCell ref="I63:J63"/>
    <mergeCell ref="I64:J64"/>
    <mergeCell ref="I65:J65"/>
    <mergeCell ref="I66:J66"/>
    <mergeCell ref="I67:J67"/>
    <mergeCell ref="G24:H24"/>
    <mergeCell ref="G26:H26"/>
    <mergeCell ref="I26:J26"/>
    <mergeCell ref="G27:H27"/>
    <mergeCell ref="I27:J27"/>
    <mergeCell ref="G28:H28"/>
    <mergeCell ref="I28:J28"/>
    <mergeCell ref="G29:H29"/>
    <mergeCell ref="I29:J29"/>
    <mergeCell ref="G30:H30"/>
    <mergeCell ref="I30:J30"/>
    <mergeCell ref="G31:H31"/>
    <mergeCell ref="I31:J31"/>
    <mergeCell ref="I32:J32"/>
    <mergeCell ref="G35:H35"/>
    <mergeCell ref="I35:J35"/>
    <mergeCell ref="G36:H36"/>
    <mergeCell ref="I36:J36"/>
    <mergeCell ref="G37:H37"/>
    <mergeCell ref="I37:J37"/>
    <mergeCell ref="I38:J38"/>
    <mergeCell ref="G38:H38"/>
    <mergeCell ref="G39:H39"/>
    <mergeCell ref="G40:H40"/>
    <mergeCell ref="G41:H41"/>
    <mergeCell ref="G42:H42"/>
    <mergeCell ref="G43:H43"/>
    <mergeCell ref="G44:H44"/>
    <mergeCell ref="I39:J39"/>
    <mergeCell ref="I40:J40"/>
    <mergeCell ref="I41:J41"/>
    <mergeCell ref="I42:J42"/>
    <mergeCell ref="I43:J43"/>
    <mergeCell ref="I44:J44"/>
    <mergeCell ref="I45:J45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I55:J55"/>
    <mergeCell ref="G56:H56"/>
    <mergeCell ref="I56:J5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hidden="1" min="1" max="1" width="4.57"/>
    <col customWidth="1" min="2" max="2" width="14.86"/>
    <col customWidth="1" min="3" max="3" width="49.14"/>
    <col customWidth="1" min="4" max="4" width="29.43"/>
    <col customWidth="1" hidden="1" min="5" max="5" width="13.86"/>
    <col customWidth="1" hidden="1" min="6" max="6" width="11.57"/>
    <col customWidth="1" hidden="1" min="7" max="7" width="7.71"/>
    <col customWidth="1" hidden="1" min="8" max="8" width="1.86"/>
    <col customWidth="1" hidden="1" min="9" max="9" width="12.43"/>
    <col customWidth="1" hidden="1" min="10" max="10" width="0.43"/>
    <col customWidth="1" hidden="1" min="11" max="11" width="12.57"/>
    <col customWidth="1" min="12" max="12" width="16.0"/>
    <col customWidth="1" hidden="1" min="13" max="13" width="18.0"/>
    <col customWidth="1" min="14" max="14" width="18.0"/>
    <col customWidth="1" min="15" max="15" width="1.29"/>
    <col customWidth="1" min="16" max="16" width="16.29"/>
    <col customWidth="1" min="17" max="19" width="9.0"/>
    <col customWidth="1" min="20" max="20" width="11.0"/>
    <col customWidth="1" min="21" max="28" width="9.0"/>
  </cols>
  <sheetData>
    <row r="1" ht="39.0" customHeight="1">
      <c r="A1" s="155"/>
      <c r="B1" s="156" t="s">
        <v>253</v>
      </c>
    </row>
    <row r="2" ht="36.0" customHeight="1">
      <c r="A2" s="157" t="s">
        <v>375</v>
      </c>
      <c r="B2" s="124" t="s">
        <v>255</v>
      </c>
      <c r="C2" s="125" t="s">
        <v>16</v>
      </c>
      <c r="D2" s="35"/>
      <c r="E2" s="126" t="s">
        <v>376</v>
      </c>
      <c r="F2" s="158" t="s">
        <v>377</v>
      </c>
      <c r="G2" s="159" t="s">
        <v>378</v>
      </c>
      <c r="H2" s="35"/>
      <c r="I2" s="159" t="s">
        <v>379</v>
      </c>
      <c r="J2" s="35"/>
      <c r="K2" s="160" t="s">
        <v>380</v>
      </c>
      <c r="L2" s="161" t="s">
        <v>261</v>
      </c>
      <c r="M2" s="162" t="s">
        <v>262</v>
      </c>
      <c r="N2" s="163" t="s">
        <v>263</v>
      </c>
      <c r="O2" s="164"/>
      <c r="P2" s="165" t="s">
        <v>24</v>
      </c>
      <c r="Q2" s="166" t="s">
        <v>25</v>
      </c>
      <c r="R2" s="167" t="s">
        <v>26</v>
      </c>
      <c r="T2" s="168" t="s">
        <v>27</v>
      </c>
      <c r="X2" s="132" t="s">
        <v>140</v>
      </c>
    </row>
    <row r="3" ht="1.5" customHeight="1">
      <c r="A3" s="169"/>
      <c r="B3" s="170"/>
      <c r="C3" s="171"/>
      <c r="D3" s="171"/>
      <c r="E3" s="172"/>
      <c r="F3" s="171"/>
      <c r="G3" s="171"/>
      <c r="H3" s="171"/>
      <c r="I3" s="171"/>
      <c r="J3" s="171"/>
      <c r="K3" s="171"/>
      <c r="L3" s="173"/>
      <c r="M3" s="174"/>
      <c r="N3" s="175"/>
      <c r="O3" s="176"/>
      <c r="P3" s="177"/>
      <c r="Q3" s="178"/>
      <c r="R3" s="179"/>
    </row>
    <row r="4">
      <c r="A4" s="180">
        <v>1.0</v>
      </c>
      <c r="B4" s="181">
        <v>758517.0</v>
      </c>
      <c r="C4" s="182" t="s">
        <v>264</v>
      </c>
      <c r="D4" s="35"/>
      <c r="E4" s="183">
        <v>240.0</v>
      </c>
      <c r="F4" s="184">
        <v>1176.0</v>
      </c>
      <c r="G4" s="185">
        <v>21.0</v>
      </c>
      <c r="H4" s="35"/>
      <c r="I4" s="185">
        <v>50.0</v>
      </c>
      <c r="J4" s="35"/>
      <c r="K4" s="184">
        <v>141120.0</v>
      </c>
      <c r="L4" s="186">
        <f t="shared" ref="L4:L30" si="1">K4/E4</f>
        <v>588</v>
      </c>
      <c r="M4" s="187">
        <f t="shared" ref="M4:M70" si="2">L4*1.21</f>
        <v>711.48</v>
      </c>
      <c r="N4" s="188">
        <f t="shared" ref="N4:N70" si="3">M4*1.45</f>
        <v>1031.646</v>
      </c>
      <c r="O4" s="189"/>
      <c r="P4" s="190">
        <f>L4*2.3</f>
        <v>1352.4</v>
      </c>
      <c r="Q4" s="191">
        <v>1.0</v>
      </c>
      <c r="R4" s="192">
        <f t="shared" ref="R4:R70" si="4">E4-Q4</f>
        <v>239</v>
      </c>
      <c r="T4" s="145">
        <f t="shared" ref="T4:T70" si="5"> ROUNDUP(N4,-2)</f>
        <v>1100</v>
      </c>
      <c r="X4" s="145">
        <f t="shared" ref="X4:X70" si="6">ROUNDUP(P4,-2)</f>
        <v>1400</v>
      </c>
    </row>
    <row r="5">
      <c r="A5" s="180">
        <v>2.0</v>
      </c>
      <c r="B5" s="181">
        <v>758518.0</v>
      </c>
      <c r="C5" s="182" t="s">
        <v>265</v>
      </c>
      <c r="D5" s="35"/>
      <c r="E5" s="183">
        <v>240.0</v>
      </c>
      <c r="F5" s="184">
        <v>2112.0</v>
      </c>
      <c r="G5" s="185">
        <v>21.0</v>
      </c>
      <c r="H5" s="35"/>
      <c r="I5" s="185">
        <v>50.0</v>
      </c>
      <c r="J5" s="35"/>
      <c r="K5" s="184">
        <v>253440.0</v>
      </c>
      <c r="L5" s="186">
        <f t="shared" si="1"/>
        <v>1056</v>
      </c>
      <c r="M5" s="187">
        <f t="shared" si="2"/>
        <v>1277.76</v>
      </c>
      <c r="N5" s="188">
        <f t="shared" si="3"/>
        <v>1852.752</v>
      </c>
      <c r="O5" s="189"/>
      <c r="P5" s="190">
        <f>L5*2</f>
        <v>2112</v>
      </c>
      <c r="Q5" s="191">
        <v>2.0</v>
      </c>
      <c r="R5" s="192">
        <f t="shared" si="4"/>
        <v>238</v>
      </c>
      <c r="T5" s="145">
        <f t="shared" si="5"/>
        <v>1900</v>
      </c>
      <c r="X5" s="145">
        <f t="shared" si="6"/>
        <v>2200</v>
      </c>
    </row>
    <row r="6">
      <c r="A6" s="180">
        <v>3.0</v>
      </c>
      <c r="B6" s="181">
        <v>758511.0</v>
      </c>
      <c r="C6" s="193" t="s">
        <v>381</v>
      </c>
      <c r="D6" s="35"/>
      <c r="E6" s="183">
        <v>240.0</v>
      </c>
      <c r="F6" s="194">
        <v>672.0</v>
      </c>
      <c r="G6" s="185">
        <v>21.0</v>
      </c>
      <c r="H6" s="35"/>
      <c r="I6" s="185">
        <v>50.0</v>
      </c>
      <c r="J6" s="35"/>
      <c r="K6" s="184">
        <v>80640.0</v>
      </c>
      <c r="L6" s="186">
        <f t="shared" si="1"/>
        <v>336</v>
      </c>
      <c r="M6" s="187">
        <f t="shared" si="2"/>
        <v>406.56</v>
      </c>
      <c r="N6" s="188">
        <f t="shared" si="3"/>
        <v>589.512</v>
      </c>
      <c r="O6" s="189"/>
      <c r="P6" s="190">
        <f>L6*3</f>
        <v>1008</v>
      </c>
      <c r="Q6" s="195"/>
      <c r="R6" s="192">
        <f t="shared" si="4"/>
        <v>240</v>
      </c>
      <c r="T6" s="145">
        <f t="shared" si="5"/>
        <v>600</v>
      </c>
      <c r="X6" s="145">
        <f t="shared" si="6"/>
        <v>1100</v>
      </c>
    </row>
    <row r="7">
      <c r="A7" s="180">
        <v>4.0</v>
      </c>
      <c r="B7" s="181">
        <v>427559.0</v>
      </c>
      <c r="C7" s="196" t="s">
        <v>382</v>
      </c>
      <c r="D7" s="35"/>
      <c r="E7" s="183">
        <v>6.0</v>
      </c>
      <c r="F7" s="184">
        <v>5544.0</v>
      </c>
      <c r="G7" s="185">
        <v>21.0</v>
      </c>
      <c r="H7" s="35"/>
      <c r="I7" s="185">
        <v>50.0</v>
      </c>
      <c r="J7" s="35"/>
      <c r="K7" s="184">
        <v>16632.0</v>
      </c>
      <c r="L7" s="186">
        <f t="shared" si="1"/>
        <v>2772</v>
      </c>
      <c r="M7" s="187">
        <f t="shared" si="2"/>
        <v>3354.12</v>
      </c>
      <c r="N7" s="188">
        <f t="shared" si="3"/>
        <v>4863.474</v>
      </c>
      <c r="O7" s="189"/>
      <c r="P7" s="190">
        <f t="shared" ref="P7:P70" si="7">M7*1.5</f>
        <v>5031.18</v>
      </c>
      <c r="Q7" s="197">
        <v>2.0</v>
      </c>
      <c r="R7" s="192">
        <f t="shared" si="4"/>
        <v>4</v>
      </c>
      <c r="T7" s="145">
        <f t="shared" si="5"/>
        <v>4900</v>
      </c>
      <c r="X7" s="145">
        <f t="shared" si="6"/>
        <v>5100</v>
      </c>
    </row>
    <row r="8">
      <c r="A8" s="180">
        <v>5.0</v>
      </c>
      <c r="B8" s="181">
        <v>427551.0</v>
      </c>
      <c r="C8" s="215" t="s">
        <v>383</v>
      </c>
      <c r="D8" s="35"/>
      <c r="E8" s="183">
        <v>6.0</v>
      </c>
      <c r="F8" s="184">
        <v>5184.0</v>
      </c>
      <c r="G8" s="185">
        <v>21.0</v>
      </c>
      <c r="H8" s="35"/>
      <c r="I8" s="185">
        <v>50.0</v>
      </c>
      <c r="J8" s="35"/>
      <c r="K8" s="184">
        <v>15552.0</v>
      </c>
      <c r="L8" s="186">
        <f t="shared" si="1"/>
        <v>2592</v>
      </c>
      <c r="M8" s="187">
        <f t="shared" si="2"/>
        <v>3136.32</v>
      </c>
      <c r="N8" s="188">
        <f t="shared" si="3"/>
        <v>4547.664</v>
      </c>
      <c r="O8" s="189"/>
      <c r="P8" s="190">
        <f t="shared" si="7"/>
        <v>4704.48</v>
      </c>
      <c r="Q8" s="195"/>
      <c r="R8" s="192">
        <f t="shared" si="4"/>
        <v>6</v>
      </c>
      <c r="T8" s="145">
        <f t="shared" si="5"/>
        <v>4600</v>
      </c>
      <c r="X8" s="145">
        <f t="shared" si="6"/>
        <v>4800</v>
      </c>
    </row>
    <row r="9">
      <c r="A9" s="180">
        <v>6.0</v>
      </c>
      <c r="B9" s="181">
        <v>427611.0</v>
      </c>
      <c r="C9" s="196" t="s">
        <v>384</v>
      </c>
      <c r="D9" s="35"/>
      <c r="E9" s="183">
        <v>6.0</v>
      </c>
      <c r="F9" s="184">
        <v>4788.0</v>
      </c>
      <c r="G9" s="185">
        <v>21.0</v>
      </c>
      <c r="H9" s="35"/>
      <c r="I9" s="185">
        <v>50.0</v>
      </c>
      <c r="J9" s="35"/>
      <c r="K9" s="184">
        <v>14364.0</v>
      </c>
      <c r="L9" s="186">
        <f t="shared" si="1"/>
        <v>2394</v>
      </c>
      <c r="M9" s="187">
        <f t="shared" si="2"/>
        <v>2896.74</v>
      </c>
      <c r="N9" s="188">
        <f t="shared" si="3"/>
        <v>4200.273</v>
      </c>
      <c r="O9" s="189"/>
      <c r="P9" s="190">
        <f t="shared" si="7"/>
        <v>4345.11</v>
      </c>
      <c r="Q9" s="195"/>
      <c r="R9" s="192">
        <f t="shared" si="4"/>
        <v>6</v>
      </c>
      <c r="T9" s="145">
        <f t="shared" si="5"/>
        <v>4300</v>
      </c>
      <c r="X9" s="145">
        <f t="shared" si="6"/>
        <v>4400</v>
      </c>
    </row>
    <row r="10" ht="18.75" customHeight="1">
      <c r="A10" s="180">
        <v>7.0</v>
      </c>
      <c r="B10" s="181">
        <v>427546.0</v>
      </c>
      <c r="C10" s="196" t="s">
        <v>385</v>
      </c>
      <c r="D10" s="35"/>
      <c r="E10" s="183">
        <v>6.0</v>
      </c>
      <c r="F10" s="184">
        <v>2520.0</v>
      </c>
      <c r="G10" s="185">
        <v>21.0</v>
      </c>
      <c r="H10" s="35"/>
      <c r="I10" s="185">
        <v>50.0</v>
      </c>
      <c r="J10" s="35"/>
      <c r="K10" s="184">
        <v>7560.0</v>
      </c>
      <c r="L10" s="186">
        <f t="shared" si="1"/>
        <v>1260</v>
      </c>
      <c r="M10" s="187">
        <f t="shared" si="2"/>
        <v>1524.6</v>
      </c>
      <c r="N10" s="188">
        <f t="shared" si="3"/>
        <v>2210.67</v>
      </c>
      <c r="O10" s="189"/>
      <c r="P10" s="190">
        <f t="shared" si="7"/>
        <v>2286.9</v>
      </c>
      <c r="Q10" s="195"/>
      <c r="R10" s="192">
        <f t="shared" si="4"/>
        <v>6</v>
      </c>
      <c r="T10" s="145">
        <f t="shared" si="5"/>
        <v>2300</v>
      </c>
      <c r="X10" s="145">
        <f t="shared" si="6"/>
        <v>2300</v>
      </c>
    </row>
    <row r="11" ht="18.75" customHeight="1">
      <c r="A11" s="180">
        <v>8.0</v>
      </c>
      <c r="B11" s="181">
        <v>427548.0</v>
      </c>
      <c r="C11" s="196" t="s">
        <v>386</v>
      </c>
      <c r="D11" s="35"/>
      <c r="E11" s="183">
        <v>6.0</v>
      </c>
      <c r="F11" s="184">
        <v>2016.0</v>
      </c>
      <c r="G11" s="185">
        <v>21.0</v>
      </c>
      <c r="H11" s="35"/>
      <c r="I11" s="185">
        <v>50.0</v>
      </c>
      <c r="J11" s="35"/>
      <c r="K11" s="184">
        <v>6048.0</v>
      </c>
      <c r="L11" s="186">
        <f t="shared" si="1"/>
        <v>1008</v>
      </c>
      <c r="M11" s="187">
        <f t="shared" si="2"/>
        <v>1219.68</v>
      </c>
      <c r="N11" s="188">
        <f t="shared" si="3"/>
        <v>1768.536</v>
      </c>
      <c r="O11" s="189"/>
      <c r="P11" s="190">
        <f t="shared" si="7"/>
        <v>1829.52</v>
      </c>
      <c r="Q11" s="191">
        <v>1.0</v>
      </c>
      <c r="R11" s="192">
        <f t="shared" si="4"/>
        <v>5</v>
      </c>
      <c r="T11" s="145">
        <f t="shared" si="5"/>
        <v>1800</v>
      </c>
      <c r="X11" s="145">
        <f t="shared" si="6"/>
        <v>1900</v>
      </c>
    </row>
    <row r="12" ht="18.0" customHeight="1">
      <c r="A12" s="180">
        <v>10.0</v>
      </c>
      <c r="B12" s="181">
        <v>326982.0</v>
      </c>
      <c r="C12" s="198" t="s">
        <v>387</v>
      </c>
      <c r="D12" s="35"/>
      <c r="E12" s="183">
        <v>12.0</v>
      </c>
      <c r="F12" s="184">
        <v>10834.92</v>
      </c>
      <c r="G12" s="185">
        <v>21.0</v>
      </c>
      <c r="H12" s="35"/>
      <c r="I12" s="185">
        <v>50.0</v>
      </c>
      <c r="J12" s="35"/>
      <c r="K12" s="184">
        <v>65009.5</v>
      </c>
      <c r="L12" s="186">
        <f t="shared" si="1"/>
        <v>5417.458333</v>
      </c>
      <c r="M12" s="187">
        <f t="shared" si="2"/>
        <v>6555.124583</v>
      </c>
      <c r="N12" s="188">
        <f t="shared" si="3"/>
        <v>9504.930646</v>
      </c>
      <c r="O12" s="189"/>
      <c r="P12" s="190">
        <f t="shared" si="7"/>
        <v>9832.686875</v>
      </c>
      <c r="Q12" s="195"/>
      <c r="R12" s="192">
        <f t="shared" si="4"/>
        <v>12</v>
      </c>
      <c r="T12" s="145">
        <f t="shared" si="5"/>
        <v>9600</v>
      </c>
      <c r="X12" s="145">
        <f t="shared" si="6"/>
        <v>9900</v>
      </c>
    </row>
    <row r="13" ht="18.75" customHeight="1">
      <c r="A13" s="199"/>
      <c r="B13" s="181">
        <v>321897.0</v>
      </c>
      <c r="C13" s="198" t="s">
        <v>388</v>
      </c>
      <c r="D13" s="35"/>
      <c r="E13" s="183">
        <v>12.0</v>
      </c>
      <c r="F13" s="184">
        <v>13155.08</v>
      </c>
      <c r="G13" s="185">
        <v>21.0</v>
      </c>
      <c r="H13" s="35"/>
      <c r="I13" s="185">
        <v>50.0</v>
      </c>
      <c r="J13" s="35"/>
      <c r="K13" s="184">
        <v>78930.48</v>
      </c>
      <c r="L13" s="186">
        <f t="shared" si="1"/>
        <v>6577.54</v>
      </c>
      <c r="M13" s="187">
        <f t="shared" si="2"/>
        <v>7958.8234</v>
      </c>
      <c r="N13" s="188">
        <f t="shared" si="3"/>
        <v>11540.29393</v>
      </c>
      <c r="O13" s="189"/>
      <c r="P13" s="190">
        <f t="shared" si="7"/>
        <v>11938.2351</v>
      </c>
      <c r="Q13" s="195"/>
      <c r="R13" s="192">
        <f t="shared" si="4"/>
        <v>12</v>
      </c>
      <c r="T13" s="145">
        <f t="shared" si="5"/>
        <v>11600</v>
      </c>
      <c r="X13" s="145">
        <f t="shared" si="6"/>
        <v>12000</v>
      </c>
    </row>
    <row r="14" ht="19.5" customHeight="1">
      <c r="A14" s="180">
        <v>11.0</v>
      </c>
      <c r="B14" s="181">
        <v>321900.0</v>
      </c>
      <c r="C14" s="198" t="s">
        <v>389</v>
      </c>
      <c r="D14" s="35"/>
      <c r="E14" s="183">
        <v>12.0</v>
      </c>
      <c r="F14" s="184">
        <v>13155.08</v>
      </c>
      <c r="G14" s="185">
        <v>21.0</v>
      </c>
      <c r="H14" s="35"/>
      <c r="I14" s="185">
        <v>50.0</v>
      </c>
      <c r="J14" s="35"/>
      <c r="K14" s="184">
        <v>78930.48</v>
      </c>
      <c r="L14" s="186">
        <f t="shared" si="1"/>
        <v>6577.54</v>
      </c>
      <c r="M14" s="187">
        <f t="shared" si="2"/>
        <v>7958.8234</v>
      </c>
      <c r="N14" s="188">
        <f t="shared" si="3"/>
        <v>11540.29393</v>
      </c>
      <c r="O14" s="189"/>
      <c r="P14" s="190">
        <f t="shared" si="7"/>
        <v>11938.2351</v>
      </c>
      <c r="Q14" s="195"/>
      <c r="R14" s="192">
        <f t="shared" si="4"/>
        <v>12</v>
      </c>
      <c r="T14" s="145">
        <f t="shared" si="5"/>
        <v>11600</v>
      </c>
      <c r="X14" s="145">
        <f t="shared" si="6"/>
        <v>12000</v>
      </c>
    </row>
    <row r="15" ht="19.5" customHeight="1">
      <c r="A15" s="180">
        <v>12.0</v>
      </c>
      <c r="B15" s="181">
        <v>321903.0</v>
      </c>
      <c r="C15" s="198" t="s">
        <v>390</v>
      </c>
      <c r="D15" s="35"/>
      <c r="E15" s="183">
        <v>12.0</v>
      </c>
      <c r="F15" s="184">
        <v>13155.08</v>
      </c>
      <c r="G15" s="185">
        <v>21.0</v>
      </c>
      <c r="H15" s="35"/>
      <c r="I15" s="185">
        <v>50.0</v>
      </c>
      <c r="J15" s="35"/>
      <c r="K15" s="184">
        <v>78930.48</v>
      </c>
      <c r="L15" s="186">
        <f t="shared" si="1"/>
        <v>6577.54</v>
      </c>
      <c r="M15" s="187">
        <f t="shared" si="2"/>
        <v>7958.8234</v>
      </c>
      <c r="N15" s="188">
        <f t="shared" si="3"/>
        <v>11540.29393</v>
      </c>
      <c r="O15" s="189"/>
      <c r="P15" s="190">
        <f t="shared" si="7"/>
        <v>11938.2351</v>
      </c>
      <c r="Q15" s="195"/>
      <c r="R15" s="192">
        <f t="shared" si="4"/>
        <v>12</v>
      </c>
      <c r="T15" s="145">
        <f t="shared" si="5"/>
        <v>11600</v>
      </c>
      <c r="X15" s="145">
        <f t="shared" si="6"/>
        <v>12000</v>
      </c>
    </row>
    <row r="16" ht="19.5" customHeight="1">
      <c r="A16" s="180">
        <v>13.0</v>
      </c>
      <c r="B16" s="181">
        <v>321916.0</v>
      </c>
      <c r="C16" s="200" t="s">
        <v>276</v>
      </c>
      <c r="D16" s="35"/>
      <c r="E16" s="183">
        <v>12.0</v>
      </c>
      <c r="F16" s="184">
        <v>16448.22</v>
      </c>
      <c r="G16" s="185">
        <v>21.0</v>
      </c>
      <c r="H16" s="35"/>
      <c r="I16" s="185">
        <v>50.0</v>
      </c>
      <c r="J16" s="35"/>
      <c r="K16" s="184">
        <v>98689.3</v>
      </c>
      <c r="L16" s="186">
        <f t="shared" si="1"/>
        <v>8224.108333</v>
      </c>
      <c r="M16" s="187">
        <f t="shared" si="2"/>
        <v>9951.171083</v>
      </c>
      <c r="N16" s="188">
        <f t="shared" si="3"/>
        <v>14429.19807</v>
      </c>
      <c r="O16" s="189"/>
      <c r="P16" s="190">
        <f t="shared" si="7"/>
        <v>14926.75663</v>
      </c>
      <c r="Q16" s="195"/>
      <c r="R16" s="192">
        <f t="shared" si="4"/>
        <v>12</v>
      </c>
      <c r="T16" s="145">
        <f t="shared" si="5"/>
        <v>14500</v>
      </c>
      <c r="X16" s="145">
        <f t="shared" si="6"/>
        <v>15000</v>
      </c>
    </row>
    <row r="17" ht="17.25" customHeight="1">
      <c r="A17" s="180">
        <v>14.0</v>
      </c>
      <c r="B17" s="181">
        <v>367234.0</v>
      </c>
      <c r="C17" s="201" t="s">
        <v>391</v>
      </c>
      <c r="D17" s="35"/>
      <c r="E17" s="183">
        <v>1.0</v>
      </c>
      <c r="F17" s="184">
        <v>24491.17</v>
      </c>
      <c r="G17" s="185">
        <v>21.0</v>
      </c>
      <c r="H17" s="35"/>
      <c r="I17" s="185">
        <v>50.0</v>
      </c>
      <c r="J17" s="35"/>
      <c r="K17" s="184">
        <v>12245.59</v>
      </c>
      <c r="L17" s="186">
        <f t="shared" si="1"/>
        <v>12245.59</v>
      </c>
      <c r="M17" s="187">
        <f t="shared" si="2"/>
        <v>14817.1639</v>
      </c>
      <c r="N17" s="188">
        <f t="shared" si="3"/>
        <v>21484.88766</v>
      </c>
      <c r="O17" s="189"/>
      <c r="P17" s="190">
        <f t="shared" si="7"/>
        <v>22225.74585</v>
      </c>
      <c r="Q17" s="195"/>
      <c r="R17" s="192">
        <f t="shared" si="4"/>
        <v>1</v>
      </c>
      <c r="T17" s="145">
        <f t="shared" si="5"/>
        <v>21500</v>
      </c>
      <c r="X17" s="145">
        <f t="shared" si="6"/>
        <v>22300</v>
      </c>
    </row>
    <row r="18" ht="17.25" customHeight="1">
      <c r="A18" s="180">
        <v>15.0</v>
      </c>
      <c r="B18" s="181">
        <v>367258.0</v>
      </c>
      <c r="C18" s="202" t="s">
        <v>392</v>
      </c>
      <c r="D18" s="35"/>
      <c r="E18" s="183">
        <v>10.0</v>
      </c>
      <c r="F18" s="184">
        <v>15567.55</v>
      </c>
      <c r="G18" s="185">
        <v>21.0</v>
      </c>
      <c r="H18" s="35"/>
      <c r="I18" s="185">
        <v>50.0</v>
      </c>
      <c r="J18" s="35"/>
      <c r="K18" s="184">
        <v>77837.76</v>
      </c>
      <c r="L18" s="186">
        <f t="shared" si="1"/>
        <v>7783.776</v>
      </c>
      <c r="M18" s="187">
        <f t="shared" si="2"/>
        <v>9418.36896</v>
      </c>
      <c r="N18" s="188">
        <f t="shared" si="3"/>
        <v>13656.63499</v>
      </c>
      <c r="O18" s="189"/>
      <c r="P18" s="190">
        <f t="shared" si="7"/>
        <v>14127.55344</v>
      </c>
      <c r="Q18" s="195"/>
      <c r="R18" s="192">
        <f t="shared" si="4"/>
        <v>10</v>
      </c>
      <c r="T18" s="145">
        <f t="shared" si="5"/>
        <v>13700</v>
      </c>
      <c r="X18" s="145">
        <f t="shared" si="6"/>
        <v>14200</v>
      </c>
    </row>
    <row r="19" ht="18.75" customHeight="1">
      <c r="A19" s="180">
        <v>16.0</v>
      </c>
      <c r="B19" s="181">
        <v>22.0</v>
      </c>
      <c r="C19" s="202" t="s">
        <v>393</v>
      </c>
      <c r="D19" s="35"/>
      <c r="E19" s="183">
        <v>10.0</v>
      </c>
      <c r="F19" s="184">
        <v>13758.54</v>
      </c>
      <c r="G19" s="185">
        <v>21.0</v>
      </c>
      <c r="H19" s="35"/>
      <c r="I19" s="185">
        <v>50.0</v>
      </c>
      <c r="J19" s="35"/>
      <c r="K19" s="184">
        <v>68792.72</v>
      </c>
      <c r="L19" s="186">
        <f t="shared" si="1"/>
        <v>6879.272</v>
      </c>
      <c r="M19" s="187">
        <f t="shared" si="2"/>
        <v>8323.91912</v>
      </c>
      <c r="N19" s="188">
        <f t="shared" si="3"/>
        <v>12069.68272</v>
      </c>
      <c r="O19" s="189"/>
      <c r="P19" s="190">
        <f t="shared" si="7"/>
        <v>12485.87868</v>
      </c>
      <c r="Q19" s="195"/>
      <c r="R19" s="192">
        <f t="shared" si="4"/>
        <v>10</v>
      </c>
      <c r="T19" s="145">
        <f t="shared" si="5"/>
        <v>12100</v>
      </c>
      <c r="X19" s="145">
        <f t="shared" si="6"/>
        <v>12500</v>
      </c>
    </row>
    <row r="20">
      <c r="A20" s="203">
        <v>17.0</v>
      </c>
      <c r="B20" s="204" t="s">
        <v>280</v>
      </c>
      <c r="C20" s="205" t="s">
        <v>281</v>
      </c>
      <c r="D20" s="35"/>
      <c r="E20" s="183">
        <v>2.0</v>
      </c>
      <c r="F20" s="184">
        <v>13242.28</v>
      </c>
      <c r="G20" s="185">
        <v>21.0</v>
      </c>
      <c r="H20" s="35"/>
      <c r="I20" s="185">
        <v>50.0</v>
      </c>
      <c r="J20" s="35"/>
      <c r="K20" s="184">
        <v>13242.28</v>
      </c>
      <c r="L20" s="186">
        <f t="shared" si="1"/>
        <v>6621.14</v>
      </c>
      <c r="M20" s="187">
        <f t="shared" si="2"/>
        <v>8011.5794</v>
      </c>
      <c r="N20" s="188">
        <f t="shared" si="3"/>
        <v>11616.79013</v>
      </c>
      <c r="O20" s="189"/>
      <c r="P20" s="190">
        <f t="shared" si="7"/>
        <v>12017.3691</v>
      </c>
      <c r="Q20" s="195"/>
      <c r="R20" s="192">
        <f t="shared" si="4"/>
        <v>2</v>
      </c>
      <c r="T20" s="145">
        <f t="shared" si="5"/>
        <v>11700</v>
      </c>
      <c r="X20" s="145">
        <f t="shared" si="6"/>
        <v>12100</v>
      </c>
    </row>
    <row r="21">
      <c r="A21" s="203">
        <v>18.0</v>
      </c>
      <c r="B21" s="204" t="s">
        <v>282</v>
      </c>
      <c r="C21" s="205" t="s">
        <v>283</v>
      </c>
      <c r="D21" s="35"/>
      <c r="E21" s="183">
        <v>1.0</v>
      </c>
      <c r="F21" s="184">
        <v>20482.97</v>
      </c>
      <c r="G21" s="185">
        <v>21.0</v>
      </c>
      <c r="H21" s="35"/>
      <c r="I21" s="185">
        <v>50.0</v>
      </c>
      <c r="J21" s="35"/>
      <c r="K21" s="184">
        <v>10241.48</v>
      </c>
      <c r="L21" s="186">
        <f t="shared" si="1"/>
        <v>10241.48</v>
      </c>
      <c r="M21" s="187">
        <f t="shared" si="2"/>
        <v>12392.1908</v>
      </c>
      <c r="N21" s="188">
        <f t="shared" si="3"/>
        <v>17968.67666</v>
      </c>
      <c r="O21" s="189"/>
      <c r="P21" s="190">
        <f t="shared" si="7"/>
        <v>18588.2862</v>
      </c>
      <c r="Q21" s="195"/>
      <c r="R21" s="192">
        <f t="shared" si="4"/>
        <v>1</v>
      </c>
      <c r="T21" s="145">
        <f t="shared" si="5"/>
        <v>18000</v>
      </c>
      <c r="X21" s="145">
        <f t="shared" si="6"/>
        <v>18600</v>
      </c>
    </row>
    <row r="22" ht="18.0" customHeight="1">
      <c r="A22" s="203">
        <v>19.0</v>
      </c>
      <c r="B22" s="204" t="s">
        <v>284</v>
      </c>
      <c r="C22" s="205" t="s">
        <v>285</v>
      </c>
      <c r="D22" s="35"/>
      <c r="E22" s="183">
        <v>1.0</v>
      </c>
      <c r="F22" s="184">
        <v>40455.99</v>
      </c>
      <c r="G22" s="185">
        <v>21.0</v>
      </c>
      <c r="H22" s="35"/>
      <c r="I22" s="185">
        <v>50.0</v>
      </c>
      <c r="J22" s="35"/>
      <c r="K22" s="184">
        <v>20227.99</v>
      </c>
      <c r="L22" s="186">
        <f t="shared" si="1"/>
        <v>20227.99</v>
      </c>
      <c r="M22" s="187">
        <f t="shared" si="2"/>
        <v>24475.8679</v>
      </c>
      <c r="N22" s="188">
        <f t="shared" si="3"/>
        <v>35490.00846</v>
      </c>
      <c r="O22" s="189"/>
      <c r="P22" s="190">
        <f t="shared" si="7"/>
        <v>36713.80185</v>
      </c>
      <c r="Q22" s="195"/>
      <c r="R22" s="192">
        <f t="shared" si="4"/>
        <v>1</v>
      </c>
      <c r="T22" s="145">
        <f t="shared" si="5"/>
        <v>35500</v>
      </c>
      <c r="X22" s="145">
        <f t="shared" si="6"/>
        <v>36800</v>
      </c>
    </row>
    <row r="23" ht="18.75" customHeight="1">
      <c r="A23" s="206">
        <v>20.0</v>
      </c>
      <c r="B23" s="204" t="s">
        <v>286</v>
      </c>
      <c r="C23" s="205" t="s">
        <v>287</v>
      </c>
      <c r="D23" s="35"/>
      <c r="E23" s="183">
        <v>1.0</v>
      </c>
      <c r="F23" s="184">
        <v>85133.22</v>
      </c>
      <c r="G23" s="185">
        <v>21.0</v>
      </c>
      <c r="H23" s="35"/>
      <c r="I23" s="185">
        <v>50.0</v>
      </c>
      <c r="J23" s="35"/>
      <c r="K23" s="184">
        <v>42566.61</v>
      </c>
      <c r="L23" s="186">
        <f t="shared" si="1"/>
        <v>42566.61</v>
      </c>
      <c r="M23" s="187">
        <f t="shared" si="2"/>
        <v>51505.5981</v>
      </c>
      <c r="N23" s="188">
        <f t="shared" si="3"/>
        <v>74683.11725</v>
      </c>
      <c r="O23" s="189"/>
      <c r="P23" s="190">
        <f t="shared" si="7"/>
        <v>77258.39715</v>
      </c>
      <c r="Q23" s="195"/>
      <c r="R23" s="192">
        <f t="shared" si="4"/>
        <v>1</v>
      </c>
      <c r="T23" s="145">
        <f t="shared" si="5"/>
        <v>74700</v>
      </c>
      <c r="U23" s="207"/>
      <c r="X23" s="145">
        <f t="shared" si="6"/>
        <v>77300</v>
      </c>
    </row>
    <row r="24" ht="16.5" customHeight="1">
      <c r="A24" s="206">
        <v>21.0</v>
      </c>
      <c r="B24" s="204" t="s">
        <v>288</v>
      </c>
      <c r="C24" s="205" t="s">
        <v>289</v>
      </c>
      <c r="D24" s="35"/>
      <c r="E24" s="183">
        <v>2.0</v>
      </c>
      <c r="F24" s="184">
        <v>133918.38</v>
      </c>
      <c r="G24" s="185">
        <v>21.0</v>
      </c>
      <c r="H24" s="35"/>
      <c r="I24" s="185">
        <v>50.0</v>
      </c>
      <c r="J24" s="35"/>
      <c r="K24" s="184">
        <v>133918.38</v>
      </c>
      <c r="L24" s="186">
        <f t="shared" si="1"/>
        <v>66959.19</v>
      </c>
      <c r="M24" s="187">
        <f t="shared" si="2"/>
        <v>81020.6199</v>
      </c>
      <c r="N24" s="188">
        <f t="shared" si="3"/>
        <v>117479.8989</v>
      </c>
      <c r="O24" s="189"/>
      <c r="P24" s="190">
        <f t="shared" si="7"/>
        <v>121530.9299</v>
      </c>
      <c r="Q24" s="195"/>
      <c r="R24" s="192">
        <f t="shared" si="4"/>
        <v>2</v>
      </c>
      <c r="T24" s="145">
        <f t="shared" si="5"/>
        <v>117500</v>
      </c>
      <c r="X24" s="145">
        <f t="shared" si="6"/>
        <v>121600</v>
      </c>
    </row>
    <row r="25" ht="16.5" customHeight="1">
      <c r="A25" s="180">
        <v>22.0</v>
      </c>
      <c r="B25" s="204" t="s">
        <v>290</v>
      </c>
      <c r="C25" s="208" t="s">
        <v>291</v>
      </c>
      <c r="D25" s="35"/>
      <c r="E25" s="183">
        <v>2.0</v>
      </c>
      <c r="F25" s="184">
        <v>16573.36</v>
      </c>
      <c r="G25" s="185">
        <v>21.0</v>
      </c>
      <c r="H25" s="35"/>
      <c r="I25" s="185">
        <v>50.0</v>
      </c>
      <c r="J25" s="35"/>
      <c r="K25" s="184">
        <v>16573.36</v>
      </c>
      <c r="L25" s="186">
        <f t="shared" si="1"/>
        <v>8286.68</v>
      </c>
      <c r="M25" s="187">
        <f t="shared" si="2"/>
        <v>10026.8828</v>
      </c>
      <c r="N25" s="188">
        <f t="shared" si="3"/>
        <v>14538.98006</v>
      </c>
      <c r="O25" s="189"/>
      <c r="P25" s="190">
        <f t="shared" si="7"/>
        <v>15040.3242</v>
      </c>
      <c r="Q25" s="195"/>
      <c r="R25" s="192">
        <f t="shared" si="4"/>
        <v>2</v>
      </c>
      <c r="T25" s="145">
        <f t="shared" si="5"/>
        <v>14600</v>
      </c>
      <c r="X25" s="145">
        <f t="shared" si="6"/>
        <v>15100</v>
      </c>
    </row>
    <row r="26" ht="17.25" customHeight="1">
      <c r="A26" s="180">
        <v>23.0</v>
      </c>
      <c r="B26" s="204" t="s">
        <v>292</v>
      </c>
      <c r="C26" s="208" t="s">
        <v>293</v>
      </c>
      <c r="D26" s="35"/>
      <c r="E26" s="183">
        <v>2.0</v>
      </c>
      <c r="F26" s="184">
        <v>24222.6</v>
      </c>
      <c r="G26" s="185">
        <v>21.0</v>
      </c>
      <c r="H26" s="35"/>
      <c r="I26" s="185">
        <v>50.0</v>
      </c>
      <c r="J26" s="35"/>
      <c r="K26" s="184">
        <v>24222.6</v>
      </c>
      <c r="L26" s="186">
        <f t="shared" si="1"/>
        <v>12111.3</v>
      </c>
      <c r="M26" s="187">
        <f t="shared" si="2"/>
        <v>14654.673</v>
      </c>
      <c r="N26" s="188">
        <f t="shared" si="3"/>
        <v>21249.27585</v>
      </c>
      <c r="O26" s="189"/>
      <c r="P26" s="190">
        <f t="shared" si="7"/>
        <v>21982.0095</v>
      </c>
      <c r="Q26" s="195"/>
      <c r="R26" s="192">
        <f t="shared" si="4"/>
        <v>2</v>
      </c>
      <c r="T26" s="145">
        <f t="shared" si="5"/>
        <v>21300</v>
      </c>
      <c r="X26" s="145">
        <f t="shared" si="6"/>
        <v>22000</v>
      </c>
    </row>
    <row r="27" ht="16.5" customHeight="1">
      <c r="A27" s="180">
        <v>24.0</v>
      </c>
      <c r="B27" s="204" t="s">
        <v>294</v>
      </c>
      <c r="C27" s="208" t="s">
        <v>295</v>
      </c>
      <c r="D27" s="35"/>
      <c r="E27" s="183">
        <v>2.0</v>
      </c>
      <c r="F27" s="184">
        <v>29095.45</v>
      </c>
      <c r="G27" s="185">
        <v>21.0</v>
      </c>
      <c r="H27" s="35"/>
      <c r="I27" s="185">
        <v>50.0</v>
      </c>
      <c r="J27" s="35"/>
      <c r="K27" s="184">
        <v>29095.45</v>
      </c>
      <c r="L27" s="186">
        <f t="shared" si="1"/>
        <v>14547.725</v>
      </c>
      <c r="M27" s="187">
        <f t="shared" si="2"/>
        <v>17602.74725</v>
      </c>
      <c r="N27" s="188">
        <f t="shared" si="3"/>
        <v>25523.98351</v>
      </c>
      <c r="O27" s="189"/>
      <c r="P27" s="190">
        <f t="shared" si="7"/>
        <v>26404.12088</v>
      </c>
      <c r="Q27" s="195"/>
      <c r="R27" s="192">
        <f t="shared" si="4"/>
        <v>2</v>
      </c>
      <c r="T27" s="145">
        <f t="shared" si="5"/>
        <v>25600</v>
      </c>
      <c r="X27" s="145">
        <f t="shared" si="6"/>
        <v>26500</v>
      </c>
    </row>
    <row r="28" ht="16.5" customHeight="1">
      <c r="A28" s="180">
        <v>25.0</v>
      </c>
      <c r="B28" s="204">
        <v>65449.0</v>
      </c>
      <c r="C28" s="209" t="s">
        <v>296</v>
      </c>
      <c r="D28" s="35"/>
      <c r="E28" s="183">
        <v>4.0</v>
      </c>
      <c r="F28" s="184">
        <v>9710.4</v>
      </c>
      <c r="G28" s="185">
        <v>21.0</v>
      </c>
      <c r="H28" s="35"/>
      <c r="I28" s="185">
        <v>50.0</v>
      </c>
      <c r="J28" s="35"/>
      <c r="K28" s="184">
        <v>19420.8</v>
      </c>
      <c r="L28" s="186">
        <f t="shared" si="1"/>
        <v>4855.2</v>
      </c>
      <c r="M28" s="187">
        <f t="shared" si="2"/>
        <v>5874.792</v>
      </c>
      <c r="N28" s="188">
        <f t="shared" si="3"/>
        <v>8518.4484</v>
      </c>
      <c r="O28" s="189"/>
      <c r="P28" s="190">
        <f t="shared" si="7"/>
        <v>8812.188</v>
      </c>
      <c r="Q28" s="191">
        <v>1.0</v>
      </c>
      <c r="R28" s="192">
        <f t="shared" si="4"/>
        <v>3</v>
      </c>
      <c r="T28" s="145">
        <f t="shared" si="5"/>
        <v>8600</v>
      </c>
      <c r="X28" s="145">
        <f t="shared" si="6"/>
        <v>8900</v>
      </c>
    </row>
    <row r="29" ht="18.75" customHeight="1">
      <c r="A29" s="180">
        <v>26.0</v>
      </c>
      <c r="B29" s="204">
        <v>65448.0</v>
      </c>
      <c r="C29" s="209" t="s">
        <v>297</v>
      </c>
      <c r="D29" s="35"/>
      <c r="E29" s="183">
        <v>4.0</v>
      </c>
      <c r="F29" s="184">
        <v>13204.8</v>
      </c>
      <c r="G29" s="185">
        <v>21.0</v>
      </c>
      <c r="H29" s="35"/>
      <c r="I29" s="185">
        <v>50.0</v>
      </c>
      <c r="J29" s="35"/>
      <c r="K29" s="184">
        <v>26409.6</v>
      </c>
      <c r="L29" s="186">
        <f t="shared" si="1"/>
        <v>6602.4</v>
      </c>
      <c r="M29" s="187">
        <f t="shared" si="2"/>
        <v>7988.904</v>
      </c>
      <c r="N29" s="188">
        <f t="shared" si="3"/>
        <v>11583.9108</v>
      </c>
      <c r="O29" s="189"/>
      <c r="P29" s="190">
        <f t="shared" si="7"/>
        <v>11983.356</v>
      </c>
      <c r="Q29" s="195"/>
      <c r="R29" s="192">
        <f t="shared" si="4"/>
        <v>4</v>
      </c>
      <c r="T29" s="145">
        <f t="shared" si="5"/>
        <v>11600</v>
      </c>
      <c r="X29" s="145">
        <f t="shared" si="6"/>
        <v>12000</v>
      </c>
    </row>
    <row r="30" ht="17.25" customHeight="1">
      <c r="A30" s="180">
        <v>27.0</v>
      </c>
      <c r="B30" s="204">
        <v>65430.0</v>
      </c>
      <c r="C30" s="209" t="s">
        <v>298</v>
      </c>
      <c r="D30" s="35"/>
      <c r="E30" s="183">
        <v>4.0</v>
      </c>
      <c r="F30" s="184">
        <v>30441.6</v>
      </c>
      <c r="G30" s="185">
        <v>21.0</v>
      </c>
      <c r="H30" s="35"/>
      <c r="I30" s="185">
        <v>50.0</v>
      </c>
      <c r="J30" s="35"/>
      <c r="K30" s="184">
        <v>60883.2</v>
      </c>
      <c r="L30" s="186">
        <f t="shared" si="1"/>
        <v>15220.8</v>
      </c>
      <c r="M30" s="187">
        <f t="shared" si="2"/>
        <v>18417.168</v>
      </c>
      <c r="N30" s="188">
        <f t="shared" si="3"/>
        <v>26704.8936</v>
      </c>
      <c r="O30" s="189"/>
      <c r="P30" s="190">
        <f t="shared" si="7"/>
        <v>27625.752</v>
      </c>
      <c r="Q30" s="195"/>
      <c r="R30" s="192">
        <f t="shared" si="4"/>
        <v>4</v>
      </c>
      <c r="T30" s="145">
        <f t="shared" si="5"/>
        <v>26800</v>
      </c>
      <c r="X30" s="145">
        <f t="shared" si="6"/>
        <v>27700</v>
      </c>
    </row>
    <row r="31" ht="17.25" customHeight="1">
      <c r="A31" s="180">
        <v>28.0</v>
      </c>
      <c r="B31" s="204">
        <v>65385.0</v>
      </c>
      <c r="C31" s="209" t="s">
        <v>299</v>
      </c>
      <c r="D31" s="35"/>
      <c r="E31" s="183">
        <v>2.0</v>
      </c>
      <c r="F31" s="184">
        <v>55675.2</v>
      </c>
      <c r="G31" s="185">
        <v>21.0</v>
      </c>
      <c r="H31" s="35"/>
      <c r="I31" s="185">
        <v>50.0</v>
      </c>
      <c r="J31" s="35"/>
      <c r="K31" s="184">
        <f>F31/2</f>
        <v>27837.6</v>
      </c>
      <c r="L31" s="186">
        <f>K31*(1-0.5)</f>
        <v>13918.8</v>
      </c>
      <c r="M31" s="187">
        <f t="shared" si="2"/>
        <v>16841.748</v>
      </c>
      <c r="N31" s="188">
        <f t="shared" si="3"/>
        <v>24420.5346</v>
      </c>
      <c r="O31" s="189"/>
      <c r="P31" s="190">
        <f t="shared" si="7"/>
        <v>25262.622</v>
      </c>
      <c r="Q31" s="191">
        <v>1.0</v>
      </c>
      <c r="R31" s="192">
        <f t="shared" si="4"/>
        <v>1</v>
      </c>
      <c r="T31" s="145">
        <f t="shared" si="5"/>
        <v>24500</v>
      </c>
      <c r="X31" s="145">
        <f t="shared" si="6"/>
        <v>25300</v>
      </c>
    </row>
    <row r="32" ht="18.0" customHeight="1">
      <c r="A32" s="180">
        <v>29.0</v>
      </c>
      <c r="B32" s="204">
        <v>65424.0</v>
      </c>
      <c r="C32" s="209" t="s">
        <v>300</v>
      </c>
      <c r="D32" s="35"/>
      <c r="E32" s="183">
        <v>4.0</v>
      </c>
      <c r="F32" s="184">
        <v>27081.6</v>
      </c>
      <c r="G32" s="185">
        <v>21.0</v>
      </c>
      <c r="H32" s="35"/>
      <c r="I32" s="185">
        <v>50.0</v>
      </c>
      <c r="J32" s="35"/>
      <c r="K32" s="184">
        <v>54163.2</v>
      </c>
      <c r="L32" s="186">
        <f t="shared" ref="L32:L70" si="8">K32/E32</f>
        <v>13540.8</v>
      </c>
      <c r="M32" s="187">
        <f t="shared" si="2"/>
        <v>16384.368</v>
      </c>
      <c r="N32" s="188">
        <f t="shared" si="3"/>
        <v>23757.3336</v>
      </c>
      <c r="O32" s="189"/>
      <c r="P32" s="190">
        <f t="shared" si="7"/>
        <v>24576.552</v>
      </c>
      <c r="Q32" s="195"/>
      <c r="R32" s="192">
        <f t="shared" si="4"/>
        <v>4</v>
      </c>
      <c r="T32" s="145">
        <f t="shared" si="5"/>
        <v>23800</v>
      </c>
      <c r="X32" s="145">
        <f t="shared" si="6"/>
        <v>24600</v>
      </c>
    </row>
    <row r="33" ht="18.0" customHeight="1">
      <c r="A33" s="180">
        <v>30.0</v>
      </c>
      <c r="B33" s="204">
        <v>65425.0</v>
      </c>
      <c r="C33" s="209" t="s">
        <v>301</v>
      </c>
      <c r="D33" s="35"/>
      <c r="E33" s="183">
        <v>4.0</v>
      </c>
      <c r="F33" s="184">
        <v>31785.6</v>
      </c>
      <c r="G33" s="185">
        <v>21.0</v>
      </c>
      <c r="H33" s="35"/>
      <c r="I33" s="185">
        <v>50.0</v>
      </c>
      <c r="J33" s="35"/>
      <c r="K33" s="184">
        <v>63571.2</v>
      </c>
      <c r="L33" s="186">
        <f t="shared" si="8"/>
        <v>15892.8</v>
      </c>
      <c r="M33" s="187">
        <f t="shared" si="2"/>
        <v>19230.288</v>
      </c>
      <c r="N33" s="188">
        <f t="shared" si="3"/>
        <v>27883.9176</v>
      </c>
      <c r="O33" s="189"/>
      <c r="P33" s="190">
        <f t="shared" si="7"/>
        <v>28845.432</v>
      </c>
      <c r="Q33" s="191">
        <v>1.0</v>
      </c>
      <c r="R33" s="192">
        <f t="shared" si="4"/>
        <v>3</v>
      </c>
      <c r="T33" s="145">
        <f t="shared" si="5"/>
        <v>27900</v>
      </c>
      <c r="X33" s="145">
        <f t="shared" si="6"/>
        <v>28900</v>
      </c>
    </row>
    <row r="34" ht="18.0" customHeight="1">
      <c r="A34" s="180">
        <v>31.0</v>
      </c>
      <c r="B34" s="204">
        <v>65436.0</v>
      </c>
      <c r="C34" s="209" t="s">
        <v>302</v>
      </c>
      <c r="D34" s="35"/>
      <c r="E34" s="183">
        <v>2.0</v>
      </c>
      <c r="F34" s="184">
        <v>34104.0</v>
      </c>
      <c r="G34" s="185">
        <v>21.0</v>
      </c>
      <c r="H34" s="35"/>
      <c r="I34" s="185">
        <v>50.0</v>
      </c>
      <c r="J34" s="35"/>
      <c r="K34" s="184">
        <v>34104.0</v>
      </c>
      <c r="L34" s="186">
        <f t="shared" si="8"/>
        <v>17052</v>
      </c>
      <c r="M34" s="187">
        <f t="shared" si="2"/>
        <v>20632.92</v>
      </c>
      <c r="N34" s="188">
        <f t="shared" si="3"/>
        <v>29917.734</v>
      </c>
      <c r="O34" s="189"/>
      <c r="P34" s="190">
        <f t="shared" si="7"/>
        <v>30949.38</v>
      </c>
      <c r="Q34" s="191">
        <v>1.0</v>
      </c>
      <c r="R34" s="192">
        <f t="shared" si="4"/>
        <v>1</v>
      </c>
      <c r="T34" s="145">
        <f t="shared" si="5"/>
        <v>30000</v>
      </c>
      <c r="X34" s="145">
        <f t="shared" si="6"/>
        <v>31000</v>
      </c>
    </row>
    <row r="35" ht="20.25" customHeight="1">
      <c r="A35" s="180">
        <v>32.0</v>
      </c>
      <c r="B35" s="67" t="s">
        <v>303</v>
      </c>
      <c r="C35" s="210" t="s">
        <v>304</v>
      </c>
      <c r="D35" s="35"/>
      <c r="E35" s="183">
        <v>5.0</v>
      </c>
      <c r="F35" s="184">
        <v>13931.61</v>
      </c>
      <c r="G35" s="185">
        <v>21.0</v>
      </c>
      <c r="H35" s="35"/>
      <c r="I35" s="185">
        <v>50.0</v>
      </c>
      <c r="J35" s="35"/>
      <c r="K35" s="184">
        <v>34829.02</v>
      </c>
      <c r="L35" s="186">
        <f t="shared" si="8"/>
        <v>6965.804</v>
      </c>
      <c r="M35" s="187">
        <f t="shared" si="2"/>
        <v>8428.62284</v>
      </c>
      <c r="N35" s="188">
        <f t="shared" si="3"/>
        <v>12221.50312</v>
      </c>
      <c r="O35" s="189"/>
      <c r="P35" s="190">
        <f t="shared" si="7"/>
        <v>12642.93426</v>
      </c>
      <c r="Q35" s="195"/>
      <c r="R35" s="192">
        <f t="shared" si="4"/>
        <v>5</v>
      </c>
      <c r="T35" s="145">
        <f t="shared" si="5"/>
        <v>12300</v>
      </c>
      <c r="X35" s="145">
        <f t="shared" si="6"/>
        <v>12700</v>
      </c>
    </row>
    <row r="36" ht="20.25" customHeight="1">
      <c r="A36" s="180">
        <v>33.0</v>
      </c>
      <c r="B36" s="67" t="s">
        <v>305</v>
      </c>
      <c r="C36" s="210" t="s">
        <v>306</v>
      </c>
      <c r="D36" s="35"/>
      <c r="E36" s="183">
        <v>5.0</v>
      </c>
      <c r="F36" s="184">
        <v>3410.35</v>
      </c>
      <c r="G36" s="185">
        <v>21.0</v>
      </c>
      <c r="H36" s="35"/>
      <c r="I36" s="185">
        <v>50.0</v>
      </c>
      <c r="J36" s="35"/>
      <c r="K36" s="184">
        <v>8525.87</v>
      </c>
      <c r="L36" s="186">
        <f t="shared" si="8"/>
        <v>1705.174</v>
      </c>
      <c r="M36" s="187">
        <f t="shared" si="2"/>
        <v>2063.26054</v>
      </c>
      <c r="N36" s="188">
        <f t="shared" si="3"/>
        <v>2991.727783</v>
      </c>
      <c r="O36" s="189"/>
      <c r="P36" s="190">
        <f t="shared" si="7"/>
        <v>3094.89081</v>
      </c>
      <c r="Q36" s="195"/>
      <c r="R36" s="192">
        <f t="shared" si="4"/>
        <v>5</v>
      </c>
      <c r="T36" s="145">
        <f t="shared" si="5"/>
        <v>3000</v>
      </c>
      <c r="X36" s="145">
        <f t="shared" si="6"/>
        <v>3100</v>
      </c>
    </row>
    <row r="37" ht="17.25" customHeight="1">
      <c r="A37" s="180">
        <v>34.0</v>
      </c>
      <c r="B37" s="67" t="s">
        <v>307</v>
      </c>
      <c r="C37" s="210" t="s">
        <v>308</v>
      </c>
      <c r="D37" s="35"/>
      <c r="E37" s="183">
        <v>5.0</v>
      </c>
      <c r="F37" s="184">
        <v>5198.7</v>
      </c>
      <c r="G37" s="185">
        <v>21.0</v>
      </c>
      <c r="H37" s="35"/>
      <c r="I37" s="185">
        <v>50.0</v>
      </c>
      <c r="J37" s="35"/>
      <c r="K37" s="184">
        <v>12996.75</v>
      </c>
      <c r="L37" s="186">
        <f t="shared" si="8"/>
        <v>2599.35</v>
      </c>
      <c r="M37" s="187">
        <f t="shared" si="2"/>
        <v>3145.2135</v>
      </c>
      <c r="N37" s="188">
        <f t="shared" si="3"/>
        <v>4560.559575</v>
      </c>
      <c r="O37" s="189"/>
      <c r="P37" s="190">
        <f t="shared" si="7"/>
        <v>4717.82025</v>
      </c>
      <c r="Q37" s="195"/>
      <c r="R37" s="192">
        <f t="shared" si="4"/>
        <v>5</v>
      </c>
      <c r="T37" s="145">
        <f t="shared" si="5"/>
        <v>4600</v>
      </c>
      <c r="X37" s="145">
        <f t="shared" si="6"/>
        <v>4800</v>
      </c>
    </row>
    <row r="38" ht="18.0" customHeight="1">
      <c r="A38" s="180">
        <v>35.0</v>
      </c>
      <c r="B38" s="67" t="s">
        <v>309</v>
      </c>
      <c r="C38" s="210" t="s">
        <v>310</v>
      </c>
      <c r="D38" s="35"/>
      <c r="E38" s="183">
        <v>5.0</v>
      </c>
      <c r="F38" s="184">
        <v>3405.5</v>
      </c>
      <c r="G38" s="185">
        <v>21.0</v>
      </c>
      <c r="H38" s="35"/>
      <c r="I38" s="185">
        <v>50.0</v>
      </c>
      <c r="J38" s="35"/>
      <c r="K38" s="184">
        <v>8513.75</v>
      </c>
      <c r="L38" s="186">
        <f t="shared" si="8"/>
        <v>1702.75</v>
      </c>
      <c r="M38" s="187">
        <f t="shared" si="2"/>
        <v>2060.3275</v>
      </c>
      <c r="N38" s="188">
        <f t="shared" si="3"/>
        <v>2987.474875</v>
      </c>
      <c r="O38" s="189"/>
      <c r="P38" s="190">
        <f t="shared" si="7"/>
        <v>3090.49125</v>
      </c>
      <c r="Q38" s="195"/>
      <c r="R38" s="192">
        <f t="shared" si="4"/>
        <v>5</v>
      </c>
      <c r="T38" s="145">
        <f t="shared" si="5"/>
        <v>3000</v>
      </c>
      <c r="X38" s="145">
        <f t="shared" si="6"/>
        <v>3100</v>
      </c>
    </row>
    <row r="39" ht="18.0" customHeight="1">
      <c r="A39" s="180">
        <v>36.0</v>
      </c>
      <c r="B39" s="67" t="s">
        <v>311</v>
      </c>
      <c r="C39" s="210" t="s">
        <v>312</v>
      </c>
      <c r="D39" s="35"/>
      <c r="E39" s="183">
        <v>4.0</v>
      </c>
      <c r="F39" s="184">
        <v>42234.24</v>
      </c>
      <c r="G39" s="185">
        <v>21.0</v>
      </c>
      <c r="H39" s="35"/>
      <c r="I39" s="185">
        <v>50.0</v>
      </c>
      <c r="J39" s="35"/>
      <c r="K39" s="184">
        <v>84468.48</v>
      </c>
      <c r="L39" s="186">
        <f t="shared" si="8"/>
        <v>21117.12</v>
      </c>
      <c r="M39" s="187">
        <f t="shared" si="2"/>
        <v>25551.7152</v>
      </c>
      <c r="N39" s="188">
        <f t="shared" si="3"/>
        <v>37049.98704</v>
      </c>
      <c r="O39" s="189"/>
      <c r="P39" s="190">
        <f t="shared" si="7"/>
        <v>38327.5728</v>
      </c>
      <c r="Q39" s="195"/>
      <c r="R39" s="192">
        <f t="shared" si="4"/>
        <v>4</v>
      </c>
      <c r="T39" s="145">
        <f t="shared" si="5"/>
        <v>37100</v>
      </c>
      <c r="X39" s="145">
        <f t="shared" si="6"/>
        <v>38400</v>
      </c>
    </row>
    <row r="40">
      <c r="A40" s="180">
        <v>37.0</v>
      </c>
      <c r="B40" s="67" t="s">
        <v>313</v>
      </c>
      <c r="C40" s="210" t="s">
        <v>314</v>
      </c>
      <c r="D40" s="35"/>
      <c r="E40" s="183">
        <v>4.0</v>
      </c>
      <c r="F40" s="184">
        <v>40300.32</v>
      </c>
      <c r="G40" s="185">
        <v>21.0</v>
      </c>
      <c r="H40" s="35"/>
      <c r="I40" s="185">
        <v>50.0</v>
      </c>
      <c r="J40" s="35"/>
      <c r="K40" s="184">
        <v>80600.64</v>
      </c>
      <c r="L40" s="186">
        <f t="shared" si="8"/>
        <v>20150.16</v>
      </c>
      <c r="M40" s="187">
        <f t="shared" si="2"/>
        <v>24381.6936</v>
      </c>
      <c r="N40" s="188">
        <f t="shared" si="3"/>
        <v>35353.45572</v>
      </c>
      <c r="O40" s="189"/>
      <c r="P40" s="190">
        <f t="shared" si="7"/>
        <v>36572.5404</v>
      </c>
      <c r="Q40" s="195"/>
      <c r="R40" s="192">
        <f t="shared" si="4"/>
        <v>4</v>
      </c>
      <c r="T40" s="145">
        <f t="shared" si="5"/>
        <v>35400</v>
      </c>
      <c r="X40" s="145">
        <f t="shared" si="6"/>
        <v>36600</v>
      </c>
    </row>
    <row r="41" ht="18.0" customHeight="1">
      <c r="A41" s="180">
        <v>38.0</v>
      </c>
      <c r="B41" s="67" t="s">
        <v>315</v>
      </c>
      <c r="C41" s="210" t="s">
        <v>316</v>
      </c>
      <c r="D41" s="35"/>
      <c r="E41" s="183">
        <v>4.0</v>
      </c>
      <c r="F41" s="184">
        <v>42234.24</v>
      </c>
      <c r="G41" s="185">
        <v>21.0</v>
      </c>
      <c r="H41" s="35"/>
      <c r="I41" s="185">
        <v>50.0</v>
      </c>
      <c r="J41" s="35"/>
      <c r="K41" s="184">
        <v>84468.48</v>
      </c>
      <c r="L41" s="186">
        <f t="shared" si="8"/>
        <v>21117.12</v>
      </c>
      <c r="M41" s="187">
        <f t="shared" si="2"/>
        <v>25551.7152</v>
      </c>
      <c r="N41" s="188">
        <f t="shared" si="3"/>
        <v>37049.98704</v>
      </c>
      <c r="O41" s="189"/>
      <c r="P41" s="190">
        <f t="shared" si="7"/>
        <v>38327.5728</v>
      </c>
      <c r="Q41" s="195"/>
      <c r="R41" s="192">
        <f t="shared" si="4"/>
        <v>4</v>
      </c>
      <c r="T41" s="145">
        <f t="shared" si="5"/>
        <v>37100</v>
      </c>
      <c r="X41" s="145">
        <f t="shared" si="6"/>
        <v>38400</v>
      </c>
    </row>
    <row r="42" ht="17.25" customHeight="1">
      <c r="A42" s="180">
        <v>39.0</v>
      </c>
      <c r="B42" s="67" t="s">
        <v>317</v>
      </c>
      <c r="C42" s="210" t="s">
        <v>318</v>
      </c>
      <c r="D42" s="35"/>
      <c r="E42" s="183">
        <v>4.0</v>
      </c>
      <c r="F42" s="184">
        <v>44001.8</v>
      </c>
      <c r="G42" s="185">
        <v>21.0</v>
      </c>
      <c r="H42" s="35"/>
      <c r="I42" s="185">
        <v>50.0</v>
      </c>
      <c r="J42" s="35"/>
      <c r="K42" s="184">
        <v>88003.59</v>
      </c>
      <c r="L42" s="186">
        <f t="shared" si="8"/>
        <v>22000.8975</v>
      </c>
      <c r="M42" s="187">
        <f t="shared" si="2"/>
        <v>26621.08598</v>
      </c>
      <c r="N42" s="188">
        <f t="shared" si="3"/>
        <v>38600.57466</v>
      </c>
      <c r="O42" s="189"/>
      <c r="P42" s="190">
        <f t="shared" si="7"/>
        <v>39931.62896</v>
      </c>
      <c r="Q42" s="195"/>
      <c r="R42" s="192">
        <f t="shared" si="4"/>
        <v>4</v>
      </c>
      <c r="T42" s="145">
        <f t="shared" si="5"/>
        <v>38700</v>
      </c>
      <c r="X42" s="145">
        <f t="shared" si="6"/>
        <v>40000</v>
      </c>
    </row>
    <row r="43" ht="18.75" customHeight="1">
      <c r="A43" s="180">
        <v>40.0</v>
      </c>
      <c r="B43" s="67" t="s">
        <v>319</v>
      </c>
      <c r="C43" s="210" t="s">
        <v>320</v>
      </c>
      <c r="D43" s="35"/>
      <c r="E43" s="183">
        <v>4.0</v>
      </c>
      <c r="F43" s="184">
        <v>36973.15</v>
      </c>
      <c r="G43" s="185">
        <v>21.0</v>
      </c>
      <c r="H43" s="35"/>
      <c r="I43" s="185">
        <v>50.0</v>
      </c>
      <c r="J43" s="35"/>
      <c r="K43" s="184">
        <v>73946.31</v>
      </c>
      <c r="L43" s="186">
        <f t="shared" si="8"/>
        <v>18486.5775</v>
      </c>
      <c r="M43" s="187">
        <f t="shared" si="2"/>
        <v>22368.75878</v>
      </c>
      <c r="N43" s="188">
        <f t="shared" si="3"/>
        <v>32434.70022</v>
      </c>
      <c r="O43" s="189"/>
      <c r="P43" s="190">
        <f t="shared" si="7"/>
        <v>33553.13816</v>
      </c>
      <c r="Q43" s="195"/>
      <c r="R43" s="192">
        <f t="shared" si="4"/>
        <v>4</v>
      </c>
      <c r="T43" s="145">
        <f t="shared" si="5"/>
        <v>32500</v>
      </c>
      <c r="X43" s="145">
        <f t="shared" si="6"/>
        <v>33600</v>
      </c>
    </row>
    <row r="44" ht="20.25" customHeight="1">
      <c r="A44" s="180">
        <v>41.0</v>
      </c>
      <c r="B44" s="67" t="s">
        <v>321</v>
      </c>
      <c r="C44" s="210" t="s">
        <v>322</v>
      </c>
      <c r="D44" s="35"/>
      <c r="E44" s="183">
        <v>4.0</v>
      </c>
      <c r="F44" s="184">
        <v>42442.19</v>
      </c>
      <c r="G44" s="185">
        <v>21.0</v>
      </c>
      <c r="H44" s="35"/>
      <c r="I44" s="185">
        <v>50.0</v>
      </c>
      <c r="J44" s="35"/>
      <c r="K44" s="184">
        <v>84884.37</v>
      </c>
      <c r="L44" s="186">
        <f t="shared" si="8"/>
        <v>21221.0925</v>
      </c>
      <c r="M44" s="187">
        <f t="shared" si="2"/>
        <v>25677.52193</v>
      </c>
      <c r="N44" s="188">
        <f t="shared" si="3"/>
        <v>37232.40679</v>
      </c>
      <c r="O44" s="189"/>
      <c r="P44" s="190">
        <f t="shared" si="7"/>
        <v>38516.28289</v>
      </c>
      <c r="Q44" s="195"/>
      <c r="R44" s="192">
        <f t="shared" si="4"/>
        <v>4</v>
      </c>
      <c r="T44" s="145">
        <f t="shared" si="5"/>
        <v>37300</v>
      </c>
      <c r="X44" s="145">
        <f t="shared" si="6"/>
        <v>38600</v>
      </c>
    </row>
    <row r="45" ht="20.25" customHeight="1">
      <c r="A45" s="180">
        <v>42.0</v>
      </c>
      <c r="B45" s="67" t="s">
        <v>323</v>
      </c>
      <c r="C45" s="210" t="s">
        <v>324</v>
      </c>
      <c r="D45" s="35"/>
      <c r="E45" s="183">
        <v>5.0</v>
      </c>
      <c r="F45" s="184">
        <v>20441.29</v>
      </c>
      <c r="G45" s="185">
        <v>21.0</v>
      </c>
      <c r="H45" s="35"/>
      <c r="I45" s="185">
        <v>50.0</v>
      </c>
      <c r="J45" s="35"/>
      <c r="K45" s="184">
        <v>51103.22</v>
      </c>
      <c r="L45" s="186">
        <f t="shared" si="8"/>
        <v>10220.644</v>
      </c>
      <c r="M45" s="187">
        <f t="shared" si="2"/>
        <v>12366.97924</v>
      </c>
      <c r="N45" s="188">
        <f t="shared" si="3"/>
        <v>17932.1199</v>
      </c>
      <c r="O45" s="189"/>
      <c r="P45" s="190">
        <f t="shared" si="7"/>
        <v>18550.46886</v>
      </c>
      <c r="Q45" s="195"/>
      <c r="R45" s="192">
        <f t="shared" si="4"/>
        <v>5</v>
      </c>
      <c r="T45" s="145">
        <f t="shared" si="5"/>
        <v>18000</v>
      </c>
      <c r="X45" s="145">
        <f t="shared" si="6"/>
        <v>18600</v>
      </c>
    </row>
    <row r="46" ht="17.25" customHeight="1">
      <c r="A46" s="180">
        <v>43.0</v>
      </c>
      <c r="B46" s="67" t="s">
        <v>325</v>
      </c>
      <c r="C46" s="210" t="s">
        <v>326</v>
      </c>
      <c r="D46" s="35"/>
      <c r="E46" s="183">
        <v>5.0</v>
      </c>
      <c r="F46" s="184">
        <v>32897.37</v>
      </c>
      <c r="G46" s="185">
        <v>21.0</v>
      </c>
      <c r="H46" s="35"/>
      <c r="I46" s="185">
        <v>50.0</v>
      </c>
      <c r="J46" s="35"/>
      <c r="K46" s="184">
        <v>82243.43</v>
      </c>
      <c r="L46" s="186">
        <f t="shared" si="8"/>
        <v>16448.686</v>
      </c>
      <c r="M46" s="187">
        <f t="shared" si="2"/>
        <v>19902.91006</v>
      </c>
      <c r="N46" s="188">
        <f t="shared" si="3"/>
        <v>28859.21959</v>
      </c>
      <c r="O46" s="189"/>
      <c r="P46" s="190">
        <f t="shared" si="7"/>
        <v>29854.36509</v>
      </c>
      <c r="Q46" s="195"/>
      <c r="R46" s="192">
        <f t="shared" si="4"/>
        <v>5</v>
      </c>
      <c r="T46" s="145">
        <f t="shared" si="5"/>
        <v>28900</v>
      </c>
      <c r="X46" s="145">
        <f t="shared" si="6"/>
        <v>29900</v>
      </c>
    </row>
    <row r="47" ht="17.25" customHeight="1">
      <c r="A47" s="180">
        <v>44.0</v>
      </c>
      <c r="B47" s="67" t="s">
        <v>327</v>
      </c>
      <c r="C47" s="210" t="s">
        <v>328</v>
      </c>
      <c r="D47" s="35"/>
      <c r="E47" s="183">
        <v>5.0</v>
      </c>
      <c r="F47" s="184">
        <v>32523.07</v>
      </c>
      <c r="G47" s="185">
        <v>21.0</v>
      </c>
      <c r="H47" s="35"/>
      <c r="I47" s="185">
        <v>50.0</v>
      </c>
      <c r="J47" s="35"/>
      <c r="K47" s="184">
        <v>81307.67</v>
      </c>
      <c r="L47" s="186">
        <f t="shared" si="8"/>
        <v>16261.534</v>
      </c>
      <c r="M47" s="187">
        <f t="shared" si="2"/>
        <v>19676.45614</v>
      </c>
      <c r="N47" s="188">
        <f t="shared" si="3"/>
        <v>28530.8614</v>
      </c>
      <c r="O47" s="189"/>
      <c r="P47" s="190">
        <f t="shared" si="7"/>
        <v>29514.68421</v>
      </c>
      <c r="Q47" s="195"/>
      <c r="R47" s="192">
        <f t="shared" si="4"/>
        <v>5</v>
      </c>
      <c r="T47" s="145">
        <f t="shared" si="5"/>
        <v>28600</v>
      </c>
      <c r="X47" s="145">
        <f t="shared" si="6"/>
        <v>29600</v>
      </c>
    </row>
    <row r="48" ht="20.25" customHeight="1">
      <c r="A48" s="180">
        <v>45.0</v>
      </c>
      <c r="B48" s="204" t="s">
        <v>329</v>
      </c>
      <c r="C48" s="209" t="s">
        <v>330</v>
      </c>
      <c r="D48" s="35"/>
      <c r="E48" s="183">
        <v>5.0</v>
      </c>
      <c r="F48" s="184">
        <v>28696.82</v>
      </c>
      <c r="G48" s="185">
        <v>21.0</v>
      </c>
      <c r="H48" s="35"/>
      <c r="I48" s="185">
        <v>50.0</v>
      </c>
      <c r="J48" s="35"/>
      <c r="K48" s="184">
        <v>71742.06</v>
      </c>
      <c r="L48" s="186">
        <f t="shared" si="8"/>
        <v>14348.412</v>
      </c>
      <c r="M48" s="187">
        <f t="shared" si="2"/>
        <v>17361.57852</v>
      </c>
      <c r="N48" s="188">
        <f t="shared" si="3"/>
        <v>25174.28885</v>
      </c>
      <c r="O48" s="189"/>
      <c r="P48" s="190">
        <f t="shared" si="7"/>
        <v>26042.36778</v>
      </c>
      <c r="Q48" s="195"/>
      <c r="R48" s="192">
        <f t="shared" si="4"/>
        <v>5</v>
      </c>
      <c r="T48" s="145">
        <f t="shared" si="5"/>
        <v>25200</v>
      </c>
      <c r="X48" s="145">
        <f t="shared" si="6"/>
        <v>26100</v>
      </c>
    </row>
    <row r="49" ht="18.0" customHeight="1">
      <c r="A49" s="180">
        <v>46.0</v>
      </c>
      <c r="B49" s="67" t="s">
        <v>331</v>
      </c>
      <c r="C49" s="210" t="s">
        <v>332</v>
      </c>
      <c r="D49" s="35"/>
      <c r="E49" s="183">
        <v>5.0</v>
      </c>
      <c r="F49" s="184">
        <v>18694.53</v>
      </c>
      <c r="G49" s="185">
        <v>21.0</v>
      </c>
      <c r="H49" s="35"/>
      <c r="I49" s="185">
        <v>50.0</v>
      </c>
      <c r="J49" s="35"/>
      <c r="K49" s="184">
        <v>46736.31</v>
      </c>
      <c r="L49" s="186">
        <f t="shared" si="8"/>
        <v>9347.262</v>
      </c>
      <c r="M49" s="187">
        <f t="shared" si="2"/>
        <v>11310.18702</v>
      </c>
      <c r="N49" s="188">
        <f t="shared" si="3"/>
        <v>16399.77118</v>
      </c>
      <c r="O49" s="189"/>
      <c r="P49" s="190">
        <f t="shared" si="7"/>
        <v>16965.28053</v>
      </c>
      <c r="Q49" s="195"/>
      <c r="R49" s="192">
        <f t="shared" si="4"/>
        <v>5</v>
      </c>
      <c r="T49" s="145">
        <f t="shared" si="5"/>
        <v>16400</v>
      </c>
      <c r="X49" s="145">
        <f t="shared" si="6"/>
        <v>17000</v>
      </c>
    </row>
    <row r="50" ht="18.75" customHeight="1">
      <c r="A50" s="180">
        <v>47.0</v>
      </c>
      <c r="B50" s="67" t="s">
        <v>333</v>
      </c>
      <c r="C50" s="210" t="s">
        <v>334</v>
      </c>
      <c r="D50" s="35"/>
      <c r="E50" s="183">
        <v>5.0</v>
      </c>
      <c r="F50" s="184">
        <v>26055.88</v>
      </c>
      <c r="G50" s="185">
        <v>21.0</v>
      </c>
      <c r="H50" s="35"/>
      <c r="I50" s="185">
        <v>50.0</v>
      </c>
      <c r="J50" s="35"/>
      <c r="K50" s="184">
        <v>65139.71</v>
      </c>
      <c r="L50" s="186">
        <f t="shared" si="8"/>
        <v>13027.942</v>
      </c>
      <c r="M50" s="187">
        <f t="shared" si="2"/>
        <v>15763.80982</v>
      </c>
      <c r="N50" s="188">
        <f t="shared" si="3"/>
        <v>22857.52424</v>
      </c>
      <c r="O50" s="189"/>
      <c r="P50" s="190">
        <f t="shared" si="7"/>
        <v>23645.71473</v>
      </c>
      <c r="Q50" s="195"/>
      <c r="R50" s="192">
        <f t="shared" si="4"/>
        <v>5</v>
      </c>
      <c r="T50" s="145">
        <f t="shared" si="5"/>
        <v>22900</v>
      </c>
      <c r="X50" s="145">
        <f t="shared" si="6"/>
        <v>23700</v>
      </c>
    </row>
    <row r="51" ht="18.75" customHeight="1">
      <c r="A51" s="180">
        <v>48.0</v>
      </c>
      <c r="B51" s="67" t="s">
        <v>335</v>
      </c>
      <c r="C51" s="210" t="s">
        <v>336</v>
      </c>
      <c r="D51" s="35"/>
      <c r="E51" s="183">
        <v>3.0</v>
      </c>
      <c r="F51" s="184">
        <v>30672.33</v>
      </c>
      <c r="G51" s="185">
        <v>21.0</v>
      </c>
      <c r="H51" s="35"/>
      <c r="I51" s="185">
        <v>50.0</v>
      </c>
      <c r="J51" s="35"/>
      <c r="K51" s="184">
        <v>46008.5</v>
      </c>
      <c r="L51" s="186">
        <f t="shared" si="8"/>
        <v>15336.16667</v>
      </c>
      <c r="M51" s="187">
        <f t="shared" si="2"/>
        <v>18556.76167</v>
      </c>
      <c r="N51" s="188">
        <f t="shared" si="3"/>
        <v>26907.30442</v>
      </c>
      <c r="O51" s="189"/>
      <c r="P51" s="190">
        <f t="shared" si="7"/>
        <v>27835.1425</v>
      </c>
      <c r="Q51" s="195"/>
      <c r="R51" s="192">
        <f t="shared" si="4"/>
        <v>3</v>
      </c>
      <c r="T51" s="145">
        <f t="shared" si="5"/>
        <v>27000</v>
      </c>
      <c r="X51" s="145">
        <f t="shared" si="6"/>
        <v>27900</v>
      </c>
    </row>
    <row r="52" ht="18.0" customHeight="1">
      <c r="A52" s="180">
        <v>49.0</v>
      </c>
      <c r="B52" s="67" t="s">
        <v>337</v>
      </c>
      <c r="C52" s="210" t="s">
        <v>338</v>
      </c>
      <c r="D52" s="35"/>
      <c r="E52" s="183">
        <v>6.0</v>
      </c>
      <c r="F52" s="184">
        <v>63881.63</v>
      </c>
      <c r="G52" s="185">
        <v>21.0</v>
      </c>
      <c r="H52" s="35"/>
      <c r="I52" s="185">
        <v>50.0</v>
      </c>
      <c r="J52" s="35"/>
      <c r="K52" s="184">
        <v>191644.88</v>
      </c>
      <c r="L52" s="186">
        <f t="shared" si="8"/>
        <v>31940.81333</v>
      </c>
      <c r="M52" s="187">
        <f t="shared" si="2"/>
        <v>38648.38413</v>
      </c>
      <c r="N52" s="188">
        <f t="shared" si="3"/>
        <v>56040.15699</v>
      </c>
      <c r="O52" s="189"/>
      <c r="P52" s="190">
        <f t="shared" si="7"/>
        <v>57972.5762</v>
      </c>
      <c r="Q52" s="195"/>
      <c r="R52" s="192">
        <f t="shared" si="4"/>
        <v>6</v>
      </c>
      <c r="T52" s="145">
        <f t="shared" si="5"/>
        <v>56100</v>
      </c>
      <c r="X52" s="145">
        <f t="shared" si="6"/>
        <v>58000</v>
      </c>
    </row>
    <row r="53" ht="18.0" customHeight="1">
      <c r="A53" s="180">
        <v>50.0</v>
      </c>
      <c r="B53" s="67" t="s">
        <v>339</v>
      </c>
      <c r="C53" s="210" t="s">
        <v>340</v>
      </c>
      <c r="D53" s="35"/>
      <c r="E53" s="183">
        <v>3.0</v>
      </c>
      <c r="F53" s="184">
        <v>24059.58</v>
      </c>
      <c r="G53" s="185">
        <v>21.0</v>
      </c>
      <c r="H53" s="35"/>
      <c r="I53" s="185">
        <v>50.0</v>
      </c>
      <c r="J53" s="35"/>
      <c r="K53" s="184">
        <v>36089.38</v>
      </c>
      <c r="L53" s="186">
        <f t="shared" si="8"/>
        <v>12029.79333</v>
      </c>
      <c r="M53" s="187">
        <f t="shared" si="2"/>
        <v>14556.04993</v>
      </c>
      <c r="N53" s="188">
        <f t="shared" si="3"/>
        <v>21106.2724</v>
      </c>
      <c r="O53" s="189"/>
      <c r="P53" s="190">
        <f t="shared" si="7"/>
        <v>21834.0749</v>
      </c>
      <c r="Q53" s="195"/>
      <c r="R53" s="192">
        <f t="shared" si="4"/>
        <v>3</v>
      </c>
      <c r="T53" s="145">
        <f t="shared" si="5"/>
        <v>21200</v>
      </c>
      <c r="X53" s="145">
        <f t="shared" si="6"/>
        <v>21900</v>
      </c>
    </row>
    <row r="54" ht="20.25" customHeight="1">
      <c r="A54" s="180">
        <v>51.0</v>
      </c>
      <c r="B54" s="67" t="s">
        <v>341</v>
      </c>
      <c r="C54" s="210" t="s">
        <v>342</v>
      </c>
      <c r="D54" s="35"/>
      <c r="E54" s="183">
        <v>6.0</v>
      </c>
      <c r="F54" s="184">
        <v>9607.2</v>
      </c>
      <c r="G54" s="185">
        <v>21.0</v>
      </c>
      <c r="H54" s="35"/>
      <c r="I54" s="185">
        <v>50.0</v>
      </c>
      <c r="J54" s="35"/>
      <c r="K54" s="184">
        <v>28821.59</v>
      </c>
      <c r="L54" s="186">
        <f t="shared" si="8"/>
        <v>4803.598333</v>
      </c>
      <c r="M54" s="187">
        <f t="shared" si="2"/>
        <v>5812.353983</v>
      </c>
      <c r="N54" s="188">
        <f t="shared" si="3"/>
        <v>8427.913276</v>
      </c>
      <c r="O54" s="189"/>
      <c r="P54" s="190">
        <f t="shared" si="7"/>
        <v>8718.530975</v>
      </c>
      <c r="Q54" s="195"/>
      <c r="R54" s="192">
        <f t="shared" si="4"/>
        <v>6</v>
      </c>
      <c r="T54" s="145">
        <f t="shared" si="5"/>
        <v>8500</v>
      </c>
      <c r="X54" s="145">
        <f t="shared" si="6"/>
        <v>8800</v>
      </c>
    </row>
    <row r="55" ht="19.5" customHeight="1">
      <c r="A55" s="180">
        <v>52.0</v>
      </c>
      <c r="B55" s="67" t="s">
        <v>343</v>
      </c>
      <c r="C55" s="210" t="s">
        <v>344</v>
      </c>
      <c r="D55" s="35"/>
      <c r="E55" s="183">
        <v>6.0</v>
      </c>
      <c r="F55" s="184">
        <v>13786.95</v>
      </c>
      <c r="G55" s="185">
        <v>21.0</v>
      </c>
      <c r="H55" s="35"/>
      <c r="I55" s="185">
        <v>50.0</v>
      </c>
      <c r="J55" s="35"/>
      <c r="K55" s="184">
        <v>41360.86</v>
      </c>
      <c r="L55" s="186">
        <f t="shared" si="8"/>
        <v>6893.476667</v>
      </c>
      <c r="M55" s="187">
        <f t="shared" si="2"/>
        <v>8341.106767</v>
      </c>
      <c r="N55" s="188">
        <f t="shared" si="3"/>
        <v>12094.60481</v>
      </c>
      <c r="O55" s="189"/>
      <c r="P55" s="190">
        <f t="shared" si="7"/>
        <v>12511.66015</v>
      </c>
      <c r="Q55" s="195"/>
      <c r="R55" s="192">
        <f t="shared" si="4"/>
        <v>6</v>
      </c>
      <c r="T55" s="145">
        <f t="shared" si="5"/>
        <v>12100</v>
      </c>
      <c r="X55" s="145">
        <f t="shared" si="6"/>
        <v>12600</v>
      </c>
    </row>
    <row r="56" ht="18.75" customHeight="1">
      <c r="A56" s="180">
        <v>53.0</v>
      </c>
      <c r="B56" s="67" t="s">
        <v>345</v>
      </c>
      <c r="C56" s="210" t="s">
        <v>346</v>
      </c>
      <c r="D56" s="35"/>
      <c r="E56" s="183">
        <v>6.0</v>
      </c>
      <c r="F56" s="184">
        <v>15304.97</v>
      </c>
      <c r="G56" s="185">
        <v>21.0</v>
      </c>
      <c r="H56" s="35"/>
      <c r="I56" s="185">
        <v>50.0</v>
      </c>
      <c r="J56" s="35"/>
      <c r="K56" s="184">
        <v>45914.92</v>
      </c>
      <c r="L56" s="186">
        <f t="shared" si="8"/>
        <v>7652.486667</v>
      </c>
      <c r="M56" s="187">
        <f t="shared" si="2"/>
        <v>9259.508867</v>
      </c>
      <c r="N56" s="188">
        <f t="shared" si="3"/>
        <v>13426.28786</v>
      </c>
      <c r="O56" s="189"/>
      <c r="P56" s="190">
        <f t="shared" si="7"/>
        <v>13889.2633</v>
      </c>
      <c r="Q56" s="195"/>
      <c r="R56" s="192">
        <f t="shared" si="4"/>
        <v>6</v>
      </c>
      <c r="T56" s="145">
        <f t="shared" si="5"/>
        <v>13500</v>
      </c>
      <c r="X56" s="145">
        <f t="shared" si="6"/>
        <v>13900</v>
      </c>
    </row>
    <row r="57" ht="21.75" customHeight="1">
      <c r="A57" s="180">
        <v>54.0</v>
      </c>
      <c r="B57" s="67" t="s">
        <v>347</v>
      </c>
      <c r="C57" s="210" t="s">
        <v>348</v>
      </c>
      <c r="D57" s="35"/>
      <c r="E57" s="183">
        <v>6.0</v>
      </c>
      <c r="F57" s="184">
        <v>9607.2</v>
      </c>
      <c r="G57" s="185">
        <v>21.0</v>
      </c>
      <c r="H57" s="35"/>
      <c r="I57" s="185">
        <v>50.0</v>
      </c>
      <c r="J57" s="35"/>
      <c r="K57" s="184">
        <v>28821.59</v>
      </c>
      <c r="L57" s="186">
        <f t="shared" si="8"/>
        <v>4803.598333</v>
      </c>
      <c r="M57" s="187">
        <f t="shared" si="2"/>
        <v>5812.353983</v>
      </c>
      <c r="N57" s="188">
        <f t="shared" si="3"/>
        <v>8427.913276</v>
      </c>
      <c r="O57" s="189"/>
      <c r="P57" s="190">
        <f t="shared" si="7"/>
        <v>8718.530975</v>
      </c>
      <c r="Q57" s="195"/>
      <c r="R57" s="192">
        <f t="shared" si="4"/>
        <v>6</v>
      </c>
      <c r="T57" s="145">
        <f t="shared" si="5"/>
        <v>8500</v>
      </c>
      <c r="X57" s="145">
        <f t="shared" si="6"/>
        <v>8800</v>
      </c>
    </row>
    <row r="58" ht="21.0" customHeight="1">
      <c r="A58" s="180">
        <v>55.0</v>
      </c>
      <c r="B58" s="67" t="s">
        <v>349</v>
      </c>
      <c r="C58" s="210" t="s">
        <v>350</v>
      </c>
      <c r="D58" s="35"/>
      <c r="E58" s="183">
        <v>6.0</v>
      </c>
      <c r="F58" s="184">
        <v>12788.8</v>
      </c>
      <c r="G58" s="185">
        <v>21.0</v>
      </c>
      <c r="H58" s="35"/>
      <c r="I58" s="185">
        <v>50.0</v>
      </c>
      <c r="J58" s="35"/>
      <c r="K58" s="184">
        <v>38366.41</v>
      </c>
      <c r="L58" s="186">
        <f t="shared" si="8"/>
        <v>6394.401667</v>
      </c>
      <c r="M58" s="187">
        <f t="shared" si="2"/>
        <v>7737.226017</v>
      </c>
      <c r="N58" s="188">
        <f t="shared" si="3"/>
        <v>11218.97772</v>
      </c>
      <c r="O58" s="189"/>
      <c r="P58" s="190">
        <f t="shared" si="7"/>
        <v>11605.83903</v>
      </c>
      <c r="Q58" s="195"/>
      <c r="R58" s="192">
        <f t="shared" si="4"/>
        <v>6</v>
      </c>
      <c r="T58" s="145">
        <f t="shared" si="5"/>
        <v>11300</v>
      </c>
      <c r="X58" s="145">
        <f t="shared" si="6"/>
        <v>11700</v>
      </c>
    </row>
    <row r="59" ht="21.0" customHeight="1">
      <c r="A59" s="180">
        <v>56.0</v>
      </c>
      <c r="B59" s="67" t="s">
        <v>351</v>
      </c>
      <c r="C59" s="210" t="s">
        <v>352</v>
      </c>
      <c r="D59" s="35"/>
      <c r="E59" s="183">
        <v>6.0</v>
      </c>
      <c r="F59" s="184">
        <v>14098.87</v>
      </c>
      <c r="G59" s="185">
        <v>21.0</v>
      </c>
      <c r="H59" s="35"/>
      <c r="I59" s="185">
        <v>50.0</v>
      </c>
      <c r="J59" s="35"/>
      <c r="K59" s="184">
        <v>42296.62</v>
      </c>
      <c r="L59" s="186">
        <f t="shared" si="8"/>
        <v>7049.436667</v>
      </c>
      <c r="M59" s="187">
        <f t="shared" si="2"/>
        <v>8529.818367</v>
      </c>
      <c r="N59" s="188">
        <f t="shared" si="3"/>
        <v>12368.23663</v>
      </c>
      <c r="O59" s="189"/>
      <c r="P59" s="190">
        <f t="shared" si="7"/>
        <v>12794.72755</v>
      </c>
      <c r="Q59" s="191">
        <v>1.0</v>
      </c>
      <c r="R59" s="192">
        <f t="shared" si="4"/>
        <v>5</v>
      </c>
      <c r="T59" s="145">
        <f t="shared" si="5"/>
        <v>12400</v>
      </c>
      <c r="X59" s="145">
        <f t="shared" si="6"/>
        <v>12800</v>
      </c>
    </row>
    <row r="60" ht="21.0" customHeight="1">
      <c r="A60" s="180">
        <v>57.0</v>
      </c>
      <c r="B60" s="67" t="s">
        <v>353</v>
      </c>
      <c r="C60" s="210" t="s">
        <v>354</v>
      </c>
      <c r="D60" s="35"/>
      <c r="E60" s="183">
        <v>6.0</v>
      </c>
      <c r="F60" s="184">
        <v>17550.81</v>
      </c>
      <c r="G60" s="185">
        <v>21.0</v>
      </c>
      <c r="H60" s="35"/>
      <c r="I60" s="185">
        <v>50.0</v>
      </c>
      <c r="J60" s="35"/>
      <c r="K60" s="184">
        <v>52652.43</v>
      </c>
      <c r="L60" s="186">
        <f t="shared" si="8"/>
        <v>8775.405</v>
      </c>
      <c r="M60" s="187">
        <f t="shared" si="2"/>
        <v>10618.24005</v>
      </c>
      <c r="N60" s="188">
        <f t="shared" si="3"/>
        <v>15396.44807</v>
      </c>
      <c r="O60" s="189"/>
      <c r="P60" s="190">
        <f t="shared" si="7"/>
        <v>15927.36008</v>
      </c>
      <c r="Q60" s="195"/>
      <c r="R60" s="192">
        <f t="shared" si="4"/>
        <v>6</v>
      </c>
      <c r="T60" s="145">
        <f t="shared" si="5"/>
        <v>15400</v>
      </c>
      <c r="X60" s="145">
        <f t="shared" si="6"/>
        <v>16000</v>
      </c>
    </row>
    <row r="61" ht="19.5" customHeight="1">
      <c r="A61" s="180">
        <v>58.0</v>
      </c>
      <c r="B61" s="67" t="s">
        <v>355</v>
      </c>
      <c r="C61" s="210" t="s">
        <v>356</v>
      </c>
      <c r="D61" s="35"/>
      <c r="E61" s="183">
        <v>5.0</v>
      </c>
      <c r="F61" s="184">
        <v>6654.34</v>
      </c>
      <c r="G61" s="185">
        <v>21.0</v>
      </c>
      <c r="H61" s="35"/>
      <c r="I61" s="185">
        <v>50.0</v>
      </c>
      <c r="J61" s="35"/>
      <c r="K61" s="184">
        <v>16635.84</v>
      </c>
      <c r="L61" s="186">
        <f t="shared" si="8"/>
        <v>3327.168</v>
      </c>
      <c r="M61" s="187">
        <f t="shared" si="2"/>
        <v>4025.87328</v>
      </c>
      <c r="N61" s="188">
        <f t="shared" si="3"/>
        <v>5837.516256</v>
      </c>
      <c r="O61" s="189"/>
      <c r="P61" s="190">
        <f t="shared" si="7"/>
        <v>6038.80992</v>
      </c>
      <c r="Q61" s="195"/>
      <c r="R61" s="192">
        <f t="shared" si="4"/>
        <v>5</v>
      </c>
      <c r="T61" s="145">
        <f t="shared" si="5"/>
        <v>5900</v>
      </c>
      <c r="X61" s="145">
        <f t="shared" si="6"/>
        <v>6100</v>
      </c>
    </row>
    <row r="62" ht="18.75" customHeight="1">
      <c r="A62" s="180">
        <v>59.0</v>
      </c>
      <c r="B62" s="67" t="s">
        <v>357</v>
      </c>
      <c r="C62" s="210" t="s">
        <v>358</v>
      </c>
      <c r="D62" s="35"/>
      <c r="E62" s="183">
        <v>5.0</v>
      </c>
      <c r="F62" s="184">
        <v>7839.64</v>
      </c>
      <c r="G62" s="185">
        <v>21.0</v>
      </c>
      <c r="H62" s="35"/>
      <c r="I62" s="185">
        <v>50.0</v>
      </c>
      <c r="J62" s="35"/>
      <c r="K62" s="184">
        <v>19599.1</v>
      </c>
      <c r="L62" s="186">
        <f t="shared" si="8"/>
        <v>3919.82</v>
      </c>
      <c r="M62" s="187">
        <f t="shared" si="2"/>
        <v>4742.9822</v>
      </c>
      <c r="N62" s="188">
        <f t="shared" si="3"/>
        <v>6877.32419</v>
      </c>
      <c r="O62" s="189"/>
      <c r="P62" s="190">
        <f t="shared" si="7"/>
        <v>7114.4733</v>
      </c>
      <c r="Q62" s="195"/>
      <c r="R62" s="192">
        <f t="shared" si="4"/>
        <v>5</v>
      </c>
      <c r="T62" s="145">
        <f t="shared" si="5"/>
        <v>6900</v>
      </c>
      <c r="X62" s="145">
        <f t="shared" si="6"/>
        <v>7200</v>
      </c>
    </row>
    <row r="63" ht="19.5" customHeight="1">
      <c r="A63" s="180">
        <v>60.0</v>
      </c>
      <c r="B63" s="67" t="s">
        <v>359</v>
      </c>
      <c r="C63" s="210" t="s">
        <v>360</v>
      </c>
      <c r="D63" s="35"/>
      <c r="E63" s="183">
        <v>5.0</v>
      </c>
      <c r="F63" s="184">
        <v>6654.34</v>
      </c>
      <c r="G63" s="185">
        <v>21.0</v>
      </c>
      <c r="H63" s="35"/>
      <c r="I63" s="185">
        <v>50.0</v>
      </c>
      <c r="J63" s="35"/>
      <c r="K63" s="184">
        <v>16635.84</v>
      </c>
      <c r="L63" s="186">
        <f t="shared" si="8"/>
        <v>3327.168</v>
      </c>
      <c r="M63" s="187">
        <f t="shared" si="2"/>
        <v>4025.87328</v>
      </c>
      <c r="N63" s="188">
        <f t="shared" si="3"/>
        <v>5837.516256</v>
      </c>
      <c r="O63" s="189"/>
      <c r="P63" s="190">
        <f t="shared" si="7"/>
        <v>6038.80992</v>
      </c>
      <c r="Q63" s="195"/>
      <c r="R63" s="192">
        <f t="shared" si="4"/>
        <v>5</v>
      </c>
      <c r="T63" s="145">
        <f t="shared" si="5"/>
        <v>5900</v>
      </c>
      <c r="X63" s="145">
        <f t="shared" si="6"/>
        <v>6100</v>
      </c>
    </row>
    <row r="64" ht="18.75" customHeight="1">
      <c r="A64" s="180">
        <v>61.0</v>
      </c>
      <c r="B64" s="67" t="s">
        <v>361</v>
      </c>
      <c r="C64" s="210" t="s">
        <v>362</v>
      </c>
      <c r="D64" s="35"/>
      <c r="E64" s="183">
        <v>5.0</v>
      </c>
      <c r="F64" s="184">
        <v>7839.64</v>
      </c>
      <c r="G64" s="185">
        <v>21.0</v>
      </c>
      <c r="H64" s="35"/>
      <c r="I64" s="185">
        <v>50.0</v>
      </c>
      <c r="J64" s="35"/>
      <c r="K64" s="184">
        <v>19599.1</v>
      </c>
      <c r="L64" s="186">
        <f t="shared" si="8"/>
        <v>3919.82</v>
      </c>
      <c r="M64" s="187">
        <f t="shared" si="2"/>
        <v>4742.9822</v>
      </c>
      <c r="N64" s="188">
        <f t="shared" si="3"/>
        <v>6877.32419</v>
      </c>
      <c r="O64" s="189"/>
      <c r="P64" s="190">
        <f t="shared" si="7"/>
        <v>7114.4733</v>
      </c>
      <c r="Q64" s="195"/>
      <c r="R64" s="192">
        <f t="shared" si="4"/>
        <v>5</v>
      </c>
      <c r="T64" s="145">
        <f t="shared" si="5"/>
        <v>6900</v>
      </c>
      <c r="X64" s="145">
        <f t="shared" si="6"/>
        <v>7200</v>
      </c>
    </row>
    <row r="65" ht="19.5" customHeight="1">
      <c r="A65" s="180">
        <v>62.0</v>
      </c>
      <c r="B65" s="67" t="s">
        <v>363</v>
      </c>
      <c r="C65" s="210" t="s">
        <v>364</v>
      </c>
      <c r="D65" s="35"/>
      <c r="E65" s="183">
        <v>5.0</v>
      </c>
      <c r="F65" s="184">
        <v>8817.0</v>
      </c>
      <c r="G65" s="185">
        <v>21.0</v>
      </c>
      <c r="H65" s="35"/>
      <c r="I65" s="185">
        <v>50.0</v>
      </c>
      <c r="J65" s="35"/>
      <c r="K65" s="184">
        <v>22042.49</v>
      </c>
      <c r="L65" s="186">
        <f t="shared" si="8"/>
        <v>4408.498</v>
      </c>
      <c r="M65" s="187">
        <f t="shared" si="2"/>
        <v>5334.28258</v>
      </c>
      <c r="N65" s="188">
        <f t="shared" si="3"/>
        <v>7734.709741</v>
      </c>
      <c r="O65" s="189"/>
      <c r="P65" s="190">
        <f t="shared" si="7"/>
        <v>8001.42387</v>
      </c>
      <c r="Q65" s="195"/>
      <c r="R65" s="192">
        <f t="shared" si="4"/>
        <v>5</v>
      </c>
      <c r="T65" s="145">
        <f t="shared" si="5"/>
        <v>7800</v>
      </c>
      <c r="X65" s="145">
        <f t="shared" si="6"/>
        <v>8100</v>
      </c>
    </row>
    <row r="66" ht="19.5" customHeight="1">
      <c r="A66" s="180">
        <v>63.0</v>
      </c>
      <c r="B66" s="67" t="s">
        <v>365</v>
      </c>
      <c r="C66" s="210" t="s">
        <v>366</v>
      </c>
      <c r="D66" s="35"/>
      <c r="E66" s="183">
        <v>5.0</v>
      </c>
      <c r="F66" s="184">
        <v>6862.28</v>
      </c>
      <c r="G66" s="185">
        <v>21.0</v>
      </c>
      <c r="H66" s="35"/>
      <c r="I66" s="185">
        <v>50.0</v>
      </c>
      <c r="J66" s="35"/>
      <c r="K66" s="184">
        <v>17155.71</v>
      </c>
      <c r="L66" s="186">
        <f t="shared" si="8"/>
        <v>3431.142</v>
      </c>
      <c r="M66" s="187">
        <f t="shared" si="2"/>
        <v>4151.68182</v>
      </c>
      <c r="N66" s="188">
        <f t="shared" si="3"/>
        <v>6019.938639</v>
      </c>
      <c r="O66" s="189"/>
      <c r="P66" s="190">
        <f t="shared" si="7"/>
        <v>6227.52273</v>
      </c>
      <c r="Q66" s="195"/>
      <c r="R66" s="192">
        <f t="shared" si="4"/>
        <v>5</v>
      </c>
      <c r="T66" s="145">
        <f t="shared" si="5"/>
        <v>6100</v>
      </c>
      <c r="X66" s="145">
        <f t="shared" si="6"/>
        <v>6300</v>
      </c>
    </row>
    <row r="67" ht="18.0" customHeight="1">
      <c r="A67" s="180">
        <v>64.0</v>
      </c>
      <c r="B67" s="204" t="s">
        <v>367</v>
      </c>
      <c r="C67" s="209" t="s">
        <v>368</v>
      </c>
      <c r="D67" s="35"/>
      <c r="E67" s="183">
        <v>1.0</v>
      </c>
      <c r="F67" s="184">
        <v>49949.73</v>
      </c>
      <c r="G67" s="185">
        <v>21.0</v>
      </c>
      <c r="H67" s="35"/>
      <c r="I67" s="185">
        <v>50.0</v>
      </c>
      <c r="J67" s="35"/>
      <c r="K67" s="184">
        <v>24974.87</v>
      </c>
      <c r="L67" s="186">
        <f t="shared" si="8"/>
        <v>24974.87</v>
      </c>
      <c r="M67" s="187">
        <f t="shared" si="2"/>
        <v>30219.5927</v>
      </c>
      <c r="N67" s="188">
        <f t="shared" si="3"/>
        <v>43818.40942</v>
      </c>
      <c r="O67" s="189"/>
      <c r="P67" s="190">
        <f t="shared" si="7"/>
        <v>45329.38905</v>
      </c>
      <c r="Q67" s="195"/>
      <c r="R67" s="192">
        <f t="shared" si="4"/>
        <v>1</v>
      </c>
      <c r="T67" s="145">
        <f t="shared" si="5"/>
        <v>43900</v>
      </c>
      <c r="X67" s="145">
        <f t="shared" si="6"/>
        <v>45400</v>
      </c>
    </row>
    <row r="68" ht="19.5" customHeight="1">
      <c r="A68" s="180">
        <v>65.0</v>
      </c>
      <c r="B68" s="204" t="s">
        <v>369</v>
      </c>
      <c r="C68" s="193" t="s">
        <v>370</v>
      </c>
      <c r="D68" s="35"/>
      <c r="E68" s="211">
        <v>100.0</v>
      </c>
      <c r="F68" s="184">
        <v>234079.62</v>
      </c>
      <c r="G68" s="185">
        <v>21.0</v>
      </c>
      <c r="H68" s="35"/>
      <c r="I68" s="185">
        <v>50.0</v>
      </c>
      <c r="J68" s="35"/>
      <c r="K68" s="184">
        <v>117039.81</v>
      </c>
      <c r="L68" s="186">
        <f t="shared" si="8"/>
        <v>1170.3981</v>
      </c>
      <c r="M68" s="187">
        <f t="shared" si="2"/>
        <v>1416.181701</v>
      </c>
      <c r="N68" s="188">
        <f t="shared" si="3"/>
        <v>2053.463466</v>
      </c>
      <c r="O68" s="189"/>
      <c r="P68" s="190">
        <f t="shared" si="7"/>
        <v>2124.272552</v>
      </c>
      <c r="Q68" s="195"/>
      <c r="R68" s="192">
        <f t="shared" si="4"/>
        <v>100</v>
      </c>
      <c r="T68" s="145">
        <f t="shared" si="5"/>
        <v>2100</v>
      </c>
      <c r="X68" s="145">
        <f t="shared" si="6"/>
        <v>2200</v>
      </c>
    </row>
    <row r="69" ht="18.0" customHeight="1">
      <c r="A69" s="180">
        <v>66.0</v>
      </c>
      <c r="B69" s="67" t="s">
        <v>371</v>
      </c>
      <c r="C69" s="210" t="s">
        <v>372</v>
      </c>
      <c r="D69" s="35"/>
      <c r="E69" s="183">
        <v>5.0</v>
      </c>
      <c r="F69" s="184">
        <v>18382.6</v>
      </c>
      <c r="G69" s="185">
        <v>21.0</v>
      </c>
      <c r="H69" s="35"/>
      <c r="I69" s="185">
        <v>50.0</v>
      </c>
      <c r="J69" s="35"/>
      <c r="K69" s="184">
        <v>45956.51</v>
      </c>
      <c r="L69" s="186">
        <f t="shared" si="8"/>
        <v>9191.302</v>
      </c>
      <c r="M69" s="187">
        <f t="shared" si="2"/>
        <v>11121.47542</v>
      </c>
      <c r="N69" s="188">
        <f t="shared" si="3"/>
        <v>16126.13936</v>
      </c>
      <c r="O69" s="189"/>
      <c r="P69" s="190">
        <f t="shared" si="7"/>
        <v>16682.21313</v>
      </c>
      <c r="Q69" s="195"/>
      <c r="R69" s="192">
        <f t="shared" si="4"/>
        <v>5</v>
      </c>
      <c r="T69" s="145">
        <f t="shared" si="5"/>
        <v>16200</v>
      </c>
      <c r="X69" s="145">
        <f t="shared" si="6"/>
        <v>16700</v>
      </c>
    </row>
    <row r="70" ht="17.25" customHeight="1">
      <c r="A70" s="180">
        <v>67.0</v>
      </c>
      <c r="B70" s="67" t="s">
        <v>373</v>
      </c>
      <c r="C70" s="210" t="s">
        <v>374</v>
      </c>
      <c r="D70" s="35"/>
      <c r="E70" s="183">
        <v>4.0</v>
      </c>
      <c r="F70" s="184">
        <v>21101.4</v>
      </c>
      <c r="G70" s="185">
        <v>21.0</v>
      </c>
      <c r="H70" s="35"/>
      <c r="I70" s="185">
        <v>50.0</v>
      </c>
      <c r="J70" s="35"/>
      <c r="K70" s="184">
        <v>42202.8</v>
      </c>
      <c r="L70" s="186">
        <f t="shared" si="8"/>
        <v>10550.7</v>
      </c>
      <c r="M70" s="187">
        <f t="shared" si="2"/>
        <v>12766.347</v>
      </c>
      <c r="N70" s="188">
        <f t="shared" si="3"/>
        <v>18511.20315</v>
      </c>
      <c r="O70" s="189"/>
      <c r="P70" s="190">
        <f t="shared" si="7"/>
        <v>19149.5205</v>
      </c>
      <c r="Q70" s="195"/>
      <c r="R70" s="192">
        <f t="shared" si="4"/>
        <v>4</v>
      </c>
      <c r="T70" s="145">
        <f t="shared" si="5"/>
        <v>18600</v>
      </c>
      <c r="X70" s="145">
        <f t="shared" si="6"/>
        <v>19200</v>
      </c>
    </row>
    <row r="71" ht="12.75" customHeight="1">
      <c r="A71" s="199"/>
      <c r="B71" s="212"/>
      <c r="E71" s="212"/>
      <c r="L71" s="213"/>
      <c r="M71" s="174"/>
      <c r="N71" s="213"/>
    </row>
    <row r="72" ht="12.75" customHeight="1">
      <c r="A72" s="199"/>
      <c r="B72" s="212"/>
      <c r="E72" s="212"/>
      <c r="L72" s="213"/>
      <c r="M72" s="174"/>
      <c r="N72" s="213"/>
    </row>
    <row r="73" ht="12.75" customHeight="1">
      <c r="A73" s="199"/>
      <c r="B73" s="212"/>
      <c r="E73" s="212"/>
      <c r="L73" s="213"/>
      <c r="M73" s="174"/>
      <c r="N73" s="213"/>
    </row>
    <row r="74" ht="12.75" customHeight="1">
      <c r="A74" s="199"/>
      <c r="B74" s="212"/>
      <c r="E74" s="212"/>
      <c r="L74" s="213"/>
      <c r="M74" s="174"/>
      <c r="N74" s="213"/>
    </row>
    <row r="75" ht="12.75" customHeight="1">
      <c r="A75" s="199"/>
      <c r="B75" s="212"/>
      <c r="E75" s="212"/>
      <c r="L75" s="213"/>
      <c r="M75" s="174"/>
      <c r="N75" s="213"/>
    </row>
    <row r="76" ht="12.75" customHeight="1">
      <c r="A76" s="199"/>
      <c r="B76" s="212"/>
      <c r="E76" s="212"/>
      <c r="L76" s="213"/>
      <c r="M76" s="174"/>
      <c r="N76" s="213"/>
    </row>
    <row r="77" ht="12.75" customHeight="1">
      <c r="A77" s="199"/>
      <c r="B77" s="212"/>
      <c r="E77" s="212"/>
      <c r="L77" s="213"/>
      <c r="M77" s="174"/>
      <c r="N77" s="213"/>
    </row>
    <row r="78" ht="12.75" customHeight="1">
      <c r="A78" s="199"/>
      <c r="B78" s="212"/>
      <c r="E78" s="212"/>
      <c r="L78" s="213"/>
      <c r="M78" s="174"/>
      <c r="N78" s="213"/>
    </row>
    <row r="79" ht="12.75" customHeight="1">
      <c r="A79" s="199"/>
      <c r="B79" s="212"/>
      <c r="E79" s="212"/>
      <c r="L79" s="213"/>
      <c r="M79" s="174"/>
      <c r="N79" s="213"/>
    </row>
    <row r="80" ht="12.75" customHeight="1">
      <c r="A80" s="199"/>
      <c r="B80" s="212"/>
      <c r="E80" s="212"/>
      <c r="L80" s="213"/>
      <c r="M80" s="174"/>
      <c r="N80" s="213"/>
    </row>
    <row r="81" ht="12.75" customHeight="1">
      <c r="A81" s="199"/>
      <c r="B81" s="212"/>
      <c r="E81" s="212"/>
      <c r="L81" s="213"/>
      <c r="M81" s="174"/>
      <c r="N81" s="213"/>
    </row>
    <row r="82" ht="12.75" customHeight="1">
      <c r="A82" s="199"/>
      <c r="B82" s="212"/>
      <c r="E82" s="212"/>
      <c r="L82" s="213"/>
      <c r="M82" s="174"/>
      <c r="N82" s="213"/>
    </row>
    <row r="83" ht="12.75" customHeight="1">
      <c r="A83" s="199"/>
      <c r="B83" s="212"/>
      <c r="E83" s="212"/>
      <c r="L83" s="213"/>
      <c r="M83" s="174"/>
      <c r="N83" s="213"/>
    </row>
    <row r="84" ht="12.75" customHeight="1">
      <c r="A84" s="199"/>
      <c r="B84" s="212"/>
      <c r="E84" s="212"/>
      <c r="L84" s="213"/>
      <c r="M84" s="174"/>
      <c r="N84" s="213"/>
    </row>
    <row r="85" ht="12.75" customHeight="1">
      <c r="A85" s="199"/>
      <c r="B85" s="212"/>
      <c r="E85" s="212"/>
      <c r="L85" s="213"/>
      <c r="M85" s="174"/>
      <c r="N85" s="213"/>
    </row>
    <row r="86" ht="12.75" customHeight="1">
      <c r="A86" s="199"/>
      <c r="B86" s="212"/>
      <c r="E86" s="212"/>
      <c r="L86" s="213"/>
      <c r="M86" s="174"/>
      <c r="N86" s="213"/>
    </row>
    <row r="87" ht="12.75" customHeight="1">
      <c r="A87" s="199"/>
      <c r="B87" s="212"/>
      <c r="E87" s="212"/>
      <c r="L87" s="213"/>
      <c r="M87" s="174"/>
      <c r="N87" s="213"/>
    </row>
    <row r="88" ht="12.75" customHeight="1">
      <c r="A88" s="199"/>
      <c r="B88" s="212"/>
      <c r="E88" s="212"/>
      <c r="L88" s="213"/>
      <c r="M88" s="174"/>
      <c r="N88" s="213"/>
    </row>
    <row r="89" ht="12.75" customHeight="1">
      <c r="A89" s="199"/>
      <c r="B89" s="212"/>
      <c r="E89" s="212"/>
      <c r="L89" s="213"/>
      <c r="M89" s="174"/>
      <c r="N89" s="213"/>
    </row>
    <row r="90" ht="12.75" customHeight="1">
      <c r="A90" s="199"/>
      <c r="B90" s="212"/>
      <c r="E90" s="212"/>
      <c r="L90" s="213"/>
      <c r="M90" s="174"/>
      <c r="N90" s="213"/>
    </row>
    <row r="91" ht="12.75" customHeight="1">
      <c r="A91" s="199"/>
      <c r="B91" s="212"/>
      <c r="E91" s="212"/>
      <c r="L91" s="213"/>
      <c r="M91" s="174"/>
      <c r="N91" s="213"/>
    </row>
    <row r="92" ht="12.75" customHeight="1">
      <c r="A92" s="199"/>
      <c r="B92" s="212"/>
      <c r="E92" s="212"/>
      <c r="L92" s="213"/>
      <c r="M92" s="174"/>
      <c r="N92" s="213"/>
    </row>
    <row r="93" ht="12.75" customHeight="1">
      <c r="A93" s="199"/>
      <c r="B93" s="212"/>
      <c r="E93" s="212"/>
      <c r="L93" s="213"/>
      <c r="M93" s="174"/>
      <c r="N93" s="213"/>
    </row>
    <row r="94" ht="12.75" customHeight="1">
      <c r="A94" s="199"/>
      <c r="B94" s="212"/>
      <c r="E94" s="212"/>
      <c r="L94" s="213"/>
      <c r="M94" s="174"/>
      <c r="N94" s="213"/>
    </row>
    <row r="95" ht="12.75" customHeight="1">
      <c r="A95" s="199"/>
      <c r="B95" s="212"/>
      <c r="E95" s="212"/>
      <c r="L95" s="213"/>
      <c r="M95" s="174"/>
      <c r="N95" s="213"/>
    </row>
    <row r="96" ht="12.75" customHeight="1">
      <c r="A96" s="199"/>
      <c r="B96" s="212"/>
      <c r="E96" s="212"/>
      <c r="L96" s="213"/>
      <c r="M96" s="174"/>
      <c r="N96" s="213"/>
    </row>
    <row r="97" ht="12.75" customHeight="1">
      <c r="A97" s="199"/>
      <c r="B97" s="212"/>
      <c r="E97" s="212"/>
      <c r="L97" s="213"/>
      <c r="M97" s="174"/>
      <c r="N97" s="213"/>
    </row>
    <row r="98" ht="12.75" customHeight="1">
      <c r="A98" s="199"/>
      <c r="B98" s="212"/>
      <c r="E98" s="212"/>
      <c r="L98" s="213"/>
      <c r="M98" s="174"/>
      <c r="N98" s="213"/>
    </row>
    <row r="99" ht="12.75" customHeight="1">
      <c r="A99" s="199"/>
      <c r="B99" s="212"/>
      <c r="E99" s="212"/>
      <c r="L99" s="213"/>
      <c r="M99" s="174"/>
      <c r="N99" s="213"/>
    </row>
    <row r="100" ht="12.75" customHeight="1">
      <c r="A100" s="199"/>
      <c r="B100" s="212"/>
      <c r="E100" s="212"/>
      <c r="L100" s="213"/>
      <c r="M100" s="174"/>
      <c r="N100" s="213"/>
    </row>
    <row r="101" ht="12.75" customHeight="1">
      <c r="A101" s="199"/>
      <c r="B101" s="212"/>
      <c r="E101" s="212"/>
      <c r="L101" s="213"/>
      <c r="M101" s="174"/>
      <c r="N101" s="213"/>
    </row>
    <row r="102" ht="12.75" customHeight="1">
      <c r="A102" s="199"/>
      <c r="B102" s="212"/>
      <c r="E102" s="212"/>
      <c r="L102" s="213"/>
      <c r="M102" s="174"/>
      <c r="N102" s="213"/>
    </row>
    <row r="103" ht="12.75" customHeight="1">
      <c r="A103" s="199"/>
      <c r="B103" s="212"/>
      <c r="E103" s="212"/>
      <c r="L103" s="213"/>
      <c r="M103" s="174"/>
      <c r="N103" s="213"/>
    </row>
    <row r="104" ht="12.75" customHeight="1">
      <c r="A104" s="199"/>
      <c r="B104" s="212"/>
      <c r="E104" s="212"/>
      <c r="L104" s="213"/>
      <c r="M104" s="174"/>
      <c r="N104" s="213"/>
    </row>
    <row r="105" ht="12.75" customHeight="1">
      <c r="A105" s="199"/>
      <c r="B105" s="212"/>
      <c r="E105" s="212"/>
      <c r="L105" s="213"/>
      <c r="M105" s="174"/>
      <c r="N105" s="213"/>
    </row>
    <row r="106" ht="12.75" customHeight="1">
      <c r="A106" s="199"/>
      <c r="B106" s="212"/>
      <c r="E106" s="212"/>
      <c r="L106" s="213"/>
      <c r="M106" s="174"/>
      <c r="N106" s="213"/>
    </row>
    <row r="107" ht="12.75" customHeight="1">
      <c r="A107" s="199"/>
      <c r="B107" s="212"/>
      <c r="E107" s="212"/>
      <c r="L107" s="213"/>
      <c r="M107" s="174"/>
      <c r="N107" s="213"/>
    </row>
    <row r="108" ht="12.75" customHeight="1">
      <c r="A108" s="199"/>
      <c r="B108" s="212"/>
      <c r="E108" s="212"/>
      <c r="L108" s="213"/>
      <c r="M108" s="174"/>
      <c r="N108" s="213"/>
    </row>
    <row r="109" ht="12.75" customHeight="1">
      <c r="A109" s="199"/>
      <c r="B109" s="212"/>
      <c r="E109" s="212"/>
      <c r="L109" s="213"/>
      <c r="M109" s="174"/>
      <c r="N109" s="213"/>
    </row>
    <row r="110" ht="12.75" customHeight="1">
      <c r="A110" s="199"/>
      <c r="B110" s="212"/>
      <c r="E110" s="212"/>
      <c r="L110" s="213"/>
      <c r="M110" s="174"/>
      <c r="N110" s="213"/>
    </row>
    <row r="111" ht="12.75" customHeight="1">
      <c r="A111" s="199"/>
      <c r="B111" s="212"/>
      <c r="E111" s="212"/>
      <c r="L111" s="213"/>
      <c r="M111" s="174"/>
      <c r="N111" s="213"/>
    </row>
    <row r="112" ht="12.75" customHeight="1">
      <c r="A112" s="199"/>
      <c r="B112" s="212"/>
      <c r="E112" s="212"/>
      <c r="L112" s="213"/>
      <c r="M112" s="174"/>
      <c r="N112" s="213"/>
    </row>
    <row r="113" ht="12.75" customHeight="1">
      <c r="A113" s="199"/>
      <c r="B113" s="212"/>
      <c r="E113" s="212"/>
      <c r="L113" s="213"/>
      <c r="M113" s="174"/>
      <c r="N113" s="213"/>
    </row>
    <row r="114" ht="12.75" customHeight="1">
      <c r="A114" s="199"/>
      <c r="B114" s="212"/>
      <c r="E114" s="212"/>
      <c r="L114" s="213"/>
      <c r="M114" s="174"/>
      <c r="N114" s="213"/>
    </row>
    <row r="115" ht="12.75" customHeight="1">
      <c r="A115" s="199"/>
      <c r="B115" s="212"/>
      <c r="E115" s="212"/>
      <c r="L115" s="213"/>
      <c r="M115" s="174"/>
      <c r="N115" s="213"/>
    </row>
    <row r="116" ht="12.75" customHeight="1">
      <c r="A116" s="199"/>
      <c r="B116" s="212"/>
      <c r="E116" s="212"/>
      <c r="L116" s="213"/>
      <c r="M116" s="174"/>
      <c r="N116" s="213"/>
    </row>
    <row r="117" ht="12.75" customHeight="1">
      <c r="A117" s="199"/>
      <c r="B117" s="212"/>
      <c r="E117" s="212"/>
      <c r="L117" s="213"/>
      <c r="M117" s="174"/>
      <c r="N117" s="213"/>
    </row>
    <row r="118" ht="12.75" customHeight="1">
      <c r="A118" s="199"/>
      <c r="B118" s="212"/>
      <c r="E118" s="212"/>
      <c r="L118" s="213"/>
      <c r="M118" s="174"/>
      <c r="N118" s="213"/>
    </row>
    <row r="119" ht="12.75" customHeight="1">
      <c r="A119" s="199"/>
      <c r="B119" s="212"/>
      <c r="E119" s="212"/>
      <c r="L119" s="213"/>
      <c r="M119" s="174"/>
      <c r="N119" s="213"/>
    </row>
    <row r="120" ht="12.75" customHeight="1">
      <c r="A120" s="199"/>
      <c r="B120" s="212"/>
      <c r="E120" s="212"/>
      <c r="L120" s="213"/>
      <c r="M120" s="174"/>
      <c r="N120" s="213"/>
    </row>
    <row r="121" ht="12.75" customHeight="1">
      <c r="A121" s="199"/>
      <c r="B121" s="212"/>
      <c r="E121" s="212"/>
      <c r="L121" s="213"/>
      <c r="M121" s="174"/>
      <c r="N121" s="213"/>
    </row>
    <row r="122" ht="12.75" customHeight="1">
      <c r="A122" s="199"/>
      <c r="B122" s="212"/>
      <c r="E122" s="212"/>
      <c r="L122" s="213"/>
      <c r="M122" s="174"/>
      <c r="N122" s="213"/>
    </row>
    <row r="123" ht="12.75" customHeight="1">
      <c r="A123" s="199"/>
      <c r="B123" s="212"/>
      <c r="E123" s="212"/>
      <c r="L123" s="213"/>
      <c r="M123" s="174"/>
      <c r="N123" s="213"/>
    </row>
    <row r="124" ht="12.75" customHeight="1">
      <c r="A124" s="199"/>
      <c r="B124" s="212"/>
      <c r="E124" s="212"/>
      <c r="L124" s="213"/>
      <c r="M124" s="174"/>
      <c r="N124" s="213"/>
    </row>
    <row r="125" ht="12.75" customHeight="1">
      <c r="A125" s="199"/>
      <c r="B125" s="212"/>
      <c r="E125" s="212"/>
      <c r="L125" s="213"/>
      <c r="M125" s="174"/>
      <c r="N125" s="213"/>
    </row>
    <row r="126" ht="12.75" customHeight="1">
      <c r="A126" s="199"/>
      <c r="B126" s="212"/>
      <c r="E126" s="212"/>
      <c r="L126" s="213"/>
      <c r="M126" s="174"/>
      <c r="N126" s="213"/>
    </row>
    <row r="127" ht="12.75" customHeight="1">
      <c r="A127" s="199"/>
      <c r="B127" s="212"/>
      <c r="E127" s="212"/>
      <c r="L127" s="213"/>
      <c r="M127" s="174"/>
      <c r="N127" s="213"/>
    </row>
    <row r="128" ht="12.75" customHeight="1">
      <c r="A128" s="199"/>
      <c r="B128" s="212"/>
      <c r="E128" s="212"/>
      <c r="L128" s="213"/>
      <c r="M128" s="174"/>
      <c r="N128" s="213"/>
    </row>
    <row r="129" ht="12.75" customHeight="1">
      <c r="A129" s="199"/>
      <c r="B129" s="212"/>
      <c r="E129" s="212"/>
      <c r="L129" s="213"/>
      <c r="M129" s="174"/>
      <c r="N129" s="213"/>
    </row>
    <row r="130" ht="12.75" customHeight="1">
      <c r="A130" s="199"/>
      <c r="B130" s="212"/>
      <c r="E130" s="212"/>
      <c r="L130" s="213"/>
      <c r="M130" s="174"/>
      <c r="N130" s="213"/>
    </row>
    <row r="131" ht="12.75" customHeight="1">
      <c r="A131" s="199"/>
      <c r="B131" s="212"/>
      <c r="E131" s="212"/>
      <c r="L131" s="213"/>
      <c r="M131" s="174"/>
      <c r="N131" s="213"/>
    </row>
    <row r="132" ht="12.75" customHeight="1">
      <c r="A132" s="199"/>
      <c r="B132" s="212"/>
      <c r="E132" s="212"/>
      <c r="L132" s="213"/>
      <c r="M132" s="174"/>
      <c r="N132" s="213"/>
    </row>
    <row r="133" ht="12.75" customHeight="1">
      <c r="A133" s="199"/>
      <c r="B133" s="212"/>
      <c r="E133" s="212"/>
      <c r="L133" s="213"/>
      <c r="M133" s="174"/>
      <c r="N133" s="213"/>
    </row>
    <row r="134" ht="12.75" customHeight="1">
      <c r="A134" s="199"/>
      <c r="B134" s="212"/>
      <c r="E134" s="212"/>
      <c r="L134" s="213"/>
      <c r="M134" s="174"/>
      <c r="N134" s="213"/>
    </row>
    <row r="135" ht="12.75" customHeight="1">
      <c r="A135" s="199"/>
      <c r="B135" s="212"/>
      <c r="E135" s="212"/>
      <c r="L135" s="213"/>
      <c r="M135" s="174"/>
      <c r="N135" s="213"/>
    </row>
    <row r="136" ht="12.75" customHeight="1">
      <c r="A136" s="199"/>
      <c r="B136" s="212"/>
      <c r="E136" s="212"/>
      <c r="L136" s="213"/>
      <c r="M136" s="174"/>
      <c r="N136" s="213"/>
    </row>
    <row r="137" ht="12.75" customHeight="1">
      <c r="A137" s="199"/>
      <c r="B137" s="212"/>
      <c r="E137" s="212"/>
      <c r="L137" s="213"/>
      <c r="M137" s="174"/>
      <c r="N137" s="213"/>
    </row>
    <row r="138" ht="12.75" customHeight="1">
      <c r="A138" s="199"/>
      <c r="B138" s="212"/>
      <c r="E138" s="212"/>
      <c r="L138" s="213"/>
      <c r="M138" s="174"/>
      <c r="N138" s="213"/>
    </row>
    <row r="139" ht="12.75" customHeight="1">
      <c r="A139" s="199"/>
      <c r="B139" s="212"/>
      <c r="E139" s="212"/>
      <c r="L139" s="213"/>
      <c r="M139" s="174"/>
      <c r="N139" s="213"/>
    </row>
    <row r="140" ht="12.75" customHeight="1">
      <c r="A140" s="199"/>
      <c r="B140" s="212"/>
      <c r="E140" s="212"/>
      <c r="L140" s="213"/>
      <c r="M140" s="174"/>
      <c r="N140" s="213"/>
    </row>
    <row r="141" ht="12.75" customHeight="1">
      <c r="A141" s="199"/>
      <c r="B141" s="212"/>
      <c r="E141" s="212"/>
      <c r="L141" s="213"/>
      <c r="M141" s="174"/>
      <c r="N141" s="213"/>
    </row>
    <row r="142" ht="12.75" customHeight="1">
      <c r="A142" s="199"/>
      <c r="B142" s="212"/>
      <c r="E142" s="212"/>
      <c r="L142" s="213"/>
      <c r="M142" s="174"/>
      <c r="N142" s="213"/>
    </row>
    <row r="143" ht="12.75" customHeight="1">
      <c r="A143" s="199"/>
      <c r="B143" s="212"/>
      <c r="E143" s="212"/>
      <c r="L143" s="213"/>
      <c r="M143" s="174"/>
      <c r="N143" s="213"/>
    </row>
    <row r="144" ht="12.75" customHeight="1">
      <c r="A144" s="199"/>
      <c r="B144" s="212"/>
      <c r="E144" s="212"/>
      <c r="L144" s="213"/>
      <c r="M144" s="174"/>
      <c r="N144" s="213"/>
    </row>
    <row r="145" ht="12.75" customHeight="1">
      <c r="A145" s="199"/>
      <c r="B145" s="212"/>
      <c r="E145" s="212"/>
      <c r="L145" s="213"/>
      <c r="M145" s="174"/>
      <c r="N145" s="213"/>
    </row>
    <row r="146" ht="12.75" customHeight="1">
      <c r="A146" s="199"/>
      <c r="B146" s="212"/>
      <c r="E146" s="212"/>
      <c r="L146" s="213"/>
      <c r="M146" s="174"/>
      <c r="N146" s="213"/>
    </row>
    <row r="147" ht="12.75" customHeight="1">
      <c r="A147" s="199"/>
      <c r="B147" s="212"/>
      <c r="E147" s="212"/>
      <c r="L147" s="213"/>
      <c r="M147" s="174"/>
      <c r="N147" s="213"/>
    </row>
    <row r="148" ht="12.75" customHeight="1">
      <c r="A148" s="199"/>
      <c r="B148" s="212"/>
      <c r="E148" s="212"/>
      <c r="L148" s="213"/>
      <c r="M148" s="174"/>
      <c r="N148" s="213"/>
    </row>
    <row r="149" ht="12.75" customHeight="1">
      <c r="A149" s="199"/>
      <c r="B149" s="212"/>
      <c r="E149" s="212"/>
      <c r="L149" s="213"/>
      <c r="M149" s="174"/>
      <c r="N149" s="213"/>
    </row>
    <row r="150" ht="12.75" customHeight="1">
      <c r="A150" s="199"/>
      <c r="B150" s="212"/>
      <c r="E150" s="212"/>
      <c r="L150" s="213"/>
      <c r="M150" s="174"/>
      <c r="N150" s="213"/>
    </row>
    <row r="151" ht="12.75" customHeight="1">
      <c r="A151" s="199"/>
      <c r="B151" s="212"/>
      <c r="E151" s="212"/>
      <c r="L151" s="213"/>
      <c r="M151" s="174"/>
      <c r="N151" s="213"/>
    </row>
    <row r="152" ht="12.75" customHeight="1">
      <c r="A152" s="199"/>
      <c r="B152" s="212"/>
      <c r="E152" s="212"/>
      <c r="L152" s="213"/>
      <c r="M152" s="174"/>
      <c r="N152" s="213"/>
    </row>
    <row r="153" ht="12.75" customHeight="1">
      <c r="A153" s="199"/>
      <c r="B153" s="212"/>
      <c r="E153" s="212"/>
      <c r="L153" s="213"/>
      <c r="M153" s="174"/>
      <c r="N153" s="213"/>
    </row>
    <row r="154" ht="12.75" customHeight="1">
      <c r="A154" s="199"/>
      <c r="B154" s="212"/>
      <c r="E154" s="212"/>
      <c r="L154" s="213"/>
      <c r="M154" s="174"/>
      <c r="N154" s="213"/>
    </row>
    <row r="155" ht="12.75" customHeight="1">
      <c r="A155" s="199"/>
      <c r="B155" s="212"/>
      <c r="E155" s="212"/>
      <c r="L155" s="213"/>
      <c r="M155" s="174"/>
      <c r="N155" s="213"/>
    </row>
    <row r="156" ht="12.75" customHeight="1">
      <c r="A156" s="199"/>
      <c r="B156" s="212"/>
      <c r="E156" s="212"/>
      <c r="L156" s="213"/>
      <c r="M156" s="174"/>
      <c r="N156" s="213"/>
    </row>
    <row r="157" ht="12.75" customHeight="1">
      <c r="A157" s="199"/>
      <c r="B157" s="212"/>
      <c r="E157" s="212"/>
      <c r="L157" s="213"/>
      <c r="M157" s="174"/>
      <c r="N157" s="213"/>
    </row>
    <row r="158" ht="12.75" customHeight="1">
      <c r="A158" s="199"/>
      <c r="B158" s="212"/>
      <c r="E158" s="212"/>
      <c r="L158" s="213"/>
      <c r="M158" s="174"/>
      <c r="N158" s="213"/>
    </row>
    <row r="159" ht="12.75" customHeight="1">
      <c r="A159" s="199"/>
      <c r="B159" s="212"/>
      <c r="E159" s="212"/>
      <c r="L159" s="213"/>
      <c r="M159" s="174"/>
      <c r="N159" s="213"/>
    </row>
    <row r="160" ht="12.75" customHeight="1">
      <c r="A160" s="199"/>
      <c r="B160" s="212"/>
      <c r="E160" s="212"/>
      <c r="L160" s="213"/>
      <c r="M160" s="174"/>
      <c r="N160" s="213"/>
    </row>
    <row r="161" ht="12.75" customHeight="1">
      <c r="A161" s="199"/>
      <c r="B161" s="212"/>
      <c r="E161" s="212"/>
      <c r="L161" s="213"/>
      <c r="M161" s="174"/>
      <c r="N161" s="213"/>
    </row>
    <row r="162" ht="12.75" customHeight="1">
      <c r="A162" s="199"/>
      <c r="B162" s="212"/>
      <c r="E162" s="212"/>
      <c r="L162" s="213"/>
      <c r="M162" s="174"/>
      <c r="N162" s="213"/>
    </row>
    <row r="163" ht="12.75" customHeight="1">
      <c r="A163" s="199"/>
      <c r="B163" s="212"/>
      <c r="E163" s="212"/>
      <c r="L163" s="213"/>
      <c r="M163" s="174"/>
      <c r="N163" s="213"/>
    </row>
    <row r="164" ht="12.75" customHeight="1">
      <c r="A164" s="199"/>
      <c r="B164" s="212"/>
      <c r="E164" s="212"/>
      <c r="L164" s="213"/>
      <c r="M164" s="174"/>
      <c r="N164" s="213"/>
    </row>
    <row r="165" ht="12.75" customHeight="1">
      <c r="A165" s="199"/>
      <c r="B165" s="212"/>
      <c r="E165" s="212"/>
      <c r="L165" s="213"/>
      <c r="M165" s="174"/>
      <c r="N165" s="213"/>
    </row>
    <row r="166" ht="12.75" customHeight="1">
      <c r="A166" s="199"/>
      <c r="B166" s="212"/>
      <c r="E166" s="212"/>
      <c r="L166" s="213"/>
      <c r="M166" s="174"/>
      <c r="N166" s="213"/>
    </row>
    <row r="167" ht="12.75" customHeight="1">
      <c r="A167" s="199"/>
      <c r="B167" s="212"/>
      <c r="E167" s="212"/>
      <c r="L167" s="213"/>
      <c r="M167" s="174"/>
      <c r="N167" s="213"/>
    </row>
    <row r="168" ht="12.75" customHeight="1">
      <c r="A168" s="199"/>
      <c r="B168" s="212"/>
      <c r="E168" s="212"/>
      <c r="L168" s="213"/>
      <c r="M168" s="174"/>
      <c r="N168" s="213"/>
    </row>
    <row r="169" ht="12.75" customHeight="1">
      <c r="A169" s="199"/>
      <c r="B169" s="212"/>
      <c r="E169" s="212"/>
      <c r="L169" s="213"/>
      <c r="M169" s="174"/>
      <c r="N169" s="213"/>
    </row>
    <row r="170" ht="12.75" customHeight="1">
      <c r="A170" s="199"/>
      <c r="B170" s="212"/>
      <c r="E170" s="212"/>
      <c r="L170" s="213"/>
      <c r="M170" s="174"/>
      <c r="N170" s="213"/>
    </row>
    <row r="171" ht="12.75" customHeight="1">
      <c r="A171" s="199"/>
      <c r="B171" s="212"/>
      <c r="E171" s="212"/>
      <c r="L171" s="213"/>
      <c r="M171" s="174"/>
      <c r="N171" s="213"/>
    </row>
    <row r="172" ht="12.75" customHeight="1">
      <c r="A172" s="199"/>
      <c r="B172" s="212"/>
      <c r="E172" s="212"/>
      <c r="L172" s="213"/>
      <c r="M172" s="174"/>
      <c r="N172" s="213"/>
    </row>
    <row r="173" ht="12.75" customHeight="1">
      <c r="A173" s="199"/>
      <c r="B173" s="212"/>
      <c r="E173" s="212"/>
      <c r="L173" s="213"/>
      <c r="M173" s="174"/>
      <c r="N173" s="213"/>
    </row>
    <row r="174" ht="12.75" customHeight="1">
      <c r="A174" s="199"/>
      <c r="B174" s="212"/>
      <c r="E174" s="212"/>
      <c r="L174" s="213"/>
      <c r="M174" s="174"/>
      <c r="N174" s="213"/>
    </row>
    <row r="175" ht="12.75" customHeight="1">
      <c r="A175" s="199"/>
      <c r="B175" s="212"/>
      <c r="E175" s="212"/>
      <c r="L175" s="213"/>
      <c r="M175" s="174"/>
      <c r="N175" s="213"/>
    </row>
    <row r="176" ht="12.75" customHeight="1">
      <c r="A176" s="199"/>
      <c r="B176" s="212"/>
      <c r="E176" s="212"/>
      <c r="L176" s="213"/>
      <c r="M176" s="174"/>
      <c r="N176" s="213"/>
    </row>
    <row r="177" ht="12.75" customHeight="1">
      <c r="A177" s="199"/>
      <c r="B177" s="212"/>
      <c r="E177" s="212"/>
      <c r="L177" s="213"/>
      <c r="M177" s="174"/>
      <c r="N177" s="213"/>
    </row>
    <row r="178" ht="12.75" customHeight="1">
      <c r="A178" s="199"/>
      <c r="B178" s="212"/>
      <c r="E178" s="212"/>
      <c r="L178" s="213"/>
      <c r="M178" s="174"/>
      <c r="N178" s="213"/>
    </row>
    <row r="179" ht="12.75" customHeight="1">
      <c r="A179" s="199"/>
      <c r="B179" s="212"/>
      <c r="E179" s="212"/>
      <c r="L179" s="213"/>
      <c r="M179" s="174"/>
      <c r="N179" s="213"/>
    </row>
    <row r="180" ht="12.75" customHeight="1">
      <c r="A180" s="199"/>
      <c r="B180" s="212"/>
      <c r="E180" s="212"/>
      <c r="L180" s="213"/>
      <c r="M180" s="174"/>
      <c r="N180" s="213"/>
    </row>
    <row r="181" ht="12.75" customHeight="1">
      <c r="A181" s="199"/>
      <c r="B181" s="212"/>
      <c r="E181" s="212"/>
      <c r="L181" s="213"/>
      <c r="M181" s="174"/>
      <c r="N181" s="213"/>
    </row>
    <row r="182" ht="12.75" customHeight="1">
      <c r="A182" s="199"/>
      <c r="B182" s="212"/>
      <c r="E182" s="212"/>
      <c r="L182" s="213"/>
      <c r="M182" s="174"/>
      <c r="N182" s="213"/>
    </row>
    <row r="183" ht="12.75" customHeight="1">
      <c r="A183" s="199"/>
      <c r="B183" s="212"/>
      <c r="E183" s="212"/>
      <c r="L183" s="213"/>
      <c r="M183" s="174"/>
      <c r="N183" s="213"/>
    </row>
    <row r="184" ht="12.75" customHeight="1">
      <c r="A184" s="199"/>
      <c r="B184" s="212"/>
      <c r="E184" s="212"/>
      <c r="L184" s="213"/>
      <c r="M184" s="174"/>
      <c r="N184" s="213"/>
    </row>
    <row r="185" ht="12.75" customHeight="1">
      <c r="A185" s="199"/>
      <c r="B185" s="212"/>
      <c r="E185" s="212"/>
      <c r="L185" s="213"/>
      <c r="M185" s="174"/>
      <c r="N185" s="213"/>
    </row>
    <row r="186" ht="12.75" customHeight="1">
      <c r="A186" s="199"/>
      <c r="B186" s="212"/>
      <c r="E186" s="212"/>
      <c r="L186" s="213"/>
      <c r="M186" s="174"/>
      <c r="N186" s="213"/>
    </row>
    <row r="187" ht="12.75" customHeight="1">
      <c r="A187" s="199"/>
      <c r="B187" s="212"/>
      <c r="E187" s="212"/>
      <c r="L187" s="213"/>
      <c r="M187" s="174"/>
      <c r="N187" s="213"/>
    </row>
    <row r="188" ht="12.75" customHeight="1">
      <c r="A188" s="199"/>
      <c r="B188" s="212"/>
      <c r="E188" s="212"/>
      <c r="L188" s="213"/>
      <c r="M188" s="174"/>
      <c r="N188" s="213"/>
    </row>
    <row r="189" ht="12.75" customHeight="1">
      <c r="A189" s="199"/>
      <c r="B189" s="212"/>
      <c r="E189" s="212"/>
      <c r="L189" s="213"/>
      <c r="M189" s="174"/>
      <c r="N189" s="213"/>
    </row>
    <row r="190" ht="12.75" customHeight="1">
      <c r="A190" s="199"/>
      <c r="B190" s="212"/>
      <c r="E190" s="212"/>
      <c r="L190" s="213"/>
      <c r="M190" s="174"/>
      <c r="N190" s="213"/>
    </row>
    <row r="191" ht="12.75" customHeight="1">
      <c r="A191" s="199"/>
      <c r="B191" s="212"/>
      <c r="E191" s="212"/>
      <c r="L191" s="213"/>
      <c r="M191" s="174"/>
      <c r="N191" s="213"/>
    </row>
    <row r="192" ht="12.75" customHeight="1">
      <c r="A192" s="199"/>
      <c r="B192" s="212"/>
      <c r="E192" s="212"/>
      <c r="L192" s="213"/>
      <c r="M192" s="174"/>
      <c r="N192" s="213"/>
    </row>
    <row r="193" ht="12.75" customHeight="1">
      <c r="A193" s="199"/>
      <c r="B193" s="212"/>
      <c r="E193" s="212"/>
      <c r="L193" s="213"/>
      <c r="M193" s="174"/>
      <c r="N193" s="213"/>
    </row>
    <row r="194" ht="12.75" customHeight="1">
      <c r="A194" s="199"/>
      <c r="B194" s="212"/>
      <c r="E194" s="212"/>
      <c r="L194" s="213"/>
      <c r="M194" s="174"/>
      <c r="N194" s="213"/>
    </row>
    <row r="195" ht="12.75" customHeight="1">
      <c r="A195" s="199"/>
      <c r="B195" s="212"/>
      <c r="E195" s="212"/>
      <c r="L195" s="213"/>
      <c r="M195" s="174"/>
      <c r="N195" s="213"/>
    </row>
    <row r="196" ht="12.75" customHeight="1">
      <c r="A196" s="199"/>
      <c r="B196" s="212"/>
      <c r="E196" s="212"/>
      <c r="L196" s="213"/>
      <c r="M196" s="174"/>
      <c r="N196" s="213"/>
    </row>
    <row r="197" ht="12.75" customHeight="1">
      <c r="A197" s="199"/>
      <c r="B197" s="212"/>
      <c r="E197" s="212"/>
      <c r="L197" s="213"/>
      <c r="M197" s="174"/>
      <c r="N197" s="213"/>
    </row>
    <row r="198" ht="12.75" customHeight="1">
      <c r="A198" s="199"/>
      <c r="B198" s="212"/>
      <c r="E198" s="212"/>
      <c r="L198" s="213"/>
      <c r="M198" s="174"/>
      <c r="N198" s="213"/>
    </row>
    <row r="199" ht="12.75" customHeight="1">
      <c r="A199" s="199"/>
      <c r="B199" s="212"/>
      <c r="E199" s="212"/>
      <c r="L199" s="213"/>
      <c r="M199" s="174"/>
      <c r="N199" s="213"/>
    </row>
    <row r="200" ht="12.75" customHeight="1">
      <c r="A200" s="199"/>
      <c r="B200" s="212"/>
      <c r="E200" s="212"/>
      <c r="L200" s="213"/>
      <c r="M200" s="174"/>
      <c r="N200" s="213"/>
    </row>
    <row r="201" ht="12.75" customHeight="1">
      <c r="A201" s="199"/>
      <c r="B201" s="212"/>
      <c r="E201" s="212"/>
      <c r="L201" s="213"/>
      <c r="M201" s="174"/>
      <c r="N201" s="213"/>
    </row>
    <row r="202" ht="12.75" customHeight="1">
      <c r="A202" s="199"/>
      <c r="B202" s="212"/>
      <c r="E202" s="212"/>
      <c r="L202" s="213"/>
      <c r="M202" s="174"/>
      <c r="N202" s="213"/>
    </row>
    <row r="203" ht="12.75" customHeight="1">
      <c r="A203" s="199"/>
      <c r="B203" s="212"/>
      <c r="E203" s="212"/>
      <c r="L203" s="213"/>
      <c r="M203" s="174"/>
      <c r="N203" s="213"/>
    </row>
    <row r="204" ht="12.75" customHeight="1">
      <c r="A204" s="199"/>
      <c r="B204" s="212"/>
      <c r="E204" s="212"/>
      <c r="L204" s="213"/>
      <c r="M204" s="174"/>
      <c r="N204" s="213"/>
    </row>
    <row r="205" ht="12.75" customHeight="1">
      <c r="A205" s="199"/>
      <c r="B205" s="212"/>
      <c r="E205" s="212"/>
      <c r="L205" s="213"/>
      <c r="M205" s="174"/>
      <c r="N205" s="213"/>
    </row>
    <row r="206" ht="12.75" customHeight="1">
      <c r="A206" s="199"/>
      <c r="B206" s="212"/>
      <c r="E206" s="212"/>
      <c r="L206" s="213"/>
      <c r="M206" s="174"/>
      <c r="N206" s="213"/>
    </row>
    <row r="207" ht="12.75" customHeight="1">
      <c r="A207" s="199"/>
      <c r="B207" s="212"/>
      <c r="E207" s="212"/>
      <c r="L207" s="213"/>
      <c r="M207" s="174"/>
      <c r="N207" s="213"/>
    </row>
    <row r="208" ht="12.75" customHeight="1">
      <c r="A208" s="199"/>
      <c r="B208" s="212"/>
      <c r="E208" s="212"/>
      <c r="L208" s="213"/>
      <c r="M208" s="174"/>
      <c r="N208" s="213"/>
    </row>
    <row r="209" ht="12.75" customHeight="1">
      <c r="A209" s="199"/>
      <c r="B209" s="212"/>
      <c r="E209" s="212"/>
      <c r="L209" s="213"/>
      <c r="M209" s="174"/>
      <c r="N209" s="213"/>
    </row>
    <row r="210" ht="12.75" customHeight="1">
      <c r="A210" s="199"/>
      <c r="B210" s="212"/>
      <c r="E210" s="212"/>
      <c r="L210" s="213"/>
      <c r="M210" s="174"/>
      <c r="N210" s="213"/>
    </row>
    <row r="211" ht="12.75" customHeight="1">
      <c r="A211" s="199"/>
      <c r="B211" s="212"/>
      <c r="E211" s="212"/>
      <c r="L211" s="213"/>
      <c r="M211" s="174"/>
      <c r="N211" s="213"/>
    </row>
    <row r="212" ht="12.75" customHeight="1">
      <c r="A212" s="199"/>
      <c r="B212" s="212"/>
      <c r="E212" s="212"/>
      <c r="L212" s="213"/>
      <c r="M212" s="174"/>
      <c r="N212" s="213"/>
    </row>
    <row r="213" ht="12.75" customHeight="1">
      <c r="A213" s="199"/>
      <c r="B213" s="212"/>
      <c r="E213" s="212"/>
      <c r="L213" s="213"/>
      <c r="M213" s="174"/>
      <c r="N213" s="213"/>
    </row>
    <row r="214" ht="12.75" customHeight="1">
      <c r="A214" s="199"/>
      <c r="B214" s="212"/>
      <c r="E214" s="212"/>
      <c r="L214" s="213"/>
      <c r="M214" s="174"/>
      <c r="N214" s="213"/>
    </row>
    <row r="215" ht="12.75" customHeight="1">
      <c r="A215" s="199"/>
      <c r="B215" s="212"/>
      <c r="E215" s="212"/>
      <c r="L215" s="213"/>
      <c r="M215" s="174"/>
      <c r="N215" s="213"/>
    </row>
    <row r="216" ht="12.75" customHeight="1">
      <c r="A216" s="199"/>
      <c r="B216" s="212"/>
      <c r="E216" s="212"/>
      <c r="L216" s="213"/>
      <c r="M216" s="174"/>
      <c r="N216" s="213"/>
    </row>
    <row r="217" ht="12.75" customHeight="1">
      <c r="A217" s="199"/>
      <c r="B217" s="212"/>
      <c r="E217" s="212"/>
      <c r="L217" s="213"/>
      <c r="M217" s="174"/>
      <c r="N217" s="213"/>
    </row>
    <row r="218" ht="12.75" customHeight="1">
      <c r="A218" s="199"/>
      <c r="B218" s="212"/>
      <c r="E218" s="212"/>
      <c r="L218" s="213"/>
      <c r="M218" s="174"/>
      <c r="N218" s="213"/>
    </row>
    <row r="219" ht="12.75" customHeight="1">
      <c r="A219" s="199"/>
      <c r="B219" s="212"/>
      <c r="E219" s="212"/>
      <c r="L219" s="213"/>
      <c r="M219" s="174"/>
      <c r="N219" s="213"/>
    </row>
    <row r="220" ht="12.75" customHeight="1">
      <c r="A220" s="199"/>
      <c r="B220" s="212"/>
      <c r="E220" s="212"/>
      <c r="L220" s="213"/>
      <c r="M220" s="174"/>
      <c r="N220" s="213"/>
    </row>
    <row r="221" ht="12.75" customHeight="1">
      <c r="A221" s="199"/>
      <c r="B221" s="212"/>
      <c r="E221" s="212"/>
      <c r="L221" s="213"/>
      <c r="M221" s="174"/>
      <c r="N221" s="213"/>
    </row>
    <row r="222" ht="12.75" customHeight="1">
      <c r="A222" s="199"/>
      <c r="B222" s="212"/>
      <c r="E222" s="212"/>
      <c r="L222" s="213"/>
      <c r="M222" s="174"/>
      <c r="N222" s="213"/>
    </row>
    <row r="223" ht="12.75" customHeight="1">
      <c r="A223" s="199"/>
      <c r="B223" s="212"/>
      <c r="E223" s="212"/>
      <c r="L223" s="213"/>
      <c r="M223" s="174"/>
      <c r="N223" s="213"/>
    </row>
    <row r="224" ht="12.75" customHeight="1">
      <c r="A224" s="199"/>
      <c r="B224" s="212"/>
      <c r="E224" s="212"/>
      <c r="L224" s="213"/>
      <c r="M224" s="174"/>
      <c r="N224" s="213"/>
    </row>
    <row r="225" ht="12.75" customHeight="1">
      <c r="A225" s="199"/>
      <c r="B225" s="212"/>
      <c r="E225" s="212"/>
      <c r="L225" s="213"/>
      <c r="M225" s="174"/>
      <c r="N225" s="213"/>
    </row>
    <row r="226" ht="12.75" customHeight="1">
      <c r="A226" s="199"/>
      <c r="B226" s="212"/>
      <c r="E226" s="212"/>
      <c r="L226" s="213"/>
      <c r="M226" s="174"/>
      <c r="N226" s="213"/>
    </row>
    <row r="227" ht="12.75" customHeight="1">
      <c r="A227" s="199"/>
      <c r="B227" s="214"/>
      <c r="E227" s="212"/>
      <c r="L227" s="213"/>
      <c r="M227" s="174"/>
      <c r="N227" s="213"/>
    </row>
    <row r="228" ht="12.75" customHeight="1">
      <c r="A228" s="199"/>
      <c r="B228" s="214"/>
      <c r="E228" s="212"/>
      <c r="L228" s="213"/>
      <c r="M228" s="174"/>
      <c r="N228" s="213"/>
    </row>
    <row r="229" ht="12.75" customHeight="1">
      <c r="A229" s="199"/>
      <c r="B229" s="214"/>
      <c r="E229" s="212"/>
      <c r="L229" s="213"/>
      <c r="M229" s="174"/>
      <c r="N229" s="213"/>
    </row>
    <row r="230" ht="12.75" customHeight="1">
      <c r="A230" s="199"/>
      <c r="B230" s="214"/>
      <c r="E230" s="212"/>
      <c r="L230" s="213"/>
      <c r="M230" s="174"/>
      <c r="N230" s="213"/>
    </row>
    <row r="231" ht="12.75" customHeight="1">
      <c r="A231" s="199"/>
      <c r="B231" s="214"/>
      <c r="E231" s="212"/>
      <c r="L231" s="213"/>
      <c r="M231" s="174"/>
      <c r="N231" s="213"/>
    </row>
    <row r="232" ht="12.75" customHeight="1">
      <c r="A232" s="199"/>
      <c r="B232" s="214"/>
      <c r="E232" s="212"/>
      <c r="L232" s="213"/>
      <c r="M232" s="174"/>
      <c r="N232" s="213"/>
    </row>
    <row r="233" ht="12.75" customHeight="1">
      <c r="A233" s="199"/>
      <c r="B233" s="214"/>
      <c r="E233" s="212"/>
      <c r="L233" s="213"/>
      <c r="M233" s="174"/>
      <c r="N233" s="213"/>
    </row>
    <row r="234" ht="12.75" customHeight="1">
      <c r="A234" s="199"/>
      <c r="B234" s="214"/>
      <c r="E234" s="212"/>
      <c r="L234" s="213"/>
      <c r="M234" s="174"/>
      <c r="N234" s="213"/>
    </row>
    <row r="235" ht="12.75" customHeight="1">
      <c r="A235" s="199"/>
      <c r="B235" s="214"/>
      <c r="E235" s="212"/>
      <c r="L235" s="213"/>
      <c r="M235" s="174"/>
      <c r="N235" s="213"/>
    </row>
    <row r="236" ht="12.75" customHeight="1">
      <c r="A236" s="199"/>
      <c r="B236" s="214"/>
      <c r="E236" s="212"/>
      <c r="L236" s="213"/>
      <c r="M236" s="174"/>
      <c r="N236" s="213"/>
    </row>
    <row r="237" ht="12.75" customHeight="1">
      <c r="A237" s="199"/>
      <c r="B237" s="214"/>
      <c r="E237" s="212"/>
      <c r="L237" s="213"/>
      <c r="M237" s="174"/>
      <c r="N237" s="213"/>
    </row>
    <row r="238" ht="12.75" customHeight="1">
      <c r="A238" s="199"/>
      <c r="B238" s="214"/>
      <c r="E238" s="212"/>
      <c r="L238" s="213"/>
      <c r="M238" s="174"/>
      <c r="N238" s="213"/>
    </row>
    <row r="239" ht="12.75" customHeight="1">
      <c r="A239" s="199"/>
      <c r="B239" s="214"/>
      <c r="E239" s="212"/>
      <c r="L239" s="213"/>
      <c r="M239" s="174"/>
      <c r="N239" s="213"/>
    </row>
    <row r="240" ht="12.75" customHeight="1">
      <c r="A240" s="199"/>
      <c r="B240" s="214"/>
      <c r="E240" s="212"/>
      <c r="L240" s="213"/>
      <c r="M240" s="174"/>
      <c r="N240" s="213"/>
    </row>
    <row r="241" ht="12.75" customHeight="1">
      <c r="A241" s="199"/>
      <c r="B241" s="214"/>
      <c r="E241" s="212"/>
      <c r="L241" s="213"/>
      <c r="M241" s="174"/>
      <c r="N241" s="213"/>
    </row>
    <row r="242" ht="12.75" customHeight="1">
      <c r="A242" s="199"/>
      <c r="B242" s="214"/>
      <c r="E242" s="212"/>
      <c r="L242" s="213"/>
      <c r="M242" s="174"/>
      <c r="N242" s="213"/>
    </row>
    <row r="243" ht="12.75" customHeight="1">
      <c r="A243" s="199"/>
      <c r="B243" s="214"/>
      <c r="E243" s="212"/>
      <c r="L243" s="213"/>
      <c r="M243" s="174"/>
      <c r="N243" s="213"/>
    </row>
    <row r="244" ht="12.75" customHeight="1">
      <c r="A244" s="199"/>
      <c r="B244" s="214"/>
      <c r="E244" s="212"/>
      <c r="L244" s="213"/>
      <c r="M244" s="174"/>
      <c r="N244" s="213"/>
    </row>
    <row r="245" ht="12.75" customHeight="1">
      <c r="A245" s="199"/>
      <c r="B245" s="214"/>
      <c r="E245" s="212"/>
      <c r="L245" s="213"/>
      <c r="M245" s="174"/>
      <c r="N245" s="213"/>
    </row>
    <row r="246" ht="12.75" customHeight="1">
      <c r="A246" s="199"/>
      <c r="B246" s="214"/>
      <c r="E246" s="212"/>
      <c r="L246" s="213"/>
      <c r="M246" s="174"/>
      <c r="N246" s="213"/>
    </row>
    <row r="247" ht="12.75" customHeight="1">
      <c r="A247" s="199"/>
      <c r="B247" s="214"/>
      <c r="E247" s="212"/>
      <c r="L247" s="213"/>
      <c r="M247" s="174"/>
      <c r="N247" s="213"/>
    </row>
    <row r="248" ht="12.75" customHeight="1">
      <c r="A248" s="199"/>
      <c r="B248" s="214"/>
      <c r="E248" s="212"/>
      <c r="L248" s="213"/>
      <c r="M248" s="174"/>
      <c r="N248" s="213"/>
    </row>
    <row r="249" ht="12.75" customHeight="1">
      <c r="A249" s="199"/>
      <c r="B249" s="214"/>
      <c r="E249" s="212"/>
      <c r="L249" s="213"/>
      <c r="M249" s="174"/>
      <c r="N249" s="213"/>
    </row>
    <row r="250" ht="12.75" customHeight="1">
      <c r="A250" s="199"/>
      <c r="B250" s="214"/>
      <c r="E250" s="212"/>
      <c r="L250" s="213"/>
      <c r="M250" s="174"/>
      <c r="N250" s="213"/>
    </row>
    <row r="251" ht="12.75" customHeight="1">
      <c r="A251" s="199"/>
      <c r="B251" s="214"/>
      <c r="E251" s="212"/>
      <c r="L251" s="213"/>
      <c r="M251" s="174"/>
      <c r="N251" s="213"/>
    </row>
    <row r="252" ht="12.75" customHeight="1">
      <c r="A252" s="199"/>
      <c r="B252" s="214"/>
      <c r="E252" s="212"/>
      <c r="L252" s="213"/>
      <c r="M252" s="174"/>
      <c r="N252" s="213"/>
    </row>
    <row r="253" ht="12.75" customHeight="1">
      <c r="A253" s="199"/>
      <c r="B253" s="214"/>
      <c r="E253" s="212"/>
      <c r="L253" s="213"/>
      <c r="M253" s="174"/>
      <c r="N253" s="213"/>
    </row>
    <row r="254" ht="12.75" customHeight="1">
      <c r="A254" s="199"/>
      <c r="B254" s="214"/>
      <c r="E254" s="212"/>
      <c r="L254" s="213"/>
      <c r="M254" s="174"/>
      <c r="N254" s="213"/>
    </row>
    <row r="255" ht="12.75" customHeight="1">
      <c r="A255" s="199"/>
      <c r="B255" s="214"/>
      <c r="E255" s="212"/>
      <c r="L255" s="213"/>
      <c r="M255" s="174"/>
      <c r="N255" s="213"/>
    </row>
    <row r="256" ht="12.75" customHeight="1">
      <c r="A256" s="199"/>
      <c r="B256" s="214"/>
      <c r="E256" s="212"/>
      <c r="L256" s="213"/>
      <c r="M256" s="174"/>
      <c r="N256" s="213"/>
    </row>
    <row r="257" ht="12.75" customHeight="1">
      <c r="A257" s="199"/>
      <c r="B257" s="214"/>
      <c r="E257" s="212"/>
      <c r="L257" s="213"/>
      <c r="M257" s="174"/>
      <c r="N257" s="213"/>
    </row>
    <row r="258" ht="12.75" customHeight="1">
      <c r="A258" s="199"/>
      <c r="B258" s="214"/>
      <c r="E258" s="212"/>
      <c r="L258" s="213"/>
      <c r="M258" s="174"/>
      <c r="N258" s="213"/>
    </row>
    <row r="259" ht="12.75" customHeight="1">
      <c r="A259" s="199"/>
      <c r="B259" s="214"/>
      <c r="E259" s="212"/>
      <c r="L259" s="213"/>
      <c r="M259" s="174"/>
      <c r="N259" s="213"/>
    </row>
    <row r="260" ht="12.75" customHeight="1">
      <c r="A260" s="199"/>
      <c r="B260" s="214"/>
      <c r="E260" s="212"/>
      <c r="L260" s="213"/>
      <c r="M260" s="174"/>
      <c r="N260" s="213"/>
    </row>
    <row r="261" ht="12.75" customHeight="1">
      <c r="A261" s="199"/>
      <c r="B261" s="214"/>
      <c r="E261" s="212"/>
      <c r="L261" s="213"/>
      <c r="M261" s="174"/>
      <c r="N261" s="213"/>
    </row>
    <row r="262" ht="12.75" customHeight="1">
      <c r="A262" s="199"/>
      <c r="B262" s="214"/>
      <c r="E262" s="212"/>
      <c r="L262" s="213"/>
      <c r="M262" s="174"/>
      <c r="N262" s="213"/>
    </row>
    <row r="263" ht="12.75" customHeight="1">
      <c r="A263" s="199"/>
      <c r="B263" s="214"/>
      <c r="E263" s="212"/>
      <c r="L263" s="213"/>
      <c r="M263" s="174"/>
      <c r="N263" s="213"/>
    </row>
    <row r="264" ht="12.75" customHeight="1">
      <c r="A264" s="199"/>
      <c r="B264" s="214"/>
      <c r="E264" s="212"/>
      <c r="L264" s="213"/>
      <c r="M264" s="174"/>
      <c r="N264" s="213"/>
    </row>
    <row r="265" ht="12.75" customHeight="1">
      <c r="A265" s="199"/>
      <c r="B265" s="214"/>
      <c r="E265" s="212"/>
      <c r="L265" s="213"/>
      <c r="M265" s="174"/>
      <c r="N265" s="213"/>
    </row>
    <row r="266" ht="12.75" customHeight="1">
      <c r="A266" s="199"/>
      <c r="B266" s="214"/>
      <c r="E266" s="212"/>
      <c r="L266" s="213"/>
      <c r="M266" s="174"/>
      <c r="N266" s="213"/>
    </row>
    <row r="267" ht="12.75" customHeight="1">
      <c r="A267" s="199"/>
      <c r="B267" s="214"/>
      <c r="E267" s="212"/>
      <c r="L267" s="213"/>
      <c r="M267" s="174"/>
      <c r="N267" s="213"/>
    </row>
    <row r="268" ht="12.75" customHeight="1">
      <c r="A268" s="199"/>
      <c r="B268" s="214"/>
      <c r="E268" s="212"/>
      <c r="L268" s="213"/>
      <c r="M268" s="174"/>
      <c r="N268" s="213"/>
    </row>
    <row r="269" ht="12.75" customHeight="1">
      <c r="A269" s="199"/>
      <c r="B269" s="214"/>
      <c r="E269" s="212"/>
      <c r="L269" s="213"/>
      <c r="M269" s="174"/>
      <c r="N269" s="213"/>
    </row>
    <row r="270" ht="12.75" customHeight="1">
      <c r="A270" s="199"/>
      <c r="B270" s="214"/>
      <c r="E270" s="212"/>
      <c r="L270" s="213"/>
      <c r="M270" s="174"/>
      <c r="N270" s="213"/>
    </row>
    <row r="271" ht="12.75" customHeight="1">
      <c r="A271" s="199"/>
      <c r="B271" s="214"/>
      <c r="E271" s="212"/>
      <c r="L271" s="213"/>
      <c r="M271" s="174"/>
      <c r="N271" s="213"/>
    </row>
    <row r="272" ht="12.75" customHeight="1">
      <c r="A272" s="199"/>
      <c r="B272" s="214"/>
      <c r="E272" s="212"/>
      <c r="L272" s="213"/>
      <c r="M272" s="174"/>
      <c r="N272" s="213"/>
    </row>
    <row r="273" ht="12.75" customHeight="1">
      <c r="A273" s="199"/>
      <c r="B273" s="214"/>
      <c r="E273" s="212"/>
      <c r="L273" s="213"/>
      <c r="M273" s="174"/>
      <c r="N273" s="213"/>
    </row>
    <row r="274" ht="12.75" customHeight="1">
      <c r="A274" s="199"/>
      <c r="B274" s="214"/>
      <c r="E274" s="212"/>
      <c r="L274" s="213"/>
      <c r="M274" s="174"/>
      <c r="N274" s="213"/>
    </row>
    <row r="275" ht="12.75" customHeight="1">
      <c r="A275" s="199"/>
      <c r="B275" s="214"/>
      <c r="E275" s="212"/>
      <c r="L275" s="213"/>
      <c r="M275" s="174"/>
      <c r="N275" s="213"/>
    </row>
    <row r="276" ht="12.75" customHeight="1">
      <c r="A276" s="199"/>
      <c r="B276" s="214"/>
      <c r="E276" s="212"/>
      <c r="L276" s="213"/>
      <c r="M276" s="174"/>
      <c r="N276" s="213"/>
    </row>
    <row r="277" ht="12.75" customHeight="1">
      <c r="A277" s="199"/>
      <c r="B277" s="214"/>
      <c r="E277" s="212"/>
      <c r="L277" s="213"/>
      <c r="M277" s="174"/>
      <c r="N277" s="213"/>
    </row>
    <row r="278" ht="12.75" customHeight="1">
      <c r="A278" s="199"/>
      <c r="B278" s="214"/>
      <c r="E278" s="212"/>
      <c r="L278" s="213"/>
      <c r="M278" s="174"/>
      <c r="N278" s="213"/>
    </row>
    <row r="279" ht="12.75" customHeight="1">
      <c r="A279" s="199"/>
      <c r="B279" s="214"/>
      <c r="E279" s="212"/>
      <c r="L279" s="213"/>
      <c r="M279" s="174"/>
      <c r="N279" s="213"/>
    </row>
    <row r="280" ht="12.75" customHeight="1">
      <c r="A280" s="199"/>
      <c r="B280" s="214"/>
      <c r="E280" s="212"/>
      <c r="L280" s="213"/>
      <c r="M280" s="174"/>
      <c r="N280" s="213"/>
    </row>
    <row r="281" ht="12.75" customHeight="1">
      <c r="A281" s="199"/>
      <c r="B281" s="214"/>
      <c r="E281" s="212"/>
      <c r="L281" s="213"/>
      <c r="M281" s="174"/>
      <c r="N281" s="213"/>
    </row>
    <row r="282" ht="12.75" customHeight="1">
      <c r="A282" s="199"/>
      <c r="B282" s="214"/>
      <c r="E282" s="212"/>
      <c r="L282" s="213"/>
      <c r="M282" s="174"/>
      <c r="N282" s="213"/>
    </row>
    <row r="283" ht="12.75" customHeight="1">
      <c r="A283" s="199"/>
      <c r="B283" s="214"/>
      <c r="E283" s="212"/>
      <c r="L283" s="213"/>
      <c r="M283" s="174"/>
      <c r="N283" s="213"/>
    </row>
    <row r="284" ht="12.75" customHeight="1">
      <c r="A284" s="199"/>
      <c r="B284" s="214"/>
      <c r="E284" s="212"/>
      <c r="L284" s="213"/>
      <c r="M284" s="174"/>
      <c r="N284" s="213"/>
    </row>
    <row r="285" ht="12.75" customHeight="1">
      <c r="A285" s="199"/>
      <c r="B285" s="214"/>
      <c r="E285" s="212"/>
      <c r="L285" s="213"/>
      <c r="M285" s="174"/>
      <c r="N285" s="213"/>
    </row>
    <row r="286" ht="12.75" customHeight="1">
      <c r="A286" s="199"/>
      <c r="B286" s="214"/>
      <c r="E286" s="212"/>
      <c r="L286" s="213"/>
      <c r="M286" s="174"/>
      <c r="N286" s="213"/>
    </row>
    <row r="287" ht="12.75" customHeight="1">
      <c r="A287" s="199"/>
      <c r="B287" s="214"/>
      <c r="E287" s="212"/>
      <c r="L287" s="213"/>
      <c r="M287" s="174"/>
      <c r="N287" s="213"/>
    </row>
    <row r="288" ht="12.75" customHeight="1">
      <c r="A288" s="199"/>
      <c r="B288" s="214"/>
      <c r="E288" s="212"/>
      <c r="L288" s="213"/>
      <c r="M288" s="174"/>
      <c r="N288" s="213"/>
    </row>
    <row r="289" ht="12.75" customHeight="1">
      <c r="A289" s="199"/>
      <c r="B289" s="214"/>
      <c r="E289" s="212"/>
      <c r="L289" s="213"/>
      <c r="M289" s="174"/>
      <c r="N289" s="213"/>
    </row>
    <row r="290" ht="12.75" customHeight="1">
      <c r="A290" s="199"/>
      <c r="B290" s="214"/>
      <c r="E290" s="212"/>
      <c r="L290" s="213"/>
      <c r="M290" s="174"/>
      <c r="N290" s="213"/>
    </row>
    <row r="291" ht="12.75" customHeight="1">
      <c r="A291" s="199"/>
      <c r="B291" s="214"/>
      <c r="E291" s="212"/>
      <c r="L291" s="213"/>
      <c r="M291" s="174"/>
      <c r="N291" s="213"/>
    </row>
    <row r="292" ht="12.75" customHeight="1">
      <c r="A292" s="199"/>
      <c r="B292" s="214"/>
      <c r="E292" s="212"/>
      <c r="L292" s="213"/>
      <c r="M292" s="174"/>
      <c r="N292" s="213"/>
    </row>
    <row r="293" ht="12.75" customHeight="1">
      <c r="A293" s="199"/>
      <c r="B293" s="214"/>
      <c r="E293" s="212"/>
      <c r="L293" s="213"/>
      <c r="M293" s="174"/>
      <c r="N293" s="213"/>
    </row>
    <row r="294" ht="12.75" customHeight="1">
      <c r="A294" s="199"/>
      <c r="B294" s="214"/>
      <c r="E294" s="212"/>
      <c r="L294" s="213"/>
      <c r="M294" s="174"/>
      <c r="N294" s="213"/>
    </row>
    <row r="295" ht="12.75" customHeight="1">
      <c r="A295" s="199"/>
      <c r="B295" s="214"/>
      <c r="E295" s="212"/>
      <c r="L295" s="213"/>
      <c r="M295" s="174"/>
      <c r="N295" s="213"/>
    </row>
    <row r="296" ht="12.75" customHeight="1">
      <c r="A296" s="199"/>
      <c r="B296" s="214"/>
      <c r="E296" s="212"/>
      <c r="L296" s="213"/>
      <c r="M296" s="174"/>
      <c r="N296" s="213"/>
    </row>
    <row r="297" ht="12.75" customHeight="1">
      <c r="A297" s="199"/>
      <c r="B297" s="214"/>
      <c r="E297" s="212"/>
      <c r="L297" s="213"/>
      <c r="M297" s="174"/>
      <c r="N297" s="213"/>
    </row>
    <row r="298" ht="12.75" customHeight="1">
      <c r="A298" s="199"/>
      <c r="B298" s="214"/>
      <c r="E298" s="212"/>
      <c r="L298" s="213"/>
      <c r="M298" s="174"/>
      <c r="N298" s="213"/>
    </row>
    <row r="299" ht="12.75" customHeight="1">
      <c r="A299" s="199"/>
      <c r="B299" s="214"/>
      <c r="E299" s="212"/>
      <c r="L299" s="213"/>
      <c r="M299" s="174"/>
      <c r="N299" s="213"/>
    </row>
    <row r="300" ht="12.75" customHeight="1">
      <c r="A300" s="199"/>
      <c r="B300" s="214"/>
      <c r="E300" s="212"/>
      <c r="L300" s="213"/>
      <c r="M300" s="174"/>
      <c r="N300" s="213"/>
    </row>
    <row r="301" ht="12.75" customHeight="1">
      <c r="A301" s="199"/>
      <c r="B301" s="214"/>
      <c r="E301" s="212"/>
      <c r="L301" s="213"/>
      <c r="M301" s="174"/>
      <c r="N301" s="213"/>
    </row>
    <row r="302" ht="12.75" customHeight="1">
      <c r="A302" s="199"/>
      <c r="B302" s="214"/>
      <c r="E302" s="212"/>
      <c r="L302" s="213"/>
      <c r="M302" s="174"/>
      <c r="N302" s="213"/>
    </row>
    <row r="303" ht="12.75" customHeight="1">
      <c r="A303" s="199"/>
      <c r="B303" s="214"/>
      <c r="E303" s="212"/>
      <c r="L303" s="213"/>
      <c r="M303" s="174"/>
      <c r="N303" s="213"/>
    </row>
    <row r="304" ht="12.75" customHeight="1">
      <c r="A304" s="199"/>
      <c r="B304" s="214"/>
      <c r="E304" s="212"/>
      <c r="L304" s="213"/>
      <c r="M304" s="174"/>
      <c r="N304" s="213"/>
    </row>
    <row r="305" ht="12.75" customHeight="1">
      <c r="A305" s="199"/>
      <c r="B305" s="214"/>
      <c r="E305" s="212"/>
      <c r="L305" s="213"/>
      <c r="M305" s="174"/>
      <c r="N305" s="213"/>
    </row>
    <row r="306" ht="12.75" customHeight="1">
      <c r="A306" s="199"/>
      <c r="B306" s="214"/>
      <c r="E306" s="212"/>
      <c r="L306" s="213"/>
      <c r="M306" s="174"/>
      <c r="N306" s="213"/>
    </row>
    <row r="307" ht="12.75" customHeight="1">
      <c r="A307" s="199"/>
      <c r="B307" s="214"/>
      <c r="E307" s="212"/>
      <c r="L307" s="213"/>
      <c r="M307" s="174"/>
      <c r="N307" s="213"/>
    </row>
    <row r="308" ht="12.75" customHeight="1">
      <c r="A308" s="199"/>
      <c r="B308" s="214"/>
      <c r="E308" s="212"/>
      <c r="L308" s="213"/>
      <c r="M308" s="174"/>
      <c r="N308" s="213"/>
    </row>
    <row r="309" ht="12.75" customHeight="1">
      <c r="A309" s="199"/>
      <c r="B309" s="214"/>
      <c r="E309" s="212"/>
      <c r="L309" s="213"/>
      <c r="M309" s="174"/>
      <c r="N309" s="213"/>
    </row>
    <row r="310" ht="12.75" customHeight="1">
      <c r="A310" s="199"/>
      <c r="B310" s="214"/>
      <c r="E310" s="212"/>
      <c r="L310" s="213"/>
      <c r="M310" s="174"/>
      <c r="N310" s="213"/>
    </row>
    <row r="311" ht="12.75" customHeight="1">
      <c r="A311" s="199"/>
      <c r="B311" s="214"/>
      <c r="E311" s="212"/>
      <c r="L311" s="213"/>
      <c r="M311" s="174"/>
      <c r="N311" s="213"/>
    </row>
    <row r="312" ht="12.75" customHeight="1">
      <c r="A312" s="199"/>
      <c r="B312" s="214"/>
      <c r="E312" s="212"/>
      <c r="L312" s="213"/>
      <c r="M312" s="174"/>
      <c r="N312" s="213"/>
    </row>
    <row r="313" ht="12.75" customHeight="1">
      <c r="A313" s="199"/>
      <c r="B313" s="214"/>
      <c r="E313" s="212"/>
      <c r="L313" s="213"/>
      <c r="M313" s="174"/>
      <c r="N313" s="213"/>
    </row>
    <row r="314" ht="12.75" customHeight="1">
      <c r="A314" s="199"/>
      <c r="B314" s="214"/>
      <c r="E314" s="212"/>
      <c r="L314" s="213"/>
      <c r="M314" s="174"/>
      <c r="N314" s="213"/>
    </row>
    <row r="315" ht="12.75" customHeight="1">
      <c r="A315" s="199"/>
      <c r="B315" s="214"/>
      <c r="E315" s="212"/>
      <c r="L315" s="213"/>
      <c r="M315" s="174"/>
      <c r="N315" s="213"/>
    </row>
    <row r="316" ht="12.75" customHeight="1">
      <c r="A316" s="199"/>
      <c r="B316" s="214"/>
      <c r="E316" s="212"/>
      <c r="L316" s="213"/>
      <c r="M316" s="174"/>
      <c r="N316" s="213"/>
    </row>
    <row r="317" ht="12.75" customHeight="1">
      <c r="A317" s="199"/>
      <c r="B317" s="214"/>
      <c r="E317" s="212"/>
      <c r="L317" s="213"/>
      <c r="M317" s="174"/>
      <c r="N317" s="213"/>
    </row>
    <row r="318" ht="12.75" customHeight="1">
      <c r="A318" s="199"/>
      <c r="B318" s="214"/>
      <c r="E318" s="212"/>
      <c r="L318" s="213"/>
      <c r="M318" s="174"/>
      <c r="N318" s="213"/>
    </row>
    <row r="319" ht="12.75" customHeight="1">
      <c r="A319" s="199"/>
      <c r="B319" s="214"/>
      <c r="E319" s="212"/>
      <c r="L319" s="213"/>
      <c r="M319" s="174"/>
      <c r="N319" s="213"/>
    </row>
    <row r="320" ht="12.75" customHeight="1">
      <c r="A320" s="199"/>
      <c r="B320" s="214"/>
      <c r="E320" s="212"/>
      <c r="L320" s="213"/>
      <c r="M320" s="174"/>
      <c r="N320" s="213"/>
    </row>
    <row r="321" ht="12.75" customHeight="1">
      <c r="A321" s="199"/>
      <c r="B321" s="214"/>
      <c r="E321" s="212"/>
      <c r="L321" s="213"/>
      <c r="M321" s="174"/>
      <c r="N321" s="213"/>
    </row>
    <row r="322" ht="12.75" customHeight="1">
      <c r="A322" s="199"/>
      <c r="B322" s="214"/>
      <c r="E322" s="212"/>
      <c r="L322" s="213"/>
      <c r="M322" s="174"/>
      <c r="N322" s="213"/>
    </row>
    <row r="323" ht="12.75" customHeight="1">
      <c r="A323" s="199"/>
      <c r="B323" s="214"/>
      <c r="E323" s="212"/>
      <c r="L323" s="213"/>
      <c r="M323" s="174"/>
      <c r="N323" s="213"/>
    </row>
    <row r="324" ht="12.75" customHeight="1">
      <c r="A324" s="199"/>
      <c r="B324" s="214"/>
      <c r="E324" s="212"/>
      <c r="L324" s="213"/>
      <c r="M324" s="174"/>
      <c r="N324" s="213"/>
    </row>
    <row r="325" ht="12.75" customHeight="1">
      <c r="A325" s="199"/>
      <c r="B325" s="214"/>
      <c r="E325" s="212"/>
      <c r="L325" s="213"/>
      <c r="M325" s="174"/>
      <c r="N325" s="213"/>
    </row>
    <row r="326" ht="12.75" customHeight="1">
      <c r="A326" s="199"/>
      <c r="B326" s="214"/>
      <c r="E326" s="212"/>
      <c r="L326" s="213"/>
      <c r="M326" s="174"/>
      <c r="N326" s="213"/>
    </row>
    <row r="327" ht="12.75" customHeight="1">
      <c r="A327" s="199"/>
      <c r="B327" s="214"/>
      <c r="E327" s="212"/>
      <c r="L327" s="213"/>
      <c r="M327" s="174"/>
      <c r="N327" s="213"/>
    </row>
    <row r="328" ht="12.75" customHeight="1">
      <c r="A328" s="199"/>
      <c r="B328" s="214"/>
      <c r="E328" s="212"/>
      <c r="L328" s="213"/>
      <c r="M328" s="174"/>
      <c r="N328" s="213"/>
    </row>
    <row r="329" ht="12.75" customHeight="1">
      <c r="A329" s="199"/>
      <c r="B329" s="214"/>
      <c r="E329" s="212"/>
      <c r="L329" s="213"/>
      <c r="M329" s="174"/>
      <c r="N329" s="213"/>
    </row>
    <row r="330" ht="12.75" customHeight="1">
      <c r="A330" s="199"/>
      <c r="B330" s="214"/>
      <c r="E330" s="212"/>
      <c r="L330" s="213"/>
      <c r="M330" s="174"/>
      <c r="N330" s="213"/>
    </row>
    <row r="331" ht="12.75" customHeight="1">
      <c r="A331" s="199"/>
      <c r="B331" s="214"/>
      <c r="E331" s="212"/>
      <c r="L331" s="213"/>
      <c r="M331" s="174"/>
      <c r="N331" s="213"/>
    </row>
    <row r="332" ht="12.75" customHeight="1">
      <c r="A332" s="199"/>
      <c r="B332" s="214"/>
      <c r="E332" s="212"/>
      <c r="L332" s="213"/>
      <c r="M332" s="174"/>
      <c r="N332" s="213"/>
    </row>
    <row r="333" ht="12.75" customHeight="1">
      <c r="A333" s="199"/>
      <c r="B333" s="214"/>
      <c r="E333" s="212"/>
      <c r="L333" s="213"/>
      <c r="M333" s="174"/>
      <c r="N333" s="213"/>
    </row>
    <row r="334" ht="12.75" customHeight="1">
      <c r="A334" s="199"/>
      <c r="B334" s="214"/>
      <c r="E334" s="212"/>
      <c r="L334" s="213"/>
      <c r="M334" s="174"/>
      <c r="N334" s="213"/>
    </row>
    <row r="335" ht="12.75" customHeight="1">
      <c r="A335" s="199"/>
      <c r="B335" s="214"/>
      <c r="E335" s="212"/>
      <c r="L335" s="213"/>
      <c r="M335" s="174"/>
      <c r="N335" s="213"/>
    </row>
    <row r="336" ht="12.75" customHeight="1">
      <c r="A336" s="199"/>
      <c r="B336" s="214"/>
      <c r="E336" s="212"/>
      <c r="L336" s="213"/>
      <c r="M336" s="174"/>
      <c r="N336" s="213"/>
    </row>
    <row r="337" ht="12.75" customHeight="1">
      <c r="A337" s="199"/>
      <c r="B337" s="214"/>
      <c r="E337" s="212"/>
      <c r="L337" s="213"/>
      <c r="M337" s="174"/>
      <c r="N337" s="213"/>
    </row>
    <row r="338" ht="12.75" customHeight="1">
      <c r="A338" s="199"/>
      <c r="B338" s="214"/>
      <c r="E338" s="212"/>
      <c r="L338" s="213"/>
      <c r="M338" s="174"/>
      <c r="N338" s="213"/>
    </row>
    <row r="339" ht="12.75" customHeight="1">
      <c r="A339" s="199"/>
      <c r="B339" s="214"/>
      <c r="E339" s="212"/>
      <c r="L339" s="213"/>
      <c r="M339" s="174"/>
      <c r="N339" s="213"/>
    </row>
    <row r="340" ht="12.75" customHeight="1">
      <c r="A340" s="199"/>
      <c r="B340" s="214"/>
      <c r="E340" s="212"/>
      <c r="L340" s="213"/>
      <c r="M340" s="174"/>
      <c r="N340" s="213"/>
    </row>
    <row r="341" ht="12.75" customHeight="1">
      <c r="A341" s="199"/>
      <c r="B341" s="214"/>
      <c r="E341" s="212"/>
      <c r="L341" s="213"/>
      <c r="M341" s="174"/>
      <c r="N341" s="213"/>
    </row>
    <row r="342" ht="12.75" customHeight="1">
      <c r="A342" s="199"/>
      <c r="B342" s="214"/>
      <c r="E342" s="212"/>
      <c r="L342" s="213"/>
      <c r="M342" s="174"/>
      <c r="N342" s="213"/>
    </row>
    <row r="343" ht="12.75" customHeight="1">
      <c r="A343" s="199"/>
      <c r="B343" s="214"/>
      <c r="E343" s="212"/>
      <c r="L343" s="213"/>
      <c r="M343" s="174"/>
      <c r="N343" s="213"/>
    </row>
    <row r="344" ht="12.75" customHeight="1">
      <c r="A344" s="199"/>
      <c r="B344" s="214"/>
      <c r="E344" s="212"/>
      <c r="L344" s="213"/>
      <c r="M344" s="174"/>
      <c r="N344" s="213"/>
    </row>
    <row r="345" ht="12.75" customHeight="1">
      <c r="A345" s="199"/>
      <c r="B345" s="214"/>
      <c r="E345" s="212"/>
      <c r="L345" s="213"/>
      <c r="M345" s="174"/>
      <c r="N345" s="213"/>
    </row>
    <row r="346" ht="12.75" customHeight="1">
      <c r="A346" s="199"/>
      <c r="B346" s="214"/>
      <c r="E346" s="212"/>
      <c r="L346" s="213"/>
      <c r="M346" s="174"/>
      <c r="N346" s="213"/>
    </row>
    <row r="347" ht="12.75" customHeight="1">
      <c r="A347" s="199"/>
      <c r="B347" s="214"/>
      <c r="E347" s="212"/>
      <c r="L347" s="213"/>
      <c r="M347" s="174"/>
      <c r="N347" s="213"/>
    </row>
    <row r="348" ht="12.75" customHeight="1">
      <c r="A348" s="199"/>
      <c r="B348" s="214"/>
      <c r="E348" s="212"/>
      <c r="L348" s="213"/>
      <c r="M348" s="174"/>
      <c r="N348" s="213"/>
    </row>
    <row r="349" ht="12.75" customHeight="1">
      <c r="A349" s="199"/>
      <c r="B349" s="214"/>
      <c r="E349" s="212"/>
      <c r="L349" s="213"/>
      <c r="M349" s="174"/>
      <c r="N349" s="213"/>
    </row>
    <row r="350" ht="12.75" customHeight="1">
      <c r="A350" s="199"/>
      <c r="B350" s="214"/>
      <c r="E350" s="212"/>
      <c r="L350" s="213"/>
      <c r="M350" s="174"/>
      <c r="N350" s="213"/>
    </row>
    <row r="351" ht="12.75" customHeight="1">
      <c r="A351" s="199"/>
      <c r="B351" s="214"/>
      <c r="E351" s="212"/>
      <c r="L351" s="213"/>
      <c r="M351" s="174"/>
      <c r="N351" s="213"/>
    </row>
    <row r="352" ht="12.75" customHeight="1">
      <c r="A352" s="199"/>
      <c r="B352" s="214"/>
      <c r="E352" s="212"/>
      <c r="L352" s="213"/>
      <c r="M352" s="174"/>
      <c r="N352" s="213"/>
    </row>
    <row r="353" ht="12.75" customHeight="1">
      <c r="A353" s="199"/>
      <c r="B353" s="214"/>
      <c r="E353" s="212"/>
      <c r="L353" s="213"/>
      <c r="M353" s="174"/>
      <c r="N353" s="213"/>
    </row>
    <row r="354" ht="12.75" customHeight="1">
      <c r="A354" s="199"/>
      <c r="B354" s="214"/>
      <c r="E354" s="212"/>
      <c r="L354" s="213"/>
      <c r="M354" s="174"/>
      <c r="N354" s="213"/>
    </row>
    <row r="355" ht="12.75" customHeight="1">
      <c r="A355" s="199"/>
      <c r="B355" s="214"/>
      <c r="E355" s="212"/>
      <c r="L355" s="213"/>
      <c r="M355" s="174"/>
      <c r="N355" s="213"/>
    </row>
    <row r="356" ht="12.75" customHeight="1">
      <c r="A356" s="199"/>
      <c r="B356" s="214"/>
      <c r="E356" s="212"/>
      <c r="L356" s="213"/>
      <c r="M356" s="174"/>
      <c r="N356" s="213"/>
    </row>
    <row r="357" ht="12.75" customHeight="1">
      <c r="A357" s="199"/>
      <c r="B357" s="214"/>
      <c r="E357" s="212"/>
      <c r="L357" s="213"/>
      <c r="M357" s="174"/>
      <c r="N357" s="213"/>
    </row>
    <row r="358" ht="12.75" customHeight="1">
      <c r="A358" s="199"/>
      <c r="B358" s="214"/>
      <c r="E358" s="212"/>
      <c r="L358" s="213"/>
      <c r="M358" s="174"/>
      <c r="N358" s="213"/>
    </row>
    <row r="359" ht="12.75" customHeight="1">
      <c r="A359" s="199"/>
      <c r="B359" s="214"/>
      <c r="E359" s="212"/>
      <c r="L359" s="213"/>
      <c r="M359" s="174"/>
      <c r="N359" s="213"/>
    </row>
    <row r="360" ht="12.75" customHeight="1">
      <c r="A360" s="199"/>
      <c r="B360" s="214"/>
      <c r="E360" s="212"/>
      <c r="L360" s="213"/>
      <c r="M360" s="174"/>
      <c r="N360" s="213"/>
    </row>
    <row r="361" ht="12.75" customHeight="1">
      <c r="A361" s="199"/>
      <c r="B361" s="214"/>
      <c r="E361" s="212"/>
      <c r="L361" s="213"/>
      <c r="M361" s="174"/>
      <c r="N361" s="213"/>
    </row>
    <row r="362" ht="12.75" customHeight="1">
      <c r="A362" s="199"/>
      <c r="B362" s="214"/>
      <c r="E362" s="212"/>
      <c r="L362" s="213"/>
      <c r="M362" s="174"/>
      <c r="N362" s="213"/>
    </row>
    <row r="363" ht="12.75" customHeight="1">
      <c r="A363" s="199"/>
      <c r="B363" s="214"/>
      <c r="E363" s="212"/>
      <c r="L363" s="213"/>
      <c r="M363" s="174"/>
      <c r="N363" s="213"/>
    </row>
    <row r="364" ht="12.75" customHeight="1">
      <c r="A364" s="199"/>
      <c r="B364" s="214"/>
      <c r="E364" s="212"/>
      <c r="L364" s="213"/>
      <c r="M364" s="174"/>
      <c r="N364" s="213"/>
    </row>
    <row r="365" ht="12.75" customHeight="1">
      <c r="A365" s="199"/>
      <c r="B365" s="214"/>
      <c r="E365" s="212"/>
      <c r="L365" s="213"/>
      <c r="M365" s="174"/>
      <c r="N365" s="213"/>
    </row>
    <row r="366" ht="12.75" customHeight="1">
      <c r="A366" s="199"/>
      <c r="B366" s="214"/>
      <c r="E366" s="212"/>
      <c r="L366" s="213"/>
      <c r="M366" s="174"/>
      <c r="N366" s="213"/>
    </row>
    <row r="367" ht="12.75" customHeight="1">
      <c r="A367" s="199"/>
      <c r="B367" s="214"/>
      <c r="E367" s="212"/>
      <c r="L367" s="213"/>
      <c r="M367" s="174"/>
      <c r="N367" s="213"/>
    </row>
    <row r="368" ht="12.75" customHeight="1">
      <c r="A368" s="199"/>
      <c r="B368" s="214"/>
      <c r="E368" s="212"/>
      <c r="L368" s="213"/>
      <c r="M368" s="174"/>
      <c r="N368" s="213"/>
    </row>
    <row r="369" ht="12.75" customHeight="1">
      <c r="A369" s="199"/>
      <c r="B369" s="214"/>
      <c r="E369" s="212"/>
      <c r="L369" s="213"/>
      <c r="M369" s="174"/>
      <c r="N369" s="213"/>
    </row>
    <row r="370" ht="12.75" customHeight="1">
      <c r="A370" s="199"/>
      <c r="B370" s="214"/>
      <c r="E370" s="212"/>
      <c r="L370" s="213"/>
      <c r="M370" s="174"/>
      <c r="N370" s="213"/>
    </row>
    <row r="371" ht="12.75" customHeight="1">
      <c r="A371" s="199"/>
      <c r="B371" s="214"/>
      <c r="E371" s="212"/>
      <c r="L371" s="213"/>
      <c r="M371" s="174"/>
      <c r="N371" s="213"/>
    </row>
    <row r="372" ht="12.75" customHeight="1">
      <c r="A372" s="199"/>
      <c r="B372" s="214"/>
      <c r="E372" s="212"/>
      <c r="L372" s="213"/>
      <c r="M372" s="174"/>
      <c r="N372" s="213"/>
    </row>
    <row r="373" ht="12.75" customHeight="1">
      <c r="A373" s="199"/>
      <c r="B373" s="214"/>
      <c r="E373" s="212"/>
      <c r="L373" s="213"/>
      <c r="M373" s="174"/>
      <c r="N373" s="213"/>
    </row>
    <row r="374" ht="12.75" customHeight="1">
      <c r="A374" s="199"/>
      <c r="B374" s="214"/>
      <c r="E374" s="212"/>
      <c r="L374" s="213"/>
      <c r="M374" s="174"/>
      <c r="N374" s="213"/>
    </row>
    <row r="375" ht="12.75" customHeight="1">
      <c r="A375" s="199"/>
      <c r="B375" s="214"/>
      <c r="E375" s="212"/>
      <c r="L375" s="213"/>
      <c r="M375" s="174"/>
      <c r="N375" s="213"/>
    </row>
    <row r="376" ht="12.75" customHeight="1">
      <c r="A376" s="199"/>
      <c r="B376" s="214"/>
      <c r="E376" s="212"/>
      <c r="L376" s="213"/>
      <c r="M376" s="174"/>
      <c r="N376" s="213"/>
    </row>
    <row r="377" ht="12.75" customHeight="1">
      <c r="A377" s="199"/>
      <c r="B377" s="214"/>
      <c r="E377" s="212"/>
      <c r="L377" s="213"/>
      <c r="M377" s="174"/>
      <c r="N377" s="213"/>
    </row>
    <row r="378" ht="12.75" customHeight="1">
      <c r="A378" s="199"/>
      <c r="B378" s="214"/>
      <c r="E378" s="212"/>
      <c r="L378" s="213"/>
      <c r="M378" s="174"/>
      <c r="N378" s="213"/>
    </row>
    <row r="379" ht="12.75" customHeight="1">
      <c r="A379" s="199"/>
      <c r="B379" s="214"/>
      <c r="E379" s="212"/>
      <c r="L379" s="213"/>
      <c r="M379" s="174"/>
      <c r="N379" s="213"/>
    </row>
    <row r="380" ht="12.75" customHeight="1">
      <c r="A380" s="199"/>
      <c r="B380" s="214"/>
      <c r="E380" s="212"/>
      <c r="L380" s="213"/>
      <c r="M380" s="174"/>
      <c r="N380" s="213"/>
    </row>
    <row r="381" ht="12.75" customHeight="1">
      <c r="A381" s="199"/>
      <c r="B381" s="214"/>
      <c r="E381" s="212"/>
      <c r="L381" s="213"/>
      <c r="M381" s="174"/>
      <c r="N381" s="213"/>
    </row>
    <row r="382" ht="12.75" customHeight="1">
      <c r="A382" s="199"/>
      <c r="B382" s="214"/>
      <c r="E382" s="212"/>
      <c r="L382" s="213"/>
      <c r="M382" s="174"/>
      <c r="N382" s="213"/>
    </row>
    <row r="383" ht="12.75" customHeight="1">
      <c r="A383" s="199"/>
      <c r="B383" s="214"/>
      <c r="E383" s="212"/>
      <c r="L383" s="213"/>
      <c r="M383" s="174"/>
      <c r="N383" s="213"/>
    </row>
    <row r="384" ht="12.75" customHeight="1">
      <c r="A384" s="199"/>
      <c r="B384" s="214"/>
      <c r="E384" s="212"/>
      <c r="L384" s="213"/>
      <c r="M384" s="174"/>
      <c r="N384" s="213"/>
    </row>
    <row r="385" ht="12.75" customHeight="1">
      <c r="A385" s="199"/>
      <c r="B385" s="214"/>
      <c r="E385" s="212"/>
      <c r="L385" s="213"/>
      <c r="M385" s="174"/>
      <c r="N385" s="213"/>
    </row>
    <row r="386" ht="12.75" customHeight="1">
      <c r="A386" s="199"/>
      <c r="B386" s="214"/>
      <c r="E386" s="212"/>
      <c r="L386" s="213"/>
      <c r="M386" s="174"/>
      <c r="N386" s="213"/>
    </row>
    <row r="387" ht="12.75" customHeight="1">
      <c r="A387" s="199"/>
      <c r="B387" s="214"/>
      <c r="E387" s="212"/>
      <c r="L387" s="213"/>
      <c r="M387" s="174"/>
      <c r="N387" s="213"/>
    </row>
    <row r="388" ht="12.75" customHeight="1">
      <c r="A388" s="199"/>
      <c r="B388" s="214"/>
      <c r="E388" s="212"/>
      <c r="L388" s="213"/>
      <c r="M388" s="174"/>
      <c r="N388" s="213"/>
    </row>
    <row r="389" ht="12.75" customHeight="1">
      <c r="A389" s="199"/>
      <c r="B389" s="214"/>
      <c r="E389" s="212"/>
      <c r="L389" s="213"/>
      <c r="M389" s="174"/>
      <c r="N389" s="213"/>
    </row>
    <row r="390" ht="12.75" customHeight="1">
      <c r="A390" s="199"/>
      <c r="B390" s="214"/>
      <c r="E390" s="212"/>
      <c r="L390" s="213"/>
      <c r="M390" s="174"/>
      <c r="N390" s="213"/>
    </row>
    <row r="391" ht="12.75" customHeight="1">
      <c r="A391" s="199"/>
      <c r="B391" s="214"/>
      <c r="E391" s="212"/>
      <c r="L391" s="213"/>
      <c r="M391" s="174"/>
      <c r="N391" s="213"/>
    </row>
    <row r="392" ht="12.75" customHeight="1">
      <c r="A392" s="199"/>
      <c r="B392" s="214"/>
      <c r="E392" s="212"/>
      <c r="L392" s="213"/>
      <c r="M392" s="174"/>
      <c r="N392" s="213"/>
    </row>
    <row r="393" ht="12.75" customHeight="1">
      <c r="A393" s="199"/>
      <c r="B393" s="214"/>
      <c r="E393" s="212"/>
      <c r="L393" s="213"/>
      <c r="M393" s="174"/>
      <c r="N393" s="213"/>
    </row>
    <row r="394" ht="12.75" customHeight="1">
      <c r="A394" s="199"/>
      <c r="B394" s="214"/>
      <c r="E394" s="212"/>
      <c r="L394" s="213"/>
      <c r="M394" s="174"/>
      <c r="N394" s="213"/>
    </row>
    <row r="395" ht="12.75" customHeight="1">
      <c r="A395" s="199"/>
      <c r="B395" s="214"/>
      <c r="E395" s="212"/>
      <c r="L395" s="213"/>
      <c r="M395" s="174"/>
      <c r="N395" s="213"/>
    </row>
    <row r="396" ht="12.75" customHeight="1">
      <c r="A396" s="199"/>
      <c r="B396" s="214"/>
      <c r="E396" s="212"/>
      <c r="L396" s="213"/>
      <c r="M396" s="174"/>
      <c r="N396" s="213"/>
    </row>
    <row r="397" ht="12.75" customHeight="1">
      <c r="A397" s="199"/>
      <c r="B397" s="214"/>
      <c r="E397" s="212"/>
      <c r="L397" s="213"/>
      <c r="M397" s="174"/>
      <c r="N397" s="213"/>
    </row>
    <row r="398" ht="12.75" customHeight="1">
      <c r="A398" s="199"/>
      <c r="B398" s="214"/>
      <c r="E398" s="212"/>
      <c r="L398" s="213"/>
      <c r="M398" s="174"/>
      <c r="N398" s="213"/>
    </row>
    <row r="399" ht="12.75" customHeight="1">
      <c r="A399" s="199"/>
      <c r="B399" s="214"/>
      <c r="E399" s="212"/>
      <c r="L399" s="213"/>
      <c r="M399" s="174"/>
      <c r="N399" s="213"/>
    </row>
    <row r="400" ht="12.75" customHeight="1">
      <c r="A400" s="199"/>
      <c r="B400" s="214"/>
      <c r="E400" s="212"/>
      <c r="L400" s="213"/>
      <c r="M400" s="174"/>
      <c r="N400" s="213"/>
    </row>
    <row r="401" ht="12.75" customHeight="1">
      <c r="A401" s="199"/>
      <c r="B401" s="214"/>
      <c r="E401" s="212"/>
      <c r="L401" s="213"/>
      <c r="M401" s="174"/>
      <c r="N401" s="213"/>
    </row>
    <row r="402" ht="12.75" customHeight="1">
      <c r="A402" s="199"/>
      <c r="B402" s="214"/>
      <c r="E402" s="212"/>
      <c r="L402" s="213"/>
      <c r="M402" s="174"/>
      <c r="N402" s="213"/>
    </row>
    <row r="403" ht="12.75" customHeight="1">
      <c r="A403" s="199"/>
      <c r="B403" s="214"/>
      <c r="E403" s="212"/>
      <c r="L403" s="213"/>
      <c r="M403" s="174"/>
      <c r="N403" s="213"/>
    </row>
    <row r="404" ht="12.75" customHeight="1">
      <c r="A404" s="199"/>
      <c r="B404" s="214"/>
      <c r="E404" s="212"/>
      <c r="L404" s="213"/>
      <c r="M404" s="174"/>
      <c r="N404" s="213"/>
    </row>
    <row r="405" ht="12.75" customHeight="1">
      <c r="A405" s="199"/>
      <c r="B405" s="214"/>
      <c r="E405" s="212"/>
      <c r="L405" s="213"/>
      <c r="M405" s="174"/>
      <c r="N405" s="213"/>
    </row>
    <row r="406" ht="12.75" customHeight="1">
      <c r="A406" s="199"/>
      <c r="B406" s="214"/>
      <c r="E406" s="212"/>
      <c r="L406" s="213"/>
      <c r="M406" s="174"/>
      <c r="N406" s="213"/>
    </row>
    <row r="407" ht="12.75" customHeight="1">
      <c r="A407" s="199"/>
      <c r="B407" s="214"/>
      <c r="E407" s="212"/>
      <c r="L407" s="213"/>
      <c r="M407" s="174"/>
      <c r="N407" s="213"/>
    </row>
    <row r="408" ht="12.75" customHeight="1">
      <c r="A408" s="199"/>
      <c r="B408" s="214"/>
      <c r="E408" s="212"/>
      <c r="L408" s="213"/>
      <c r="M408" s="174"/>
      <c r="N408" s="213"/>
    </row>
    <row r="409" ht="12.75" customHeight="1">
      <c r="A409" s="199"/>
      <c r="B409" s="214"/>
      <c r="E409" s="212"/>
      <c r="L409" s="213"/>
      <c r="M409" s="174"/>
      <c r="N409" s="213"/>
    </row>
    <row r="410" ht="12.75" customHeight="1">
      <c r="A410" s="199"/>
      <c r="B410" s="214"/>
      <c r="E410" s="212"/>
      <c r="L410" s="213"/>
      <c r="M410" s="174"/>
      <c r="N410" s="213"/>
    </row>
    <row r="411" ht="12.75" customHeight="1">
      <c r="A411" s="199"/>
      <c r="B411" s="214"/>
      <c r="E411" s="212"/>
      <c r="L411" s="213"/>
      <c r="M411" s="174"/>
      <c r="N411" s="213"/>
    </row>
    <row r="412" ht="12.75" customHeight="1">
      <c r="A412" s="199"/>
      <c r="B412" s="214"/>
      <c r="E412" s="212"/>
      <c r="L412" s="213"/>
      <c r="M412" s="174"/>
      <c r="N412" s="213"/>
    </row>
    <row r="413" ht="12.75" customHeight="1">
      <c r="A413" s="199"/>
      <c r="B413" s="214"/>
      <c r="E413" s="212"/>
      <c r="L413" s="213"/>
      <c r="M413" s="174"/>
      <c r="N413" s="213"/>
    </row>
    <row r="414" ht="12.75" customHeight="1">
      <c r="A414" s="199"/>
      <c r="B414" s="214"/>
      <c r="E414" s="212"/>
      <c r="L414" s="213"/>
      <c r="M414" s="174"/>
      <c r="N414" s="213"/>
    </row>
    <row r="415" ht="12.75" customHeight="1">
      <c r="A415" s="199"/>
      <c r="B415" s="214"/>
      <c r="E415" s="212"/>
      <c r="L415" s="213"/>
      <c r="M415" s="174"/>
      <c r="N415" s="213"/>
    </row>
    <row r="416" ht="12.75" customHeight="1">
      <c r="A416" s="199"/>
      <c r="B416" s="214"/>
      <c r="E416" s="212"/>
      <c r="L416" s="213"/>
      <c r="M416" s="174"/>
      <c r="N416" s="213"/>
    </row>
    <row r="417" ht="12.75" customHeight="1">
      <c r="A417" s="199"/>
      <c r="B417" s="214"/>
      <c r="E417" s="212"/>
      <c r="L417" s="213"/>
      <c r="M417" s="174"/>
      <c r="N417" s="213"/>
    </row>
    <row r="418" ht="12.75" customHeight="1">
      <c r="A418" s="199"/>
      <c r="B418" s="214"/>
      <c r="E418" s="212"/>
      <c r="L418" s="213"/>
      <c r="M418" s="174"/>
      <c r="N418" s="213"/>
    </row>
    <row r="419" ht="12.75" customHeight="1">
      <c r="A419" s="199"/>
      <c r="B419" s="214"/>
      <c r="E419" s="212"/>
      <c r="L419" s="213"/>
      <c r="M419" s="174"/>
      <c r="N419" s="213"/>
    </row>
    <row r="420" ht="12.75" customHeight="1">
      <c r="A420" s="199"/>
      <c r="B420" s="214"/>
      <c r="E420" s="212"/>
      <c r="L420" s="213"/>
      <c r="M420" s="174"/>
      <c r="N420" s="213"/>
    </row>
    <row r="421" ht="12.75" customHeight="1">
      <c r="A421" s="199"/>
      <c r="B421" s="214"/>
      <c r="E421" s="212"/>
      <c r="L421" s="213"/>
      <c r="M421" s="174"/>
      <c r="N421" s="213"/>
    </row>
    <row r="422" ht="12.75" customHeight="1">
      <c r="A422" s="199"/>
      <c r="B422" s="214"/>
      <c r="E422" s="212"/>
      <c r="L422" s="213"/>
      <c r="M422" s="174"/>
      <c r="N422" s="213"/>
    </row>
    <row r="423" ht="12.75" customHeight="1">
      <c r="A423" s="199"/>
      <c r="B423" s="214"/>
      <c r="E423" s="212"/>
      <c r="L423" s="213"/>
      <c r="M423" s="174"/>
      <c r="N423" s="213"/>
    </row>
    <row r="424" ht="12.75" customHeight="1">
      <c r="A424" s="199"/>
      <c r="B424" s="214"/>
      <c r="E424" s="212"/>
      <c r="L424" s="213"/>
      <c r="M424" s="174"/>
      <c r="N424" s="213"/>
    </row>
    <row r="425" ht="12.75" customHeight="1">
      <c r="A425" s="199"/>
      <c r="B425" s="214"/>
      <c r="E425" s="212"/>
      <c r="L425" s="213"/>
      <c r="M425" s="174"/>
      <c r="N425" s="213"/>
    </row>
    <row r="426" ht="12.75" customHeight="1">
      <c r="A426" s="199"/>
      <c r="B426" s="214"/>
      <c r="E426" s="212"/>
      <c r="L426" s="213"/>
      <c r="M426" s="174"/>
      <c r="N426" s="213"/>
    </row>
    <row r="427" ht="12.75" customHeight="1">
      <c r="A427" s="199"/>
      <c r="B427" s="214"/>
      <c r="E427" s="212"/>
      <c r="L427" s="213"/>
      <c r="M427" s="174"/>
      <c r="N427" s="213"/>
    </row>
    <row r="428" ht="12.75" customHeight="1">
      <c r="A428" s="199"/>
      <c r="B428" s="214"/>
      <c r="E428" s="212"/>
      <c r="L428" s="213"/>
      <c r="M428" s="174"/>
      <c r="N428" s="213"/>
    </row>
    <row r="429" ht="12.75" customHeight="1">
      <c r="A429" s="199"/>
      <c r="B429" s="214"/>
      <c r="E429" s="212"/>
      <c r="L429" s="213"/>
      <c r="M429" s="174"/>
      <c r="N429" s="213"/>
    </row>
    <row r="430" ht="12.75" customHeight="1">
      <c r="A430" s="199"/>
      <c r="B430" s="214"/>
      <c r="E430" s="212"/>
      <c r="L430" s="213"/>
      <c r="M430" s="174"/>
      <c r="N430" s="213"/>
    </row>
    <row r="431" ht="12.75" customHeight="1">
      <c r="A431" s="199"/>
      <c r="B431" s="214"/>
      <c r="E431" s="212"/>
      <c r="L431" s="213"/>
      <c r="M431" s="174"/>
      <c r="N431" s="213"/>
    </row>
    <row r="432" ht="12.75" customHeight="1">
      <c r="A432" s="199"/>
      <c r="B432" s="214"/>
      <c r="E432" s="212"/>
      <c r="L432" s="213"/>
      <c r="M432" s="174"/>
      <c r="N432" s="213"/>
    </row>
    <row r="433" ht="12.75" customHeight="1">
      <c r="A433" s="199"/>
      <c r="B433" s="214"/>
      <c r="E433" s="212"/>
      <c r="L433" s="213"/>
      <c r="M433" s="174"/>
      <c r="N433" s="213"/>
    </row>
    <row r="434" ht="12.75" customHeight="1">
      <c r="A434" s="199"/>
      <c r="B434" s="214"/>
      <c r="E434" s="212"/>
      <c r="L434" s="213"/>
      <c r="M434" s="174"/>
      <c r="N434" s="213"/>
    </row>
    <row r="435" ht="12.75" customHeight="1">
      <c r="A435" s="199"/>
      <c r="B435" s="214"/>
      <c r="E435" s="212"/>
      <c r="L435" s="213"/>
      <c r="M435" s="174"/>
      <c r="N435" s="213"/>
    </row>
    <row r="436" ht="12.75" customHeight="1">
      <c r="A436" s="199"/>
      <c r="B436" s="214"/>
      <c r="E436" s="212"/>
      <c r="L436" s="213"/>
      <c r="M436" s="174"/>
      <c r="N436" s="213"/>
    </row>
    <row r="437" ht="12.75" customHeight="1">
      <c r="A437" s="199"/>
      <c r="B437" s="214"/>
      <c r="E437" s="212"/>
      <c r="L437" s="213"/>
      <c r="M437" s="174"/>
      <c r="N437" s="213"/>
    </row>
    <row r="438" ht="12.75" customHeight="1">
      <c r="A438" s="199"/>
      <c r="B438" s="214"/>
      <c r="E438" s="212"/>
      <c r="L438" s="213"/>
      <c r="M438" s="174"/>
      <c r="N438" s="213"/>
    </row>
    <row r="439" ht="12.75" customHeight="1">
      <c r="A439" s="199"/>
      <c r="B439" s="214"/>
      <c r="E439" s="212"/>
      <c r="L439" s="213"/>
      <c r="M439" s="174"/>
      <c r="N439" s="213"/>
    </row>
    <row r="440" ht="12.75" customHeight="1">
      <c r="A440" s="199"/>
      <c r="B440" s="214"/>
      <c r="E440" s="212"/>
      <c r="L440" s="213"/>
      <c r="M440" s="174"/>
      <c r="N440" s="213"/>
    </row>
    <row r="441" ht="12.75" customHeight="1">
      <c r="A441" s="199"/>
      <c r="B441" s="214"/>
      <c r="E441" s="212"/>
      <c r="L441" s="213"/>
      <c r="M441" s="174"/>
      <c r="N441" s="213"/>
    </row>
    <row r="442" ht="12.75" customHeight="1">
      <c r="A442" s="199"/>
      <c r="B442" s="214"/>
      <c r="E442" s="212"/>
      <c r="L442" s="213"/>
      <c r="M442" s="174"/>
      <c r="N442" s="213"/>
    </row>
    <row r="443" ht="12.75" customHeight="1">
      <c r="A443" s="199"/>
      <c r="B443" s="214"/>
      <c r="E443" s="212"/>
      <c r="L443" s="213"/>
      <c r="M443" s="174"/>
      <c r="N443" s="213"/>
    </row>
    <row r="444" ht="12.75" customHeight="1">
      <c r="A444" s="199"/>
      <c r="B444" s="214"/>
      <c r="E444" s="212"/>
      <c r="L444" s="213"/>
      <c r="M444" s="174"/>
      <c r="N444" s="213"/>
    </row>
    <row r="445" ht="12.75" customHeight="1">
      <c r="A445" s="199"/>
      <c r="B445" s="214"/>
      <c r="E445" s="212"/>
      <c r="L445" s="213"/>
      <c r="M445" s="174"/>
      <c r="N445" s="213"/>
    </row>
    <row r="446" ht="12.75" customHeight="1">
      <c r="A446" s="199"/>
      <c r="B446" s="214"/>
      <c r="E446" s="212"/>
      <c r="L446" s="213"/>
      <c r="M446" s="174"/>
      <c r="N446" s="213"/>
    </row>
    <row r="447" ht="12.75" customHeight="1">
      <c r="A447" s="199"/>
      <c r="B447" s="214"/>
      <c r="E447" s="212"/>
      <c r="L447" s="213"/>
      <c r="M447" s="174"/>
      <c r="N447" s="213"/>
    </row>
    <row r="448" ht="12.75" customHeight="1">
      <c r="A448" s="199"/>
      <c r="B448" s="214"/>
      <c r="E448" s="212"/>
      <c r="L448" s="213"/>
      <c r="M448" s="174"/>
      <c r="N448" s="213"/>
    </row>
    <row r="449" ht="12.75" customHeight="1">
      <c r="A449" s="199"/>
      <c r="B449" s="214"/>
      <c r="E449" s="212"/>
      <c r="L449" s="213"/>
      <c r="M449" s="174"/>
      <c r="N449" s="213"/>
    </row>
    <row r="450" ht="12.75" customHeight="1">
      <c r="A450" s="199"/>
      <c r="B450" s="214"/>
      <c r="E450" s="212"/>
      <c r="L450" s="213"/>
      <c r="M450" s="174"/>
      <c r="N450" s="213"/>
    </row>
    <row r="451" ht="12.75" customHeight="1">
      <c r="A451" s="199"/>
      <c r="B451" s="214"/>
      <c r="E451" s="212"/>
      <c r="L451" s="213"/>
      <c r="M451" s="174"/>
      <c r="N451" s="213"/>
    </row>
    <row r="452" ht="12.75" customHeight="1">
      <c r="A452" s="199"/>
      <c r="B452" s="214"/>
      <c r="E452" s="212"/>
      <c r="L452" s="213"/>
      <c r="M452" s="174"/>
      <c r="N452" s="213"/>
    </row>
    <row r="453" ht="12.75" customHeight="1">
      <c r="A453" s="199"/>
      <c r="B453" s="214"/>
      <c r="E453" s="212"/>
      <c r="L453" s="213"/>
      <c r="M453" s="174"/>
      <c r="N453" s="213"/>
    </row>
    <row r="454" ht="12.75" customHeight="1">
      <c r="A454" s="199"/>
      <c r="B454" s="214"/>
      <c r="E454" s="212"/>
      <c r="L454" s="213"/>
      <c r="M454" s="174"/>
      <c r="N454" s="213"/>
    </row>
    <row r="455" ht="12.75" customHeight="1">
      <c r="A455" s="199"/>
      <c r="B455" s="214"/>
      <c r="E455" s="212"/>
      <c r="L455" s="213"/>
      <c r="M455" s="174"/>
      <c r="N455" s="213"/>
    </row>
    <row r="456" ht="12.75" customHeight="1">
      <c r="A456" s="199"/>
      <c r="B456" s="214"/>
      <c r="E456" s="212"/>
      <c r="L456" s="213"/>
      <c r="M456" s="174"/>
      <c r="N456" s="213"/>
    </row>
    <row r="457" ht="12.75" customHeight="1">
      <c r="A457" s="199"/>
      <c r="B457" s="214"/>
      <c r="E457" s="212"/>
      <c r="L457" s="213"/>
      <c r="M457" s="174"/>
      <c r="N457" s="213"/>
    </row>
    <row r="458" ht="12.75" customHeight="1">
      <c r="A458" s="199"/>
      <c r="B458" s="214"/>
      <c r="E458" s="212"/>
      <c r="L458" s="213"/>
      <c r="M458" s="174"/>
      <c r="N458" s="213"/>
    </row>
    <row r="459" ht="12.75" customHeight="1">
      <c r="A459" s="199"/>
      <c r="B459" s="214"/>
      <c r="E459" s="212"/>
      <c r="L459" s="213"/>
      <c r="M459" s="174"/>
      <c r="N459" s="213"/>
    </row>
    <row r="460" ht="12.75" customHeight="1">
      <c r="A460" s="199"/>
      <c r="B460" s="214"/>
      <c r="E460" s="212"/>
      <c r="L460" s="213"/>
      <c r="M460" s="174"/>
      <c r="N460" s="213"/>
    </row>
    <row r="461" ht="12.75" customHeight="1">
      <c r="A461" s="199"/>
      <c r="B461" s="214"/>
      <c r="E461" s="212"/>
      <c r="L461" s="213"/>
      <c r="M461" s="174"/>
      <c r="N461" s="213"/>
    </row>
    <row r="462" ht="12.75" customHeight="1">
      <c r="A462" s="199"/>
      <c r="B462" s="214"/>
      <c r="E462" s="212"/>
      <c r="L462" s="213"/>
      <c r="M462" s="174"/>
      <c r="N462" s="213"/>
    </row>
    <row r="463" ht="12.75" customHeight="1">
      <c r="A463" s="199"/>
      <c r="B463" s="214"/>
      <c r="E463" s="212"/>
      <c r="L463" s="213"/>
      <c r="M463" s="174"/>
      <c r="N463" s="213"/>
    </row>
    <row r="464" ht="12.75" customHeight="1">
      <c r="A464" s="199"/>
      <c r="B464" s="214"/>
      <c r="E464" s="212"/>
      <c r="L464" s="213"/>
      <c r="M464" s="174"/>
      <c r="N464" s="213"/>
    </row>
    <row r="465" ht="12.75" customHeight="1">
      <c r="A465" s="199"/>
      <c r="B465" s="214"/>
      <c r="E465" s="212"/>
      <c r="L465" s="213"/>
      <c r="M465" s="174"/>
      <c r="N465" s="213"/>
    </row>
    <row r="466" ht="12.75" customHeight="1">
      <c r="A466" s="199"/>
      <c r="B466" s="214"/>
      <c r="E466" s="212"/>
      <c r="L466" s="213"/>
      <c r="M466" s="174"/>
      <c r="N466" s="213"/>
    </row>
    <row r="467" ht="12.75" customHeight="1">
      <c r="A467" s="199"/>
      <c r="B467" s="214"/>
      <c r="E467" s="212"/>
      <c r="L467" s="213"/>
      <c r="M467" s="174"/>
      <c r="N467" s="213"/>
    </row>
    <row r="468" ht="12.75" customHeight="1">
      <c r="A468" s="199"/>
      <c r="B468" s="214"/>
      <c r="E468" s="212"/>
      <c r="L468" s="213"/>
      <c r="M468" s="174"/>
      <c r="N468" s="213"/>
    </row>
    <row r="469" ht="12.75" customHeight="1">
      <c r="A469" s="199"/>
      <c r="B469" s="214"/>
      <c r="E469" s="212"/>
      <c r="L469" s="213"/>
      <c r="M469" s="174"/>
      <c r="N469" s="213"/>
    </row>
    <row r="470" ht="12.75" customHeight="1">
      <c r="A470" s="199"/>
      <c r="B470" s="214"/>
      <c r="E470" s="212"/>
      <c r="L470" s="213"/>
      <c r="M470" s="174"/>
      <c r="N470" s="213"/>
    </row>
    <row r="471" ht="12.75" customHeight="1">
      <c r="A471" s="199"/>
      <c r="B471" s="214"/>
      <c r="E471" s="212"/>
      <c r="L471" s="213"/>
      <c r="M471" s="174"/>
      <c r="N471" s="213"/>
    </row>
    <row r="472" ht="12.75" customHeight="1">
      <c r="A472" s="199"/>
      <c r="B472" s="214"/>
      <c r="E472" s="212"/>
      <c r="L472" s="213"/>
      <c r="M472" s="174"/>
      <c r="N472" s="213"/>
    </row>
    <row r="473" ht="12.75" customHeight="1">
      <c r="A473" s="199"/>
      <c r="B473" s="214"/>
      <c r="E473" s="212"/>
      <c r="L473" s="213"/>
      <c r="M473" s="174"/>
      <c r="N473" s="213"/>
    </row>
    <row r="474" ht="12.75" customHeight="1">
      <c r="A474" s="199"/>
      <c r="B474" s="214"/>
      <c r="E474" s="212"/>
      <c r="L474" s="213"/>
      <c r="M474" s="174"/>
      <c r="N474" s="213"/>
    </row>
    <row r="475" ht="12.75" customHeight="1">
      <c r="A475" s="199"/>
      <c r="B475" s="214"/>
      <c r="E475" s="212"/>
      <c r="L475" s="213"/>
      <c r="M475" s="174"/>
      <c r="N475" s="213"/>
    </row>
    <row r="476" ht="12.75" customHeight="1">
      <c r="A476" s="199"/>
      <c r="B476" s="214"/>
      <c r="E476" s="212"/>
      <c r="L476" s="213"/>
      <c r="M476" s="174"/>
      <c r="N476" s="213"/>
    </row>
    <row r="477" ht="12.75" customHeight="1">
      <c r="A477" s="199"/>
      <c r="B477" s="214"/>
      <c r="E477" s="212"/>
      <c r="L477" s="213"/>
      <c r="M477" s="174"/>
      <c r="N477" s="213"/>
    </row>
    <row r="478" ht="12.75" customHeight="1">
      <c r="A478" s="199"/>
      <c r="B478" s="214"/>
      <c r="E478" s="212"/>
      <c r="L478" s="213"/>
      <c r="M478" s="174"/>
      <c r="N478" s="213"/>
    </row>
    <row r="479" ht="12.75" customHeight="1">
      <c r="A479" s="199"/>
      <c r="B479" s="214"/>
      <c r="E479" s="212"/>
      <c r="L479" s="213"/>
      <c r="M479" s="174"/>
      <c r="N479" s="213"/>
    </row>
    <row r="480" ht="12.75" customHeight="1">
      <c r="A480" s="199"/>
      <c r="B480" s="214"/>
      <c r="E480" s="212"/>
      <c r="L480" s="213"/>
      <c r="M480" s="174"/>
      <c r="N480" s="213"/>
    </row>
    <row r="481" ht="12.75" customHeight="1">
      <c r="A481" s="199"/>
      <c r="B481" s="214"/>
      <c r="E481" s="212"/>
      <c r="L481" s="213"/>
      <c r="M481" s="174"/>
      <c r="N481" s="213"/>
    </row>
    <row r="482" ht="12.75" customHeight="1">
      <c r="A482" s="199"/>
      <c r="B482" s="214"/>
      <c r="E482" s="212"/>
      <c r="L482" s="213"/>
      <c r="M482" s="174"/>
      <c r="N482" s="213"/>
    </row>
    <row r="483" ht="12.75" customHeight="1">
      <c r="A483" s="199"/>
      <c r="B483" s="214"/>
      <c r="E483" s="212"/>
      <c r="L483" s="213"/>
      <c r="M483" s="174"/>
      <c r="N483" s="213"/>
    </row>
    <row r="484" ht="12.75" customHeight="1">
      <c r="A484" s="199"/>
      <c r="B484" s="214"/>
      <c r="E484" s="212"/>
      <c r="L484" s="213"/>
      <c r="M484" s="174"/>
      <c r="N484" s="213"/>
    </row>
    <row r="485" ht="12.75" customHeight="1">
      <c r="A485" s="199"/>
      <c r="B485" s="214"/>
      <c r="E485" s="212"/>
      <c r="L485" s="213"/>
      <c r="M485" s="174"/>
      <c r="N485" s="213"/>
    </row>
    <row r="486" ht="12.75" customHeight="1">
      <c r="A486" s="199"/>
      <c r="B486" s="214"/>
      <c r="E486" s="212"/>
      <c r="L486" s="213"/>
      <c r="M486" s="174"/>
      <c r="N486" s="213"/>
    </row>
    <row r="487" ht="12.75" customHeight="1">
      <c r="A487" s="199"/>
      <c r="B487" s="214"/>
      <c r="E487" s="212"/>
      <c r="L487" s="213"/>
      <c r="M487" s="174"/>
      <c r="N487" s="213"/>
    </row>
    <row r="488" ht="12.75" customHeight="1">
      <c r="A488" s="199"/>
      <c r="B488" s="214"/>
      <c r="E488" s="212"/>
      <c r="L488" s="213"/>
      <c r="M488" s="174"/>
      <c r="N488" s="213"/>
    </row>
    <row r="489" ht="12.75" customHeight="1">
      <c r="A489" s="199"/>
      <c r="B489" s="214"/>
      <c r="E489" s="212"/>
      <c r="L489" s="213"/>
      <c r="M489" s="174"/>
      <c r="N489" s="213"/>
    </row>
    <row r="490" ht="12.75" customHeight="1">
      <c r="A490" s="199"/>
      <c r="B490" s="214"/>
      <c r="E490" s="212"/>
      <c r="L490" s="213"/>
      <c r="M490" s="174"/>
      <c r="N490" s="213"/>
    </row>
    <row r="491" ht="12.75" customHeight="1">
      <c r="A491" s="199"/>
      <c r="B491" s="214"/>
      <c r="E491" s="212"/>
      <c r="L491" s="213"/>
      <c r="M491" s="174"/>
      <c r="N491" s="213"/>
    </row>
    <row r="492" ht="12.75" customHeight="1">
      <c r="A492" s="199"/>
      <c r="B492" s="214"/>
      <c r="E492" s="212"/>
      <c r="L492" s="213"/>
      <c r="M492" s="174"/>
      <c r="N492" s="213"/>
    </row>
    <row r="493" ht="12.75" customHeight="1">
      <c r="A493" s="199"/>
      <c r="B493" s="214"/>
      <c r="E493" s="212"/>
      <c r="L493" s="213"/>
      <c r="M493" s="174"/>
      <c r="N493" s="213"/>
    </row>
    <row r="494" ht="12.75" customHeight="1">
      <c r="A494" s="199"/>
      <c r="B494" s="214"/>
      <c r="E494" s="212"/>
      <c r="L494" s="213"/>
      <c r="M494" s="174"/>
      <c r="N494" s="213"/>
    </row>
    <row r="495" ht="12.75" customHeight="1">
      <c r="A495" s="199"/>
      <c r="B495" s="214"/>
      <c r="E495" s="212"/>
      <c r="L495" s="213"/>
      <c r="M495" s="174"/>
      <c r="N495" s="213"/>
    </row>
    <row r="496" ht="12.75" customHeight="1">
      <c r="A496" s="199"/>
      <c r="B496" s="214"/>
      <c r="E496" s="212"/>
      <c r="L496" s="213"/>
      <c r="M496" s="174"/>
      <c r="N496" s="213"/>
    </row>
    <row r="497" ht="12.75" customHeight="1">
      <c r="A497" s="199"/>
      <c r="B497" s="214"/>
      <c r="E497" s="212"/>
      <c r="L497" s="213"/>
      <c r="M497" s="174"/>
      <c r="N497" s="213"/>
    </row>
    <row r="498" ht="12.75" customHeight="1">
      <c r="A498" s="199"/>
      <c r="B498" s="214"/>
      <c r="E498" s="212"/>
      <c r="L498" s="213"/>
      <c r="M498" s="174"/>
      <c r="N498" s="213"/>
    </row>
    <row r="499" ht="12.75" customHeight="1">
      <c r="A499" s="199"/>
      <c r="B499" s="214"/>
      <c r="E499" s="212"/>
      <c r="L499" s="213"/>
      <c r="M499" s="174"/>
      <c r="N499" s="213"/>
    </row>
    <row r="500" ht="12.75" customHeight="1">
      <c r="A500" s="199"/>
      <c r="B500" s="214"/>
      <c r="E500" s="212"/>
      <c r="L500" s="213"/>
      <c r="M500" s="174"/>
      <c r="N500" s="213"/>
    </row>
    <row r="501" ht="12.75" customHeight="1">
      <c r="A501" s="199"/>
      <c r="B501" s="214"/>
      <c r="E501" s="212"/>
      <c r="L501" s="213"/>
      <c r="M501" s="174"/>
      <c r="N501" s="213"/>
    </row>
    <row r="502" ht="12.75" customHeight="1">
      <c r="A502" s="199"/>
      <c r="B502" s="214"/>
      <c r="E502" s="212"/>
      <c r="L502" s="213"/>
      <c r="M502" s="174"/>
      <c r="N502" s="213"/>
    </row>
    <row r="503" ht="12.75" customHeight="1">
      <c r="A503" s="199"/>
      <c r="B503" s="214"/>
      <c r="E503" s="212"/>
      <c r="L503" s="213"/>
      <c r="M503" s="174"/>
      <c r="N503" s="213"/>
    </row>
    <row r="504" ht="12.75" customHeight="1">
      <c r="A504" s="199"/>
      <c r="B504" s="214"/>
      <c r="E504" s="212"/>
      <c r="L504" s="213"/>
      <c r="M504" s="174"/>
      <c r="N504" s="213"/>
    </row>
    <row r="505" ht="12.75" customHeight="1">
      <c r="A505" s="199"/>
      <c r="B505" s="214"/>
      <c r="E505" s="212"/>
      <c r="L505" s="213"/>
      <c r="M505" s="174"/>
      <c r="N505" s="213"/>
    </row>
    <row r="506" ht="12.75" customHeight="1">
      <c r="A506" s="199"/>
      <c r="B506" s="214"/>
      <c r="E506" s="212"/>
      <c r="L506" s="213"/>
      <c r="M506" s="174"/>
      <c r="N506" s="213"/>
    </row>
    <row r="507" ht="12.75" customHeight="1">
      <c r="A507" s="199"/>
      <c r="B507" s="214"/>
      <c r="E507" s="212"/>
      <c r="L507" s="213"/>
      <c r="M507" s="174"/>
      <c r="N507" s="213"/>
    </row>
    <row r="508" ht="12.75" customHeight="1">
      <c r="A508" s="199"/>
      <c r="B508" s="214"/>
      <c r="E508" s="212"/>
      <c r="L508" s="213"/>
      <c r="M508" s="174"/>
      <c r="N508" s="213"/>
    </row>
    <row r="509" ht="12.75" customHeight="1">
      <c r="A509" s="199"/>
      <c r="B509" s="214"/>
      <c r="E509" s="212"/>
      <c r="L509" s="213"/>
      <c r="M509" s="174"/>
      <c r="N509" s="213"/>
    </row>
    <row r="510" ht="12.75" customHeight="1">
      <c r="A510" s="199"/>
      <c r="B510" s="214"/>
      <c r="E510" s="212"/>
      <c r="L510" s="213"/>
      <c r="M510" s="174"/>
      <c r="N510" s="213"/>
    </row>
    <row r="511" ht="12.75" customHeight="1">
      <c r="A511" s="199"/>
      <c r="B511" s="214"/>
      <c r="E511" s="212"/>
      <c r="L511" s="213"/>
      <c r="M511" s="174"/>
      <c r="N511" s="213"/>
    </row>
    <row r="512" ht="12.75" customHeight="1">
      <c r="A512" s="199"/>
      <c r="B512" s="214"/>
      <c r="E512" s="212"/>
      <c r="L512" s="213"/>
      <c r="M512" s="174"/>
      <c r="N512" s="213"/>
    </row>
    <row r="513" ht="12.75" customHeight="1">
      <c r="A513" s="199"/>
      <c r="B513" s="214"/>
      <c r="E513" s="212"/>
      <c r="L513" s="213"/>
      <c r="M513" s="174"/>
      <c r="N513" s="213"/>
    </row>
    <row r="514" ht="12.75" customHeight="1">
      <c r="A514" s="199"/>
      <c r="B514" s="214"/>
      <c r="E514" s="212"/>
      <c r="L514" s="213"/>
      <c r="M514" s="174"/>
      <c r="N514" s="213"/>
    </row>
    <row r="515" ht="12.75" customHeight="1">
      <c r="A515" s="199"/>
      <c r="B515" s="214"/>
      <c r="E515" s="212"/>
      <c r="L515" s="213"/>
      <c r="M515" s="174"/>
      <c r="N515" s="213"/>
    </row>
    <row r="516" ht="12.75" customHeight="1">
      <c r="A516" s="199"/>
      <c r="B516" s="214"/>
      <c r="E516" s="212"/>
      <c r="L516" s="213"/>
      <c r="M516" s="174"/>
      <c r="N516" s="213"/>
    </row>
    <row r="517" ht="12.75" customHeight="1">
      <c r="A517" s="199"/>
      <c r="B517" s="214"/>
      <c r="E517" s="212"/>
      <c r="L517" s="213"/>
      <c r="M517" s="174"/>
      <c r="N517" s="213"/>
    </row>
    <row r="518" ht="12.75" customHeight="1">
      <c r="A518" s="199"/>
      <c r="B518" s="214"/>
      <c r="E518" s="212"/>
      <c r="L518" s="213"/>
      <c r="M518" s="174"/>
      <c r="N518" s="213"/>
    </row>
    <row r="519" ht="12.75" customHeight="1">
      <c r="A519" s="199"/>
      <c r="B519" s="214"/>
      <c r="E519" s="212"/>
      <c r="L519" s="213"/>
      <c r="M519" s="174"/>
      <c r="N519" s="213"/>
    </row>
    <row r="520" ht="12.75" customHeight="1">
      <c r="A520" s="199"/>
      <c r="B520" s="214"/>
      <c r="E520" s="212"/>
      <c r="L520" s="213"/>
      <c r="M520" s="174"/>
      <c r="N520" s="213"/>
    </row>
    <row r="521" ht="12.75" customHeight="1">
      <c r="A521" s="199"/>
      <c r="B521" s="214"/>
      <c r="E521" s="212"/>
      <c r="L521" s="213"/>
      <c r="M521" s="174"/>
      <c r="N521" s="213"/>
    </row>
    <row r="522" ht="12.75" customHeight="1">
      <c r="A522" s="199"/>
      <c r="B522" s="214"/>
      <c r="E522" s="212"/>
      <c r="L522" s="213"/>
      <c r="M522" s="174"/>
      <c r="N522" s="213"/>
    </row>
    <row r="523" ht="12.75" customHeight="1">
      <c r="A523" s="199"/>
      <c r="B523" s="214"/>
      <c r="E523" s="212"/>
      <c r="L523" s="213"/>
      <c r="M523" s="174"/>
      <c r="N523" s="213"/>
    </row>
    <row r="524" ht="12.75" customHeight="1">
      <c r="A524" s="199"/>
      <c r="B524" s="214"/>
      <c r="E524" s="212"/>
      <c r="L524" s="213"/>
      <c r="M524" s="174"/>
      <c r="N524" s="213"/>
    </row>
    <row r="525" ht="12.75" customHeight="1">
      <c r="A525" s="199"/>
      <c r="B525" s="214"/>
      <c r="E525" s="212"/>
      <c r="L525" s="213"/>
      <c r="M525" s="174"/>
      <c r="N525" s="213"/>
    </row>
    <row r="526" ht="12.75" customHeight="1">
      <c r="A526" s="199"/>
      <c r="B526" s="214"/>
      <c r="E526" s="212"/>
      <c r="L526" s="213"/>
      <c r="M526" s="174"/>
      <c r="N526" s="213"/>
    </row>
    <row r="527" ht="12.75" customHeight="1">
      <c r="A527" s="199"/>
      <c r="B527" s="214"/>
      <c r="E527" s="212"/>
      <c r="L527" s="213"/>
      <c r="M527" s="174"/>
      <c r="N527" s="213"/>
    </row>
    <row r="528" ht="12.75" customHeight="1">
      <c r="A528" s="199"/>
      <c r="B528" s="214"/>
      <c r="E528" s="212"/>
      <c r="L528" s="213"/>
      <c r="M528" s="174"/>
      <c r="N528" s="213"/>
    </row>
    <row r="529" ht="12.75" customHeight="1">
      <c r="A529" s="199"/>
      <c r="B529" s="214"/>
      <c r="E529" s="212"/>
      <c r="L529" s="213"/>
      <c r="M529" s="174"/>
      <c r="N529" s="213"/>
    </row>
    <row r="530" ht="12.75" customHeight="1">
      <c r="A530" s="199"/>
      <c r="B530" s="214"/>
      <c r="E530" s="212"/>
      <c r="L530" s="213"/>
      <c r="M530" s="174"/>
      <c r="N530" s="213"/>
    </row>
    <row r="531" ht="12.75" customHeight="1">
      <c r="A531" s="199"/>
      <c r="B531" s="214"/>
      <c r="E531" s="212"/>
      <c r="L531" s="213"/>
      <c r="M531" s="174"/>
      <c r="N531" s="213"/>
    </row>
    <row r="532" ht="12.75" customHeight="1">
      <c r="A532" s="199"/>
      <c r="B532" s="214"/>
      <c r="E532" s="212"/>
      <c r="L532" s="213"/>
      <c r="M532" s="174"/>
      <c r="N532" s="213"/>
    </row>
    <row r="533" ht="12.75" customHeight="1">
      <c r="A533" s="199"/>
      <c r="B533" s="214"/>
      <c r="E533" s="212"/>
      <c r="L533" s="213"/>
      <c r="M533" s="174"/>
      <c r="N533" s="213"/>
    </row>
    <row r="534" ht="12.75" customHeight="1">
      <c r="A534" s="199"/>
      <c r="B534" s="214"/>
      <c r="E534" s="212"/>
      <c r="L534" s="213"/>
      <c r="M534" s="174"/>
      <c r="N534" s="213"/>
    </row>
    <row r="535" ht="12.75" customHeight="1">
      <c r="A535" s="199"/>
      <c r="B535" s="214"/>
      <c r="E535" s="212"/>
      <c r="L535" s="213"/>
      <c r="M535" s="174"/>
      <c r="N535" s="213"/>
    </row>
    <row r="536" ht="12.75" customHeight="1">
      <c r="A536" s="199"/>
      <c r="B536" s="214"/>
      <c r="E536" s="212"/>
      <c r="L536" s="213"/>
      <c r="M536" s="174"/>
      <c r="N536" s="213"/>
    </row>
    <row r="537" ht="12.75" customHeight="1">
      <c r="A537" s="199"/>
      <c r="B537" s="214"/>
      <c r="E537" s="212"/>
      <c r="L537" s="213"/>
      <c r="M537" s="174"/>
      <c r="N537" s="213"/>
    </row>
    <row r="538" ht="12.75" customHeight="1">
      <c r="A538" s="199"/>
      <c r="B538" s="214"/>
      <c r="E538" s="212"/>
      <c r="L538" s="213"/>
      <c r="M538" s="174"/>
      <c r="N538" s="213"/>
    </row>
    <row r="539" ht="12.75" customHeight="1">
      <c r="A539" s="199"/>
      <c r="B539" s="214"/>
      <c r="E539" s="212"/>
      <c r="L539" s="213"/>
      <c r="M539" s="174"/>
      <c r="N539" s="213"/>
    </row>
    <row r="540" ht="12.75" customHeight="1">
      <c r="A540" s="199"/>
      <c r="B540" s="214"/>
      <c r="E540" s="212"/>
      <c r="L540" s="213"/>
      <c r="M540" s="174"/>
      <c r="N540" s="213"/>
    </row>
    <row r="541" ht="12.75" customHeight="1">
      <c r="A541" s="199"/>
      <c r="B541" s="214"/>
      <c r="E541" s="212"/>
      <c r="L541" s="213"/>
      <c r="M541" s="174"/>
      <c r="N541" s="213"/>
    </row>
    <row r="542" ht="12.75" customHeight="1">
      <c r="A542" s="199"/>
      <c r="B542" s="214"/>
      <c r="E542" s="212"/>
      <c r="L542" s="213"/>
      <c r="M542" s="174"/>
      <c r="N542" s="213"/>
    </row>
    <row r="543" ht="12.75" customHeight="1">
      <c r="A543" s="199"/>
      <c r="B543" s="214"/>
      <c r="E543" s="212"/>
      <c r="L543" s="213"/>
      <c r="M543" s="174"/>
      <c r="N543" s="213"/>
    </row>
    <row r="544" ht="12.75" customHeight="1">
      <c r="A544" s="199"/>
      <c r="B544" s="214"/>
      <c r="E544" s="212"/>
      <c r="L544" s="213"/>
      <c r="M544" s="174"/>
      <c r="N544" s="213"/>
    </row>
    <row r="545" ht="12.75" customHeight="1">
      <c r="A545" s="199"/>
      <c r="B545" s="214"/>
      <c r="E545" s="212"/>
      <c r="L545" s="213"/>
      <c r="M545" s="174"/>
      <c r="N545" s="213"/>
    </row>
    <row r="546" ht="12.75" customHeight="1">
      <c r="A546" s="199"/>
      <c r="B546" s="214"/>
      <c r="E546" s="212"/>
      <c r="L546" s="213"/>
      <c r="M546" s="174"/>
      <c r="N546" s="213"/>
    </row>
    <row r="547" ht="12.75" customHeight="1">
      <c r="A547" s="199"/>
      <c r="B547" s="214"/>
      <c r="E547" s="212"/>
      <c r="L547" s="213"/>
      <c r="M547" s="174"/>
      <c r="N547" s="213"/>
    </row>
    <row r="548" ht="12.75" customHeight="1">
      <c r="A548" s="199"/>
      <c r="B548" s="214"/>
      <c r="E548" s="212"/>
      <c r="L548" s="213"/>
      <c r="M548" s="174"/>
      <c r="N548" s="213"/>
    </row>
    <row r="549" ht="12.75" customHeight="1">
      <c r="A549" s="199"/>
      <c r="B549" s="214"/>
      <c r="E549" s="212"/>
      <c r="L549" s="213"/>
      <c r="M549" s="174"/>
      <c r="N549" s="213"/>
    </row>
    <row r="550" ht="12.75" customHeight="1">
      <c r="A550" s="199"/>
      <c r="B550" s="214"/>
      <c r="E550" s="212"/>
      <c r="L550" s="213"/>
      <c r="M550" s="174"/>
      <c r="N550" s="213"/>
    </row>
    <row r="551" ht="12.75" customHeight="1">
      <c r="A551" s="199"/>
      <c r="B551" s="214"/>
      <c r="E551" s="212"/>
      <c r="L551" s="213"/>
      <c r="M551" s="174"/>
      <c r="N551" s="213"/>
    </row>
    <row r="552" ht="12.75" customHeight="1">
      <c r="A552" s="199"/>
      <c r="B552" s="214"/>
      <c r="E552" s="212"/>
      <c r="L552" s="213"/>
      <c r="M552" s="174"/>
      <c r="N552" s="213"/>
    </row>
    <row r="553" ht="12.75" customHeight="1">
      <c r="A553" s="199"/>
      <c r="B553" s="214"/>
      <c r="E553" s="212"/>
      <c r="L553" s="213"/>
      <c r="M553" s="174"/>
      <c r="N553" s="213"/>
    </row>
    <row r="554" ht="12.75" customHeight="1">
      <c r="A554" s="199"/>
      <c r="B554" s="214"/>
      <c r="E554" s="212"/>
      <c r="L554" s="213"/>
      <c r="M554" s="174"/>
      <c r="N554" s="213"/>
    </row>
    <row r="555" ht="12.75" customHeight="1">
      <c r="A555" s="199"/>
      <c r="B555" s="214"/>
      <c r="E555" s="212"/>
      <c r="L555" s="213"/>
      <c r="M555" s="174"/>
      <c r="N555" s="213"/>
    </row>
    <row r="556" ht="12.75" customHeight="1">
      <c r="A556" s="199"/>
      <c r="B556" s="214"/>
      <c r="E556" s="212"/>
      <c r="L556" s="213"/>
      <c r="M556" s="174"/>
      <c r="N556" s="213"/>
    </row>
    <row r="557" ht="12.75" customHeight="1">
      <c r="A557" s="199"/>
      <c r="B557" s="214"/>
      <c r="E557" s="212"/>
      <c r="L557" s="213"/>
      <c r="M557" s="174"/>
      <c r="N557" s="213"/>
    </row>
    <row r="558" ht="12.75" customHeight="1">
      <c r="A558" s="199"/>
      <c r="B558" s="214"/>
      <c r="E558" s="212"/>
      <c r="L558" s="213"/>
      <c r="M558" s="174"/>
      <c r="N558" s="213"/>
    </row>
    <row r="559" ht="12.75" customHeight="1">
      <c r="A559" s="199"/>
      <c r="B559" s="214"/>
      <c r="E559" s="212"/>
      <c r="L559" s="213"/>
      <c r="M559" s="174"/>
      <c r="N559" s="213"/>
    </row>
    <row r="560" ht="12.75" customHeight="1">
      <c r="A560" s="199"/>
      <c r="B560" s="214"/>
      <c r="E560" s="212"/>
      <c r="L560" s="213"/>
      <c r="M560" s="174"/>
      <c r="N560" s="213"/>
    </row>
    <row r="561" ht="12.75" customHeight="1">
      <c r="A561" s="199"/>
      <c r="B561" s="214"/>
      <c r="E561" s="212"/>
      <c r="L561" s="213"/>
      <c r="M561" s="174"/>
      <c r="N561" s="213"/>
    </row>
    <row r="562" ht="12.75" customHeight="1">
      <c r="A562" s="199"/>
      <c r="B562" s="214"/>
      <c r="E562" s="212"/>
      <c r="L562" s="213"/>
      <c r="M562" s="174"/>
      <c r="N562" s="213"/>
    </row>
    <row r="563" ht="12.75" customHeight="1">
      <c r="A563" s="199"/>
      <c r="B563" s="214"/>
      <c r="E563" s="212"/>
      <c r="L563" s="213"/>
      <c r="M563" s="174"/>
      <c r="N563" s="213"/>
    </row>
    <row r="564" ht="12.75" customHeight="1">
      <c r="A564" s="199"/>
      <c r="B564" s="214"/>
      <c r="E564" s="212"/>
      <c r="L564" s="213"/>
      <c r="M564" s="174"/>
      <c r="N564" s="213"/>
    </row>
    <row r="565" ht="12.75" customHeight="1">
      <c r="A565" s="199"/>
      <c r="B565" s="214"/>
      <c r="E565" s="212"/>
      <c r="L565" s="213"/>
      <c r="M565" s="174"/>
      <c r="N565" s="213"/>
    </row>
    <row r="566" ht="12.75" customHeight="1">
      <c r="A566" s="199"/>
      <c r="B566" s="214"/>
      <c r="E566" s="212"/>
      <c r="L566" s="213"/>
      <c r="M566" s="174"/>
      <c r="N566" s="213"/>
    </row>
    <row r="567" ht="12.75" customHeight="1">
      <c r="A567" s="199"/>
      <c r="B567" s="214"/>
      <c r="E567" s="212"/>
      <c r="L567" s="213"/>
      <c r="M567" s="174"/>
      <c r="N567" s="213"/>
    </row>
    <row r="568" ht="12.75" customHeight="1">
      <c r="A568" s="199"/>
      <c r="B568" s="214"/>
      <c r="E568" s="212"/>
      <c r="L568" s="213"/>
      <c r="M568" s="174"/>
      <c r="N568" s="213"/>
    </row>
    <row r="569" ht="12.75" customHeight="1">
      <c r="A569" s="199"/>
      <c r="B569" s="214"/>
      <c r="E569" s="212"/>
      <c r="L569" s="213"/>
      <c r="M569" s="174"/>
      <c r="N569" s="213"/>
    </row>
    <row r="570" ht="12.75" customHeight="1">
      <c r="A570" s="199"/>
      <c r="B570" s="214"/>
      <c r="E570" s="212"/>
      <c r="L570" s="213"/>
      <c r="M570" s="174"/>
      <c r="N570" s="213"/>
    </row>
    <row r="571" ht="12.75" customHeight="1">
      <c r="A571" s="199"/>
      <c r="B571" s="214"/>
      <c r="E571" s="212"/>
      <c r="L571" s="213"/>
      <c r="M571" s="174"/>
      <c r="N571" s="213"/>
    </row>
    <row r="572" ht="12.75" customHeight="1">
      <c r="A572" s="199"/>
      <c r="B572" s="214"/>
      <c r="E572" s="212"/>
      <c r="L572" s="213"/>
      <c r="M572" s="174"/>
      <c r="N572" s="213"/>
    </row>
    <row r="573" ht="12.75" customHeight="1">
      <c r="A573" s="199"/>
      <c r="B573" s="214"/>
      <c r="E573" s="212"/>
      <c r="L573" s="213"/>
      <c r="M573" s="174"/>
      <c r="N573" s="213"/>
    </row>
    <row r="574" ht="12.75" customHeight="1">
      <c r="A574" s="199"/>
      <c r="B574" s="214"/>
      <c r="E574" s="212"/>
      <c r="L574" s="213"/>
      <c r="M574" s="174"/>
      <c r="N574" s="213"/>
    </row>
    <row r="575" ht="12.75" customHeight="1">
      <c r="A575" s="199"/>
      <c r="B575" s="214"/>
      <c r="E575" s="212"/>
      <c r="L575" s="213"/>
      <c r="M575" s="174"/>
      <c r="N575" s="213"/>
    </row>
    <row r="576" ht="12.75" customHeight="1">
      <c r="A576" s="199"/>
      <c r="B576" s="214"/>
      <c r="E576" s="212"/>
      <c r="L576" s="213"/>
      <c r="M576" s="174"/>
      <c r="N576" s="213"/>
    </row>
    <row r="577" ht="12.75" customHeight="1">
      <c r="A577" s="199"/>
      <c r="B577" s="214"/>
      <c r="E577" s="212"/>
      <c r="L577" s="213"/>
      <c r="M577" s="174"/>
      <c r="N577" s="213"/>
    </row>
    <row r="578" ht="12.75" customHeight="1">
      <c r="A578" s="199"/>
      <c r="B578" s="214"/>
      <c r="E578" s="212"/>
      <c r="L578" s="213"/>
      <c r="M578" s="174"/>
      <c r="N578" s="213"/>
    </row>
    <row r="579" ht="12.75" customHeight="1">
      <c r="A579" s="199"/>
      <c r="B579" s="214"/>
      <c r="E579" s="212"/>
      <c r="L579" s="213"/>
      <c r="M579" s="174"/>
      <c r="N579" s="213"/>
    </row>
    <row r="580" ht="12.75" customHeight="1">
      <c r="A580" s="199"/>
      <c r="B580" s="214"/>
      <c r="E580" s="212"/>
      <c r="L580" s="213"/>
      <c r="M580" s="174"/>
      <c r="N580" s="213"/>
    </row>
    <row r="581" ht="12.75" customHeight="1">
      <c r="A581" s="199"/>
      <c r="B581" s="214"/>
      <c r="E581" s="212"/>
      <c r="L581" s="213"/>
      <c r="M581" s="174"/>
      <c r="N581" s="213"/>
    </row>
    <row r="582" ht="12.75" customHeight="1">
      <c r="A582" s="199"/>
      <c r="B582" s="214"/>
      <c r="E582" s="212"/>
      <c r="L582" s="213"/>
      <c r="M582" s="174"/>
      <c r="N582" s="213"/>
    </row>
    <row r="583" ht="12.75" customHeight="1">
      <c r="A583" s="199"/>
      <c r="B583" s="214"/>
      <c r="E583" s="212"/>
      <c r="L583" s="213"/>
      <c r="M583" s="174"/>
      <c r="N583" s="213"/>
    </row>
    <row r="584" ht="12.75" customHeight="1">
      <c r="A584" s="199"/>
      <c r="B584" s="214"/>
      <c r="E584" s="212"/>
      <c r="L584" s="213"/>
      <c r="M584" s="174"/>
      <c r="N584" s="213"/>
    </row>
    <row r="585" ht="12.75" customHeight="1">
      <c r="A585" s="199"/>
      <c r="B585" s="214"/>
      <c r="E585" s="212"/>
      <c r="L585" s="213"/>
      <c r="M585" s="174"/>
      <c r="N585" s="213"/>
    </row>
    <row r="586" ht="12.75" customHeight="1">
      <c r="A586" s="199"/>
      <c r="B586" s="214"/>
      <c r="E586" s="212"/>
      <c r="L586" s="213"/>
      <c r="M586" s="174"/>
      <c r="N586" s="213"/>
    </row>
    <row r="587" ht="12.75" customHeight="1">
      <c r="A587" s="199"/>
      <c r="B587" s="214"/>
      <c r="E587" s="212"/>
      <c r="L587" s="213"/>
      <c r="M587" s="174"/>
      <c r="N587" s="213"/>
    </row>
    <row r="588" ht="12.75" customHeight="1">
      <c r="A588" s="199"/>
      <c r="B588" s="214"/>
      <c r="E588" s="212"/>
      <c r="L588" s="213"/>
      <c r="M588" s="174"/>
      <c r="N588" s="213"/>
    </row>
    <row r="589" ht="12.75" customHeight="1">
      <c r="A589" s="199"/>
      <c r="B589" s="214"/>
      <c r="E589" s="212"/>
      <c r="L589" s="213"/>
      <c r="M589" s="174"/>
      <c r="N589" s="213"/>
    </row>
    <row r="590" ht="12.75" customHeight="1">
      <c r="A590" s="199"/>
      <c r="B590" s="214"/>
      <c r="E590" s="212"/>
      <c r="L590" s="213"/>
      <c r="M590" s="174"/>
      <c r="N590" s="213"/>
    </row>
    <row r="591" ht="12.75" customHeight="1">
      <c r="A591" s="199"/>
      <c r="B591" s="214"/>
      <c r="E591" s="212"/>
      <c r="L591" s="213"/>
      <c r="M591" s="174"/>
      <c r="N591" s="213"/>
    </row>
    <row r="592" ht="12.75" customHeight="1">
      <c r="A592" s="199"/>
      <c r="B592" s="214"/>
      <c r="E592" s="212"/>
      <c r="L592" s="213"/>
      <c r="M592" s="174"/>
      <c r="N592" s="213"/>
    </row>
    <row r="593" ht="12.75" customHeight="1">
      <c r="A593" s="199"/>
      <c r="B593" s="214"/>
      <c r="E593" s="212"/>
      <c r="L593" s="213"/>
      <c r="M593" s="174"/>
      <c r="N593" s="213"/>
    </row>
    <row r="594" ht="12.75" customHeight="1">
      <c r="A594" s="199"/>
      <c r="B594" s="214"/>
      <c r="E594" s="212"/>
      <c r="L594" s="213"/>
      <c r="M594" s="174"/>
      <c r="N594" s="213"/>
    </row>
    <row r="595" ht="12.75" customHeight="1">
      <c r="A595" s="199"/>
      <c r="B595" s="214"/>
      <c r="E595" s="212"/>
      <c r="L595" s="213"/>
      <c r="M595" s="174"/>
      <c r="N595" s="213"/>
    </row>
    <row r="596" ht="12.75" customHeight="1">
      <c r="A596" s="199"/>
      <c r="B596" s="214"/>
      <c r="E596" s="212"/>
      <c r="L596" s="213"/>
      <c r="M596" s="174"/>
      <c r="N596" s="213"/>
    </row>
    <row r="597" ht="12.75" customHeight="1">
      <c r="A597" s="199"/>
      <c r="B597" s="214"/>
      <c r="E597" s="212"/>
      <c r="L597" s="213"/>
      <c r="M597" s="174"/>
      <c r="N597" s="213"/>
    </row>
    <row r="598" ht="12.75" customHeight="1">
      <c r="A598" s="199"/>
      <c r="B598" s="214"/>
      <c r="E598" s="212"/>
      <c r="L598" s="213"/>
      <c r="M598" s="174"/>
      <c r="N598" s="213"/>
    </row>
    <row r="599" ht="12.75" customHeight="1">
      <c r="A599" s="199"/>
      <c r="B599" s="214"/>
      <c r="E599" s="212"/>
      <c r="L599" s="213"/>
      <c r="M599" s="174"/>
      <c r="N599" s="213"/>
    </row>
    <row r="600" ht="12.75" customHeight="1">
      <c r="A600" s="199"/>
      <c r="B600" s="214"/>
      <c r="E600" s="212"/>
      <c r="L600" s="213"/>
      <c r="M600" s="174"/>
      <c r="N600" s="213"/>
    </row>
    <row r="601" ht="12.75" customHeight="1">
      <c r="A601" s="199"/>
      <c r="B601" s="214"/>
      <c r="E601" s="212"/>
      <c r="L601" s="213"/>
      <c r="M601" s="174"/>
      <c r="N601" s="213"/>
    </row>
    <row r="602" ht="12.75" customHeight="1">
      <c r="A602" s="199"/>
      <c r="B602" s="214"/>
      <c r="E602" s="212"/>
      <c r="L602" s="213"/>
      <c r="M602" s="174"/>
      <c r="N602" s="213"/>
    </row>
    <row r="603" ht="12.75" customHeight="1">
      <c r="A603" s="199"/>
      <c r="B603" s="214"/>
      <c r="E603" s="212"/>
      <c r="L603" s="213"/>
      <c r="M603" s="174"/>
      <c r="N603" s="213"/>
    </row>
    <row r="604" ht="12.75" customHeight="1">
      <c r="A604" s="199"/>
      <c r="B604" s="214"/>
      <c r="E604" s="212"/>
      <c r="L604" s="213"/>
      <c r="M604" s="174"/>
      <c r="N604" s="213"/>
    </row>
    <row r="605" ht="12.75" customHeight="1">
      <c r="A605" s="199"/>
      <c r="B605" s="214"/>
      <c r="E605" s="212"/>
      <c r="L605" s="213"/>
      <c r="M605" s="174"/>
      <c r="N605" s="213"/>
    </row>
    <row r="606" ht="12.75" customHeight="1">
      <c r="A606" s="199"/>
      <c r="B606" s="214"/>
      <c r="E606" s="212"/>
      <c r="L606" s="213"/>
      <c r="M606" s="174"/>
      <c r="N606" s="213"/>
    </row>
    <row r="607" ht="12.75" customHeight="1">
      <c r="A607" s="199"/>
      <c r="B607" s="214"/>
      <c r="E607" s="212"/>
      <c r="L607" s="213"/>
      <c r="M607" s="174"/>
      <c r="N607" s="213"/>
    </row>
    <row r="608" ht="12.75" customHeight="1">
      <c r="A608" s="199"/>
      <c r="B608" s="214"/>
      <c r="E608" s="212"/>
      <c r="L608" s="213"/>
      <c r="M608" s="174"/>
      <c r="N608" s="213"/>
    </row>
    <row r="609" ht="12.75" customHeight="1">
      <c r="A609" s="199"/>
      <c r="B609" s="214"/>
      <c r="E609" s="212"/>
      <c r="L609" s="213"/>
      <c r="M609" s="174"/>
      <c r="N609" s="213"/>
    </row>
    <row r="610" ht="12.75" customHeight="1">
      <c r="A610" s="199"/>
      <c r="B610" s="214"/>
      <c r="E610" s="212"/>
      <c r="L610" s="213"/>
      <c r="M610" s="174"/>
      <c r="N610" s="213"/>
    </row>
    <row r="611" ht="12.75" customHeight="1">
      <c r="A611" s="199"/>
      <c r="B611" s="214"/>
      <c r="E611" s="212"/>
      <c r="L611" s="213"/>
      <c r="M611" s="174"/>
      <c r="N611" s="213"/>
    </row>
    <row r="612" ht="12.75" customHeight="1">
      <c r="A612" s="199"/>
      <c r="B612" s="214"/>
      <c r="E612" s="212"/>
      <c r="L612" s="213"/>
      <c r="M612" s="174"/>
      <c r="N612" s="213"/>
    </row>
    <row r="613" ht="12.75" customHeight="1">
      <c r="A613" s="199"/>
      <c r="B613" s="214"/>
      <c r="E613" s="212"/>
      <c r="L613" s="213"/>
      <c r="M613" s="174"/>
      <c r="N613" s="213"/>
    </row>
    <row r="614" ht="12.75" customHeight="1">
      <c r="A614" s="199"/>
      <c r="B614" s="214"/>
      <c r="E614" s="212"/>
      <c r="L614" s="213"/>
      <c r="M614" s="174"/>
      <c r="N614" s="213"/>
    </row>
    <row r="615" ht="12.75" customHeight="1">
      <c r="A615" s="199"/>
      <c r="B615" s="214"/>
      <c r="E615" s="212"/>
      <c r="L615" s="213"/>
      <c r="M615" s="174"/>
      <c r="N615" s="213"/>
    </row>
    <row r="616" ht="12.75" customHeight="1">
      <c r="A616" s="199"/>
      <c r="B616" s="214"/>
      <c r="E616" s="212"/>
      <c r="L616" s="213"/>
      <c r="M616" s="174"/>
      <c r="N616" s="213"/>
    </row>
    <row r="617" ht="12.75" customHeight="1">
      <c r="A617" s="199"/>
      <c r="B617" s="214"/>
      <c r="E617" s="212"/>
      <c r="L617" s="213"/>
      <c r="M617" s="174"/>
      <c r="N617" s="213"/>
    </row>
    <row r="618" ht="12.75" customHeight="1">
      <c r="A618" s="199"/>
      <c r="B618" s="214"/>
      <c r="E618" s="212"/>
      <c r="L618" s="213"/>
      <c r="M618" s="174"/>
      <c r="N618" s="213"/>
    </row>
    <row r="619" ht="12.75" customHeight="1">
      <c r="A619" s="199"/>
      <c r="B619" s="214"/>
      <c r="E619" s="212"/>
      <c r="L619" s="213"/>
      <c r="M619" s="174"/>
      <c r="N619" s="213"/>
    </row>
    <row r="620" ht="12.75" customHeight="1">
      <c r="A620" s="199"/>
      <c r="B620" s="214"/>
      <c r="E620" s="212"/>
      <c r="L620" s="213"/>
      <c r="M620" s="174"/>
      <c r="N620" s="213"/>
    </row>
    <row r="621" ht="12.75" customHeight="1">
      <c r="A621" s="199"/>
      <c r="B621" s="214"/>
      <c r="E621" s="212"/>
      <c r="L621" s="213"/>
      <c r="M621" s="174"/>
      <c r="N621" s="213"/>
    </row>
    <row r="622" ht="12.75" customHeight="1">
      <c r="A622" s="199"/>
      <c r="B622" s="214"/>
      <c r="E622" s="212"/>
      <c r="L622" s="213"/>
      <c r="M622" s="174"/>
      <c r="N622" s="213"/>
    </row>
    <row r="623" ht="12.75" customHeight="1">
      <c r="A623" s="199"/>
      <c r="B623" s="214"/>
      <c r="E623" s="212"/>
      <c r="L623" s="213"/>
      <c r="M623" s="174"/>
      <c r="N623" s="213"/>
    </row>
    <row r="624" ht="12.75" customHeight="1">
      <c r="A624" s="199"/>
      <c r="B624" s="214"/>
      <c r="E624" s="212"/>
      <c r="L624" s="213"/>
      <c r="M624" s="174"/>
      <c r="N624" s="213"/>
    </row>
    <row r="625" ht="12.75" customHeight="1">
      <c r="A625" s="199"/>
      <c r="B625" s="214"/>
      <c r="E625" s="212"/>
      <c r="L625" s="213"/>
      <c r="M625" s="174"/>
      <c r="N625" s="213"/>
    </row>
    <row r="626" ht="12.75" customHeight="1">
      <c r="A626" s="199"/>
      <c r="B626" s="214"/>
      <c r="E626" s="212"/>
      <c r="L626" s="213"/>
      <c r="M626" s="174"/>
      <c r="N626" s="213"/>
    </row>
    <row r="627" ht="12.75" customHeight="1">
      <c r="A627" s="199"/>
      <c r="B627" s="214"/>
      <c r="E627" s="212"/>
      <c r="L627" s="213"/>
      <c r="M627" s="174"/>
      <c r="N627" s="213"/>
    </row>
    <row r="628" ht="12.75" customHeight="1">
      <c r="A628" s="199"/>
      <c r="B628" s="214"/>
      <c r="E628" s="212"/>
      <c r="L628" s="213"/>
      <c r="M628" s="174"/>
      <c r="N628" s="213"/>
    </row>
    <row r="629" ht="12.75" customHeight="1">
      <c r="A629" s="199"/>
      <c r="B629" s="214"/>
      <c r="E629" s="212"/>
      <c r="L629" s="213"/>
      <c r="M629" s="174"/>
      <c r="N629" s="213"/>
    </row>
    <row r="630" ht="12.75" customHeight="1">
      <c r="A630" s="199"/>
      <c r="B630" s="214"/>
      <c r="E630" s="212"/>
      <c r="L630" s="213"/>
      <c r="M630" s="174"/>
      <c r="N630" s="213"/>
    </row>
    <row r="631" ht="12.75" customHeight="1">
      <c r="A631" s="199"/>
      <c r="B631" s="214"/>
      <c r="E631" s="212"/>
      <c r="L631" s="213"/>
      <c r="M631" s="174"/>
      <c r="N631" s="213"/>
    </row>
    <row r="632" ht="12.75" customHeight="1">
      <c r="A632" s="199"/>
      <c r="B632" s="214"/>
      <c r="E632" s="212"/>
      <c r="L632" s="213"/>
      <c r="M632" s="174"/>
      <c r="N632" s="213"/>
    </row>
    <row r="633" ht="12.75" customHeight="1">
      <c r="A633" s="199"/>
      <c r="B633" s="214"/>
      <c r="E633" s="212"/>
      <c r="L633" s="213"/>
      <c r="M633" s="174"/>
      <c r="N633" s="213"/>
    </row>
    <row r="634" ht="12.75" customHeight="1">
      <c r="A634" s="199"/>
      <c r="B634" s="214"/>
      <c r="E634" s="212"/>
      <c r="L634" s="213"/>
      <c r="M634" s="174"/>
      <c r="N634" s="213"/>
    </row>
    <row r="635" ht="12.75" customHeight="1">
      <c r="A635" s="199"/>
      <c r="B635" s="214"/>
      <c r="E635" s="212"/>
      <c r="L635" s="213"/>
      <c r="M635" s="174"/>
      <c r="N635" s="213"/>
    </row>
    <row r="636" ht="12.75" customHeight="1">
      <c r="A636" s="199"/>
      <c r="B636" s="214"/>
      <c r="E636" s="212"/>
      <c r="L636" s="213"/>
      <c r="M636" s="174"/>
      <c r="N636" s="213"/>
    </row>
    <row r="637" ht="12.75" customHeight="1">
      <c r="A637" s="199"/>
      <c r="B637" s="214"/>
      <c r="E637" s="212"/>
      <c r="L637" s="213"/>
      <c r="M637" s="174"/>
      <c r="N637" s="213"/>
    </row>
    <row r="638" ht="12.75" customHeight="1">
      <c r="A638" s="199"/>
      <c r="B638" s="214"/>
      <c r="E638" s="212"/>
      <c r="L638" s="213"/>
      <c r="M638" s="174"/>
      <c r="N638" s="213"/>
    </row>
    <row r="639" ht="12.75" customHeight="1">
      <c r="A639" s="199"/>
      <c r="B639" s="214"/>
      <c r="E639" s="212"/>
      <c r="L639" s="213"/>
      <c r="M639" s="174"/>
      <c r="N639" s="213"/>
    </row>
    <row r="640" ht="12.75" customHeight="1">
      <c r="A640" s="199"/>
      <c r="B640" s="214"/>
      <c r="E640" s="212"/>
      <c r="L640" s="213"/>
      <c r="M640" s="174"/>
      <c r="N640" s="213"/>
    </row>
    <row r="641" ht="12.75" customHeight="1">
      <c r="A641" s="199"/>
      <c r="B641" s="214"/>
      <c r="E641" s="212"/>
      <c r="L641" s="213"/>
      <c r="M641" s="174"/>
      <c r="N641" s="213"/>
    </row>
    <row r="642" ht="12.75" customHeight="1">
      <c r="A642" s="199"/>
      <c r="B642" s="214"/>
      <c r="E642" s="212"/>
      <c r="L642" s="213"/>
      <c r="M642" s="174"/>
      <c r="N642" s="213"/>
    </row>
    <row r="643" ht="12.75" customHeight="1">
      <c r="A643" s="199"/>
      <c r="B643" s="214"/>
      <c r="E643" s="212"/>
      <c r="L643" s="213"/>
      <c r="M643" s="174"/>
      <c r="N643" s="213"/>
    </row>
    <row r="644" ht="12.75" customHeight="1">
      <c r="A644" s="199"/>
      <c r="B644" s="214"/>
      <c r="E644" s="212"/>
      <c r="L644" s="213"/>
      <c r="M644" s="174"/>
      <c r="N644" s="213"/>
    </row>
    <row r="645" ht="12.75" customHeight="1">
      <c r="A645" s="199"/>
      <c r="B645" s="214"/>
      <c r="E645" s="212"/>
      <c r="L645" s="213"/>
      <c r="M645" s="174"/>
      <c r="N645" s="213"/>
    </row>
    <row r="646" ht="12.75" customHeight="1">
      <c r="A646" s="199"/>
      <c r="B646" s="214"/>
      <c r="E646" s="212"/>
      <c r="L646" s="213"/>
      <c r="M646" s="174"/>
      <c r="N646" s="213"/>
    </row>
    <row r="647" ht="12.75" customHeight="1">
      <c r="A647" s="199"/>
      <c r="B647" s="214"/>
      <c r="E647" s="212"/>
      <c r="L647" s="213"/>
      <c r="M647" s="174"/>
      <c r="N647" s="213"/>
    </row>
    <row r="648" ht="12.75" customHeight="1">
      <c r="A648" s="199"/>
      <c r="B648" s="214"/>
      <c r="E648" s="212"/>
      <c r="L648" s="213"/>
      <c r="M648" s="174"/>
      <c r="N648" s="213"/>
    </row>
    <row r="649" ht="12.75" customHeight="1">
      <c r="A649" s="199"/>
      <c r="B649" s="214"/>
      <c r="E649" s="212"/>
      <c r="L649" s="213"/>
      <c r="M649" s="174"/>
      <c r="N649" s="213"/>
    </row>
    <row r="650" ht="12.75" customHeight="1">
      <c r="A650" s="199"/>
      <c r="B650" s="214"/>
      <c r="E650" s="212"/>
      <c r="L650" s="213"/>
      <c r="M650" s="174"/>
      <c r="N650" s="213"/>
    </row>
    <row r="651" ht="12.75" customHeight="1">
      <c r="A651" s="199"/>
      <c r="B651" s="214"/>
      <c r="E651" s="212"/>
      <c r="L651" s="213"/>
      <c r="M651" s="174"/>
      <c r="N651" s="213"/>
    </row>
    <row r="652" ht="12.75" customHeight="1">
      <c r="A652" s="199"/>
      <c r="B652" s="214"/>
      <c r="E652" s="212"/>
      <c r="L652" s="213"/>
      <c r="M652" s="174"/>
      <c r="N652" s="213"/>
    </row>
    <row r="653" ht="12.75" customHeight="1">
      <c r="A653" s="199"/>
      <c r="B653" s="214"/>
      <c r="E653" s="212"/>
      <c r="L653" s="213"/>
      <c r="M653" s="174"/>
      <c r="N653" s="213"/>
    </row>
    <row r="654" ht="12.75" customHeight="1">
      <c r="A654" s="199"/>
      <c r="B654" s="214"/>
      <c r="E654" s="212"/>
      <c r="L654" s="213"/>
      <c r="M654" s="174"/>
      <c r="N654" s="213"/>
    </row>
    <row r="655" ht="12.75" customHeight="1">
      <c r="A655" s="199"/>
      <c r="B655" s="214"/>
      <c r="E655" s="212"/>
      <c r="L655" s="213"/>
      <c r="M655" s="174"/>
      <c r="N655" s="213"/>
    </row>
    <row r="656" ht="12.75" customHeight="1">
      <c r="A656" s="199"/>
      <c r="B656" s="214"/>
      <c r="E656" s="212"/>
      <c r="L656" s="213"/>
      <c r="M656" s="174"/>
      <c r="N656" s="213"/>
    </row>
    <row r="657" ht="12.75" customHeight="1">
      <c r="A657" s="199"/>
      <c r="B657" s="214"/>
      <c r="E657" s="212"/>
      <c r="L657" s="213"/>
      <c r="M657" s="174"/>
      <c r="N657" s="213"/>
    </row>
    <row r="658" ht="12.75" customHeight="1">
      <c r="A658" s="199"/>
      <c r="B658" s="214"/>
      <c r="E658" s="212"/>
      <c r="L658" s="213"/>
      <c r="M658" s="174"/>
      <c r="N658" s="213"/>
    </row>
    <row r="659" ht="12.75" customHeight="1">
      <c r="A659" s="199"/>
      <c r="B659" s="214"/>
      <c r="E659" s="212"/>
      <c r="L659" s="213"/>
      <c r="M659" s="174"/>
      <c r="N659" s="213"/>
    </row>
    <row r="660" ht="12.75" customHeight="1">
      <c r="A660" s="199"/>
      <c r="B660" s="214"/>
      <c r="E660" s="212"/>
      <c r="L660" s="213"/>
      <c r="M660" s="174"/>
      <c r="N660" s="213"/>
    </row>
    <row r="661" ht="12.75" customHeight="1">
      <c r="A661" s="199"/>
      <c r="B661" s="214"/>
      <c r="E661" s="212"/>
      <c r="L661" s="213"/>
      <c r="M661" s="174"/>
      <c r="N661" s="213"/>
    </row>
    <row r="662" ht="12.75" customHeight="1">
      <c r="A662" s="199"/>
      <c r="B662" s="214"/>
      <c r="E662" s="212"/>
      <c r="L662" s="213"/>
      <c r="M662" s="174"/>
      <c r="N662" s="213"/>
    </row>
    <row r="663" ht="12.75" customHeight="1">
      <c r="A663" s="199"/>
      <c r="B663" s="214"/>
      <c r="E663" s="212"/>
      <c r="L663" s="213"/>
      <c r="M663" s="174"/>
      <c r="N663" s="213"/>
    </row>
    <row r="664" ht="12.75" customHeight="1">
      <c r="A664" s="199"/>
      <c r="B664" s="214"/>
      <c r="E664" s="212"/>
      <c r="L664" s="213"/>
      <c r="M664" s="174"/>
      <c r="N664" s="213"/>
    </row>
    <row r="665" ht="12.75" customHeight="1">
      <c r="A665" s="199"/>
      <c r="B665" s="214"/>
      <c r="E665" s="212"/>
      <c r="L665" s="213"/>
      <c r="M665" s="174"/>
      <c r="N665" s="213"/>
    </row>
    <row r="666" ht="12.75" customHeight="1">
      <c r="A666" s="199"/>
      <c r="B666" s="214"/>
      <c r="E666" s="212"/>
      <c r="L666" s="213"/>
      <c r="M666" s="174"/>
      <c r="N666" s="213"/>
    </row>
    <row r="667" ht="12.75" customHeight="1">
      <c r="A667" s="199"/>
      <c r="B667" s="214"/>
      <c r="E667" s="212"/>
      <c r="L667" s="213"/>
      <c r="M667" s="174"/>
      <c r="N667" s="213"/>
    </row>
    <row r="668" ht="12.75" customHeight="1">
      <c r="A668" s="199"/>
      <c r="B668" s="214"/>
      <c r="E668" s="212"/>
      <c r="L668" s="213"/>
      <c r="M668" s="174"/>
      <c r="N668" s="213"/>
    </row>
    <row r="669" ht="12.75" customHeight="1">
      <c r="A669" s="199"/>
      <c r="B669" s="214"/>
      <c r="E669" s="212"/>
      <c r="L669" s="213"/>
      <c r="M669" s="174"/>
      <c r="N669" s="213"/>
    </row>
    <row r="670" ht="12.75" customHeight="1">
      <c r="A670" s="199"/>
      <c r="B670" s="214"/>
      <c r="E670" s="212"/>
      <c r="L670" s="213"/>
      <c r="M670" s="174"/>
      <c r="N670" s="213"/>
    </row>
    <row r="671" ht="12.75" customHeight="1">
      <c r="A671" s="199"/>
      <c r="B671" s="214"/>
      <c r="E671" s="212"/>
      <c r="L671" s="213"/>
      <c r="M671" s="174"/>
      <c r="N671" s="213"/>
    </row>
    <row r="672" ht="12.75" customHeight="1">
      <c r="A672" s="199"/>
      <c r="B672" s="214"/>
      <c r="E672" s="212"/>
      <c r="L672" s="213"/>
      <c r="M672" s="174"/>
      <c r="N672" s="213"/>
    </row>
    <row r="673" ht="12.75" customHeight="1">
      <c r="A673" s="199"/>
      <c r="B673" s="214"/>
      <c r="E673" s="212"/>
      <c r="L673" s="213"/>
      <c r="M673" s="174"/>
      <c r="N673" s="213"/>
    </row>
    <row r="674" ht="12.75" customHeight="1">
      <c r="A674" s="199"/>
      <c r="B674" s="214"/>
      <c r="E674" s="212"/>
      <c r="L674" s="213"/>
      <c r="M674" s="174"/>
      <c r="N674" s="213"/>
    </row>
    <row r="675" ht="12.75" customHeight="1">
      <c r="A675" s="199"/>
      <c r="B675" s="214"/>
      <c r="E675" s="212"/>
      <c r="L675" s="213"/>
      <c r="M675" s="174"/>
      <c r="N675" s="213"/>
    </row>
    <row r="676" ht="12.75" customHeight="1">
      <c r="A676" s="199"/>
      <c r="B676" s="214"/>
      <c r="E676" s="212"/>
      <c r="L676" s="213"/>
      <c r="M676" s="174"/>
      <c r="N676" s="213"/>
    </row>
    <row r="677" ht="12.75" customHeight="1">
      <c r="A677" s="199"/>
      <c r="B677" s="214"/>
      <c r="E677" s="212"/>
      <c r="L677" s="213"/>
      <c r="M677" s="174"/>
      <c r="N677" s="213"/>
    </row>
    <row r="678" ht="12.75" customHeight="1">
      <c r="A678" s="199"/>
      <c r="B678" s="214"/>
      <c r="E678" s="212"/>
      <c r="L678" s="213"/>
      <c r="M678" s="174"/>
      <c r="N678" s="213"/>
    </row>
    <row r="679" ht="12.75" customHeight="1">
      <c r="A679" s="199"/>
      <c r="B679" s="214"/>
      <c r="E679" s="212"/>
      <c r="L679" s="213"/>
      <c r="M679" s="174"/>
      <c r="N679" s="213"/>
    </row>
    <row r="680" ht="12.75" customHeight="1">
      <c r="A680" s="199"/>
      <c r="B680" s="214"/>
      <c r="E680" s="212"/>
      <c r="L680" s="213"/>
      <c r="M680" s="174"/>
      <c r="N680" s="213"/>
    </row>
    <row r="681" ht="12.75" customHeight="1">
      <c r="A681" s="199"/>
      <c r="B681" s="214"/>
      <c r="E681" s="212"/>
      <c r="L681" s="213"/>
      <c r="M681" s="174"/>
      <c r="N681" s="213"/>
    </row>
    <row r="682" ht="12.75" customHeight="1">
      <c r="A682" s="199"/>
      <c r="B682" s="214"/>
      <c r="E682" s="212"/>
      <c r="L682" s="213"/>
      <c r="M682" s="174"/>
      <c r="N682" s="213"/>
    </row>
    <row r="683" ht="12.75" customHeight="1">
      <c r="A683" s="199"/>
      <c r="B683" s="214"/>
      <c r="E683" s="212"/>
      <c r="L683" s="213"/>
      <c r="M683" s="174"/>
      <c r="N683" s="213"/>
    </row>
    <row r="684" ht="12.75" customHeight="1">
      <c r="A684" s="199"/>
      <c r="B684" s="214"/>
      <c r="E684" s="212"/>
      <c r="L684" s="213"/>
      <c r="M684" s="174"/>
      <c r="N684" s="213"/>
    </row>
    <row r="685" ht="12.75" customHeight="1">
      <c r="A685" s="199"/>
      <c r="B685" s="214"/>
      <c r="E685" s="212"/>
      <c r="L685" s="213"/>
      <c r="M685" s="174"/>
      <c r="N685" s="213"/>
    </row>
    <row r="686" ht="12.75" customHeight="1">
      <c r="A686" s="199"/>
      <c r="B686" s="214"/>
      <c r="E686" s="212"/>
      <c r="L686" s="213"/>
      <c r="M686" s="174"/>
      <c r="N686" s="213"/>
    </row>
    <row r="687" ht="12.75" customHeight="1">
      <c r="A687" s="199"/>
      <c r="B687" s="214"/>
      <c r="E687" s="212"/>
      <c r="L687" s="213"/>
      <c r="M687" s="174"/>
      <c r="N687" s="213"/>
    </row>
    <row r="688" ht="12.75" customHeight="1">
      <c r="A688" s="199"/>
      <c r="B688" s="214"/>
      <c r="E688" s="212"/>
      <c r="L688" s="213"/>
      <c r="M688" s="174"/>
      <c r="N688" s="213"/>
    </row>
    <row r="689" ht="12.75" customHeight="1">
      <c r="A689" s="199"/>
      <c r="B689" s="214"/>
      <c r="E689" s="212"/>
      <c r="L689" s="213"/>
      <c r="M689" s="174"/>
      <c r="N689" s="213"/>
    </row>
    <row r="690" ht="12.75" customHeight="1">
      <c r="A690" s="199"/>
      <c r="B690" s="214"/>
      <c r="E690" s="212"/>
      <c r="L690" s="213"/>
      <c r="M690" s="174"/>
      <c r="N690" s="213"/>
    </row>
    <row r="691" ht="12.75" customHeight="1">
      <c r="A691" s="199"/>
      <c r="B691" s="214"/>
      <c r="E691" s="212"/>
      <c r="L691" s="213"/>
      <c r="M691" s="174"/>
      <c r="N691" s="213"/>
    </row>
    <row r="692" ht="12.75" customHeight="1">
      <c r="A692" s="199"/>
      <c r="B692" s="214"/>
      <c r="E692" s="212"/>
      <c r="L692" s="213"/>
      <c r="M692" s="174"/>
      <c r="N692" s="213"/>
    </row>
    <row r="693" ht="12.75" customHeight="1">
      <c r="A693" s="199"/>
      <c r="B693" s="214"/>
      <c r="E693" s="212"/>
      <c r="L693" s="213"/>
      <c r="M693" s="174"/>
      <c r="N693" s="213"/>
    </row>
    <row r="694" ht="12.75" customHeight="1">
      <c r="A694" s="199"/>
      <c r="B694" s="214"/>
      <c r="E694" s="212"/>
      <c r="L694" s="213"/>
      <c r="M694" s="174"/>
      <c r="N694" s="213"/>
    </row>
    <row r="695" ht="12.75" customHeight="1">
      <c r="A695" s="199"/>
      <c r="B695" s="214"/>
      <c r="E695" s="212"/>
      <c r="L695" s="213"/>
      <c r="M695" s="174"/>
      <c r="N695" s="213"/>
    </row>
    <row r="696" ht="12.75" customHeight="1">
      <c r="A696" s="199"/>
      <c r="B696" s="214"/>
      <c r="E696" s="212"/>
      <c r="L696" s="213"/>
      <c r="M696" s="174"/>
      <c r="N696" s="213"/>
    </row>
    <row r="697" ht="12.75" customHeight="1">
      <c r="A697" s="199"/>
      <c r="B697" s="214"/>
      <c r="E697" s="212"/>
      <c r="L697" s="213"/>
      <c r="M697" s="174"/>
      <c r="N697" s="213"/>
    </row>
    <row r="698" ht="12.75" customHeight="1">
      <c r="A698" s="199"/>
      <c r="B698" s="214"/>
      <c r="E698" s="212"/>
      <c r="L698" s="213"/>
      <c r="M698" s="174"/>
      <c r="N698" s="213"/>
    </row>
    <row r="699" ht="12.75" customHeight="1">
      <c r="A699" s="199"/>
      <c r="B699" s="214"/>
      <c r="E699" s="212"/>
      <c r="L699" s="213"/>
      <c r="M699" s="174"/>
      <c r="N699" s="213"/>
    </row>
    <row r="700" ht="12.75" customHeight="1">
      <c r="A700" s="199"/>
      <c r="B700" s="214"/>
      <c r="E700" s="212"/>
      <c r="L700" s="213"/>
      <c r="M700" s="174"/>
      <c r="N700" s="213"/>
    </row>
    <row r="701" ht="12.75" customHeight="1">
      <c r="A701" s="199"/>
      <c r="B701" s="214"/>
      <c r="E701" s="212"/>
      <c r="L701" s="213"/>
      <c r="M701" s="174"/>
      <c r="N701" s="213"/>
    </row>
    <row r="702" ht="12.75" customHeight="1">
      <c r="A702" s="199"/>
      <c r="B702" s="214"/>
      <c r="E702" s="212"/>
      <c r="L702" s="213"/>
      <c r="M702" s="174"/>
      <c r="N702" s="213"/>
    </row>
    <row r="703" ht="12.75" customHeight="1">
      <c r="A703" s="199"/>
      <c r="B703" s="214"/>
      <c r="E703" s="212"/>
      <c r="L703" s="213"/>
      <c r="M703" s="174"/>
      <c r="N703" s="213"/>
    </row>
    <row r="704" ht="12.75" customHeight="1">
      <c r="A704" s="199"/>
      <c r="B704" s="214"/>
      <c r="E704" s="212"/>
      <c r="L704" s="213"/>
      <c r="M704" s="174"/>
      <c r="N704" s="213"/>
    </row>
    <row r="705" ht="12.75" customHeight="1">
      <c r="A705" s="199"/>
      <c r="B705" s="214"/>
      <c r="E705" s="212"/>
      <c r="L705" s="213"/>
      <c r="M705" s="174"/>
      <c r="N705" s="213"/>
    </row>
    <row r="706" ht="12.75" customHeight="1">
      <c r="A706" s="199"/>
      <c r="B706" s="214"/>
      <c r="E706" s="212"/>
      <c r="L706" s="213"/>
      <c r="M706" s="174"/>
      <c r="N706" s="213"/>
    </row>
    <row r="707" ht="12.75" customHeight="1">
      <c r="A707" s="199"/>
      <c r="B707" s="214"/>
      <c r="E707" s="212"/>
      <c r="L707" s="213"/>
      <c r="M707" s="174"/>
      <c r="N707" s="213"/>
    </row>
    <row r="708" ht="12.75" customHeight="1">
      <c r="A708" s="199"/>
      <c r="B708" s="214"/>
      <c r="E708" s="212"/>
      <c r="L708" s="213"/>
      <c r="M708" s="174"/>
      <c r="N708" s="213"/>
    </row>
    <row r="709" ht="12.75" customHeight="1">
      <c r="A709" s="199"/>
      <c r="B709" s="214"/>
      <c r="E709" s="212"/>
      <c r="L709" s="213"/>
      <c r="M709" s="174"/>
      <c r="N709" s="213"/>
    </row>
    <row r="710" ht="12.75" customHeight="1">
      <c r="A710" s="199"/>
      <c r="B710" s="214"/>
      <c r="E710" s="212"/>
      <c r="L710" s="213"/>
      <c r="M710" s="174"/>
      <c r="N710" s="213"/>
    </row>
    <row r="711" ht="12.75" customHeight="1">
      <c r="A711" s="199"/>
      <c r="B711" s="214"/>
      <c r="E711" s="212"/>
      <c r="L711" s="213"/>
      <c r="M711" s="174"/>
      <c r="N711" s="213"/>
    </row>
    <row r="712" ht="12.75" customHeight="1">
      <c r="A712" s="199"/>
      <c r="B712" s="214"/>
      <c r="E712" s="212"/>
      <c r="L712" s="213"/>
      <c r="M712" s="174"/>
      <c r="N712" s="213"/>
    </row>
    <row r="713" ht="12.75" customHeight="1">
      <c r="A713" s="199"/>
      <c r="B713" s="214"/>
      <c r="E713" s="212"/>
      <c r="L713" s="213"/>
      <c r="M713" s="174"/>
      <c r="N713" s="213"/>
    </row>
    <row r="714" ht="12.75" customHeight="1">
      <c r="A714" s="199"/>
      <c r="B714" s="214"/>
      <c r="E714" s="212"/>
      <c r="L714" s="213"/>
      <c r="M714" s="174"/>
      <c r="N714" s="213"/>
    </row>
    <row r="715" ht="12.75" customHeight="1">
      <c r="A715" s="199"/>
      <c r="B715" s="214"/>
      <c r="E715" s="212"/>
      <c r="L715" s="213"/>
      <c r="M715" s="174"/>
      <c r="N715" s="213"/>
    </row>
    <row r="716" ht="12.75" customHeight="1">
      <c r="A716" s="199"/>
      <c r="B716" s="214"/>
      <c r="E716" s="212"/>
      <c r="L716" s="213"/>
      <c r="M716" s="174"/>
      <c r="N716" s="213"/>
    </row>
    <row r="717" ht="12.75" customHeight="1">
      <c r="A717" s="199"/>
      <c r="B717" s="214"/>
      <c r="E717" s="212"/>
      <c r="L717" s="213"/>
      <c r="M717" s="174"/>
      <c r="N717" s="213"/>
    </row>
    <row r="718" ht="12.75" customHeight="1">
      <c r="A718" s="199"/>
      <c r="B718" s="214"/>
      <c r="E718" s="212"/>
      <c r="L718" s="213"/>
      <c r="M718" s="174"/>
      <c r="N718" s="213"/>
    </row>
    <row r="719" ht="12.75" customHeight="1">
      <c r="A719" s="199"/>
      <c r="B719" s="214"/>
      <c r="E719" s="212"/>
      <c r="L719" s="213"/>
      <c r="M719" s="174"/>
      <c r="N719" s="213"/>
    </row>
    <row r="720" ht="12.75" customHeight="1">
      <c r="A720" s="199"/>
      <c r="B720" s="214"/>
      <c r="E720" s="212"/>
      <c r="L720" s="213"/>
      <c r="M720" s="174"/>
      <c r="N720" s="213"/>
    </row>
    <row r="721" ht="12.75" customHeight="1">
      <c r="A721" s="199"/>
      <c r="B721" s="214"/>
      <c r="E721" s="212"/>
      <c r="L721" s="213"/>
      <c r="M721" s="174"/>
      <c r="N721" s="213"/>
    </row>
    <row r="722" ht="12.75" customHeight="1">
      <c r="A722" s="199"/>
      <c r="B722" s="214"/>
      <c r="E722" s="212"/>
      <c r="L722" s="213"/>
      <c r="M722" s="174"/>
      <c r="N722" s="213"/>
    </row>
    <row r="723" ht="12.75" customHeight="1">
      <c r="A723" s="199"/>
      <c r="B723" s="214"/>
      <c r="E723" s="212"/>
      <c r="L723" s="213"/>
      <c r="M723" s="174"/>
      <c r="N723" s="213"/>
    </row>
    <row r="724" ht="12.75" customHeight="1">
      <c r="A724" s="199"/>
      <c r="B724" s="214"/>
      <c r="E724" s="212"/>
      <c r="L724" s="213"/>
      <c r="M724" s="174"/>
      <c r="N724" s="213"/>
    </row>
    <row r="725" ht="12.75" customHeight="1">
      <c r="A725" s="199"/>
      <c r="B725" s="214"/>
      <c r="E725" s="212"/>
      <c r="L725" s="213"/>
      <c r="M725" s="174"/>
      <c r="N725" s="213"/>
    </row>
    <row r="726" ht="12.75" customHeight="1">
      <c r="A726" s="199"/>
      <c r="B726" s="214"/>
      <c r="E726" s="212"/>
      <c r="L726" s="213"/>
      <c r="M726" s="174"/>
      <c r="N726" s="213"/>
    </row>
    <row r="727" ht="12.75" customHeight="1">
      <c r="A727" s="199"/>
      <c r="B727" s="214"/>
      <c r="E727" s="212"/>
      <c r="L727" s="213"/>
      <c r="M727" s="174"/>
      <c r="N727" s="213"/>
    </row>
    <row r="728" ht="12.75" customHeight="1">
      <c r="A728" s="199"/>
      <c r="B728" s="214"/>
      <c r="E728" s="212"/>
      <c r="L728" s="213"/>
      <c r="M728" s="174"/>
      <c r="N728" s="213"/>
    </row>
    <row r="729" ht="12.75" customHeight="1">
      <c r="A729" s="199"/>
      <c r="B729" s="214"/>
      <c r="E729" s="212"/>
      <c r="L729" s="213"/>
      <c r="M729" s="174"/>
      <c r="N729" s="213"/>
    </row>
    <row r="730" ht="12.75" customHeight="1">
      <c r="A730" s="199"/>
      <c r="B730" s="214"/>
      <c r="E730" s="212"/>
      <c r="L730" s="213"/>
      <c r="M730" s="174"/>
      <c r="N730" s="213"/>
    </row>
    <row r="731" ht="12.75" customHeight="1">
      <c r="A731" s="199"/>
      <c r="B731" s="214"/>
      <c r="E731" s="212"/>
      <c r="L731" s="213"/>
      <c r="M731" s="174"/>
      <c r="N731" s="213"/>
    </row>
    <row r="732" ht="12.75" customHeight="1">
      <c r="A732" s="199"/>
      <c r="B732" s="214"/>
      <c r="E732" s="212"/>
      <c r="L732" s="213"/>
      <c r="M732" s="174"/>
      <c r="N732" s="213"/>
    </row>
    <row r="733" ht="12.75" customHeight="1">
      <c r="A733" s="199"/>
      <c r="B733" s="214"/>
      <c r="E733" s="212"/>
      <c r="L733" s="213"/>
      <c r="M733" s="174"/>
      <c r="N733" s="213"/>
    </row>
    <row r="734" ht="12.75" customHeight="1">
      <c r="A734" s="199"/>
      <c r="B734" s="214"/>
      <c r="E734" s="212"/>
      <c r="L734" s="213"/>
      <c r="M734" s="174"/>
      <c r="N734" s="213"/>
    </row>
    <row r="735" ht="12.75" customHeight="1">
      <c r="A735" s="199"/>
      <c r="B735" s="214"/>
      <c r="E735" s="212"/>
      <c r="L735" s="213"/>
      <c r="M735" s="174"/>
      <c r="N735" s="213"/>
    </row>
    <row r="736" ht="12.75" customHeight="1">
      <c r="A736" s="199"/>
      <c r="B736" s="214"/>
      <c r="E736" s="212"/>
      <c r="L736" s="213"/>
      <c r="M736" s="174"/>
      <c r="N736" s="213"/>
    </row>
    <row r="737" ht="12.75" customHeight="1">
      <c r="A737" s="199"/>
      <c r="B737" s="214"/>
      <c r="E737" s="212"/>
      <c r="L737" s="213"/>
      <c r="M737" s="174"/>
      <c r="N737" s="213"/>
    </row>
    <row r="738" ht="12.75" customHeight="1">
      <c r="A738" s="199"/>
      <c r="B738" s="214"/>
      <c r="E738" s="212"/>
      <c r="L738" s="213"/>
      <c r="M738" s="174"/>
      <c r="N738" s="213"/>
    </row>
    <row r="739" ht="12.75" customHeight="1">
      <c r="A739" s="199"/>
      <c r="B739" s="214"/>
      <c r="E739" s="212"/>
      <c r="L739" s="213"/>
      <c r="M739" s="174"/>
      <c r="N739" s="213"/>
    </row>
    <row r="740" ht="12.75" customHeight="1">
      <c r="A740" s="199"/>
      <c r="B740" s="214"/>
      <c r="E740" s="212"/>
      <c r="L740" s="213"/>
      <c r="M740" s="174"/>
      <c r="N740" s="213"/>
    </row>
    <row r="741" ht="12.75" customHeight="1">
      <c r="A741" s="199"/>
      <c r="B741" s="214"/>
      <c r="E741" s="212"/>
      <c r="L741" s="213"/>
      <c r="M741" s="174"/>
      <c r="N741" s="213"/>
    </row>
    <row r="742" ht="12.75" customHeight="1">
      <c r="A742" s="199"/>
      <c r="B742" s="214"/>
      <c r="E742" s="212"/>
      <c r="L742" s="213"/>
      <c r="M742" s="174"/>
      <c r="N742" s="213"/>
    </row>
    <row r="743" ht="12.75" customHeight="1">
      <c r="A743" s="199"/>
      <c r="B743" s="214"/>
      <c r="E743" s="212"/>
      <c r="L743" s="213"/>
      <c r="M743" s="174"/>
      <c r="N743" s="213"/>
    </row>
    <row r="744" ht="12.75" customHeight="1">
      <c r="A744" s="199"/>
      <c r="B744" s="214"/>
      <c r="E744" s="212"/>
      <c r="L744" s="213"/>
      <c r="M744" s="174"/>
      <c r="N744" s="213"/>
    </row>
    <row r="745" ht="12.75" customHeight="1">
      <c r="A745" s="199"/>
      <c r="B745" s="214"/>
      <c r="E745" s="212"/>
      <c r="L745" s="213"/>
      <c r="M745" s="174"/>
      <c r="N745" s="213"/>
    </row>
    <row r="746" ht="12.75" customHeight="1">
      <c r="A746" s="199"/>
      <c r="B746" s="214"/>
      <c r="E746" s="212"/>
      <c r="L746" s="213"/>
      <c r="M746" s="174"/>
      <c r="N746" s="213"/>
    </row>
    <row r="747" ht="12.75" customHeight="1">
      <c r="A747" s="199"/>
      <c r="B747" s="214"/>
      <c r="E747" s="212"/>
      <c r="L747" s="213"/>
      <c r="M747" s="174"/>
      <c r="N747" s="213"/>
    </row>
    <row r="748" ht="12.75" customHeight="1">
      <c r="A748" s="199"/>
      <c r="B748" s="214"/>
      <c r="E748" s="212"/>
      <c r="L748" s="213"/>
      <c r="M748" s="174"/>
      <c r="N748" s="213"/>
    </row>
    <row r="749" ht="12.75" customHeight="1">
      <c r="A749" s="199"/>
      <c r="B749" s="214"/>
      <c r="E749" s="212"/>
      <c r="L749" s="213"/>
      <c r="M749" s="174"/>
      <c r="N749" s="213"/>
    </row>
    <row r="750" ht="12.75" customHeight="1">
      <c r="A750" s="199"/>
      <c r="B750" s="214"/>
      <c r="E750" s="212"/>
      <c r="L750" s="213"/>
      <c r="M750" s="174"/>
      <c r="N750" s="213"/>
    </row>
    <row r="751" ht="12.75" customHeight="1">
      <c r="A751" s="199"/>
      <c r="B751" s="214"/>
      <c r="E751" s="212"/>
      <c r="L751" s="213"/>
      <c r="M751" s="174"/>
      <c r="N751" s="213"/>
    </row>
    <row r="752" ht="12.75" customHeight="1">
      <c r="A752" s="199"/>
      <c r="B752" s="214"/>
      <c r="E752" s="212"/>
      <c r="L752" s="213"/>
      <c r="M752" s="174"/>
      <c r="N752" s="213"/>
    </row>
    <row r="753" ht="12.75" customHeight="1">
      <c r="A753" s="199"/>
      <c r="B753" s="214"/>
      <c r="E753" s="212"/>
      <c r="L753" s="213"/>
      <c r="M753" s="174"/>
      <c r="N753" s="213"/>
    </row>
    <row r="754" ht="12.75" customHeight="1">
      <c r="A754" s="199"/>
      <c r="B754" s="214"/>
      <c r="E754" s="212"/>
      <c r="L754" s="213"/>
      <c r="M754" s="174"/>
      <c r="N754" s="213"/>
    </row>
    <row r="755" ht="12.75" customHeight="1">
      <c r="A755" s="199"/>
      <c r="B755" s="214"/>
      <c r="E755" s="212"/>
      <c r="L755" s="213"/>
      <c r="M755" s="174"/>
      <c r="N755" s="213"/>
    </row>
    <row r="756" ht="12.75" customHeight="1">
      <c r="A756" s="199"/>
      <c r="B756" s="214"/>
      <c r="E756" s="212"/>
      <c r="L756" s="213"/>
      <c r="M756" s="174"/>
      <c r="N756" s="213"/>
    </row>
    <row r="757" ht="12.75" customHeight="1">
      <c r="A757" s="199"/>
      <c r="B757" s="214"/>
      <c r="E757" s="212"/>
      <c r="L757" s="213"/>
      <c r="M757" s="174"/>
      <c r="N757" s="213"/>
    </row>
    <row r="758" ht="12.75" customHeight="1">
      <c r="A758" s="199"/>
      <c r="B758" s="214"/>
      <c r="E758" s="212"/>
      <c r="L758" s="213"/>
      <c r="M758" s="174"/>
      <c r="N758" s="213"/>
    </row>
    <row r="759" ht="12.75" customHeight="1">
      <c r="A759" s="199"/>
      <c r="B759" s="214"/>
      <c r="E759" s="212"/>
      <c r="L759" s="213"/>
      <c r="M759" s="174"/>
      <c r="N759" s="213"/>
    </row>
    <row r="760" ht="12.75" customHeight="1">
      <c r="A760" s="199"/>
      <c r="B760" s="214"/>
      <c r="E760" s="212"/>
      <c r="L760" s="213"/>
      <c r="M760" s="174"/>
      <c r="N760" s="213"/>
    </row>
    <row r="761" ht="12.75" customHeight="1">
      <c r="A761" s="199"/>
      <c r="B761" s="214"/>
      <c r="E761" s="212"/>
      <c r="L761" s="213"/>
      <c r="M761" s="174"/>
      <c r="N761" s="213"/>
    </row>
    <row r="762" ht="12.75" customHeight="1">
      <c r="A762" s="199"/>
      <c r="B762" s="214"/>
      <c r="E762" s="212"/>
      <c r="L762" s="213"/>
      <c r="M762" s="174"/>
      <c r="N762" s="213"/>
    </row>
    <row r="763" ht="12.75" customHeight="1">
      <c r="A763" s="199"/>
      <c r="B763" s="214"/>
      <c r="E763" s="212"/>
      <c r="L763" s="213"/>
      <c r="M763" s="174"/>
      <c r="N763" s="213"/>
    </row>
    <row r="764" ht="12.75" customHeight="1">
      <c r="A764" s="199"/>
      <c r="B764" s="214"/>
      <c r="E764" s="212"/>
      <c r="L764" s="213"/>
      <c r="M764" s="174"/>
      <c r="N764" s="213"/>
    </row>
    <row r="765" ht="12.75" customHeight="1">
      <c r="A765" s="199"/>
      <c r="B765" s="214"/>
      <c r="E765" s="212"/>
      <c r="L765" s="213"/>
      <c r="M765" s="174"/>
      <c r="N765" s="213"/>
    </row>
    <row r="766" ht="12.75" customHeight="1">
      <c r="A766" s="199"/>
      <c r="B766" s="214"/>
      <c r="E766" s="212"/>
      <c r="L766" s="213"/>
      <c r="M766" s="174"/>
      <c r="N766" s="213"/>
    </row>
    <row r="767" ht="12.75" customHeight="1">
      <c r="A767" s="199"/>
      <c r="B767" s="214"/>
      <c r="E767" s="212"/>
      <c r="L767" s="213"/>
      <c r="M767" s="174"/>
      <c r="N767" s="213"/>
    </row>
    <row r="768" ht="12.75" customHeight="1">
      <c r="A768" s="199"/>
      <c r="B768" s="214"/>
      <c r="E768" s="212"/>
      <c r="L768" s="213"/>
      <c r="M768" s="174"/>
      <c r="N768" s="213"/>
    </row>
    <row r="769" ht="12.75" customHeight="1">
      <c r="A769" s="199"/>
      <c r="B769" s="214"/>
      <c r="E769" s="212"/>
      <c r="L769" s="213"/>
      <c r="M769" s="174"/>
      <c r="N769" s="213"/>
    </row>
    <row r="770" ht="12.75" customHeight="1">
      <c r="A770" s="199"/>
      <c r="B770" s="214"/>
      <c r="E770" s="212"/>
      <c r="L770" s="213"/>
      <c r="M770" s="174"/>
      <c r="N770" s="213"/>
    </row>
    <row r="771" ht="12.75" customHeight="1">
      <c r="A771" s="199"/>
      <c r="B771" s="214"/>
      <c r="E771" s="212"/>
      <c r="L771" s="213"/>
      <c r="M771" s="174"/>
      <c r="N771" s="213"/>
    </row>
    <row r="772" ht="12.75" customHeight="1">
      <c r="A772" s="199"/>
      <c r="B772" s="214"/>
      <c r="E772" s="212"/>
      <c r="L772" s="213"/>
      <c r="M772" s="174"/>
      <c r="N772" s="213"/>
    </row>
    <row r="773" ht="12.75" customHeight="1">
      <c r="A773" s="199"/>
      <c r="B773" s="214"/>
      <c r="E773" s="212"/>
      <c r="L773" s="213"/>
      <c r="M773" s="174"/>
      <c r="N773" s="213"/>
    </row>
    <row r="774" ht="12.75" customHeight="1">
      <c r="A774" s="199"/>
      <c r="B774" s="214"/>
      <c r="E774" s="212"/>
      <c r="L774" s="213"/>
      <c r="M774" s="174"/>
      <c r="N774" s="213"/>
    </row>
    <row r="775" ht="12.75" customHeight="1">
      <c r="A775" s="199"/>
      <c r="B775" s="214"/>
      <c r="E775" s="212"/>
      <c r="L775" s="213"/>
      <c r="M775" s="174"/>
      <c r="N775" s="213"/>
    </row>
    <row r="776" ht="12.75" customHeight="1">
      <c r="A776" s="199"/>
      <c r="B776" s="214"/>
      <c r="E776" s="212"/>
      <c r="L776" s="213"/>
      <c r="M776" s="174"/>
      <c r="N776" s="213"/>
    </row>
    <row r="777" ht="12.75" customHeight="1">
      <c r="A777" s="199"/>
      <c r="B777" s="214"/>
      <c r="E777" s="212"/>
      <c r="L777" s="213"/>
      <c r="M777" s="174"/>
      <c r="N777" s="213"/>
    </row>
    <row r="778" ht="12.75" customHeight="1">
      <c r="A778" s="199"/>
      <c r="B778" s="214"/>
      <c r="E778" s="212"/>
      <c r="L778" s="213"/>
      <c r="M778" s="174"/>
      <c r="N778" s="213"/>
    </row>
    <row r="779" ht="12.75" customHeight="1">
      <c r="A779" s="199"/>
      <c r="B779" s="214"/>
      <c r="E779" s="212"/>
      <c r="L779" s="213"/>
      <c r="M779" s="174"/>
      <c r="N779" s="213"/>
    </row>
    <row r="780" ht="12.75" customHeight="1">
      <c r="A780" s="199"/>
      <c r="B780" s="214"/>
      <c r="E780" s="212"/>
      <c r="L780" s="213"/>
      <c r="M780" s="174"/>
      <c r="N780" s="213"/>
    </row>
    <row r="781" ht="12.75" customHeight="1">
      <c r="A781" s="199"/>
      <c r="B781" s="214"/>
      <c r="E781" s="212"/>
      <c r="L781" s="213"/>
      <c r="M781" s="174"/>
      <c r="N781" s="213"/>
    </row>
    <row r="782" ht="12.75" customHeight="1">
      <c r="A782" s="199"/>
      <c r="B782" s="214"/>
      <c r="E782" s="212"/>
      <c r="L782" s="213"/>
      <c r="M782" s="174"/>
      <c r="N782" s="213"/>
    </row>
    <row r="783" ht="12.75" customHeight="1">
      <c r="A783" s="199"/>
      <c r="B783" s="214"/>
      <c r="E783" s="212"/>
      <c r="L783" s="213"/>
      <c r="M783" s="174"/>
      <c r="N783" s="213"/>
    </row>
    <row r="784" ht="12.75" customHeight="1">
      <c r="A784" s="199"/>
      <c r="B784" s="214"/>
      <c r="E784" s="212"/>
      <c r="L784" s="213"/>
      <c r="M784" s="174"/>
      <c r="N784" s="213"/>
    </row>
    <row r="785" ht="12.75" customHeight="1">
      <c r="A785" s="199"/>
      <c r="B785" s="214"/>
      <c r="E785" s="212"/>
      <c r="L785" s="213"/>
      <c r="M785" s="174"/>
      <c r="N785" s="213"/>
    </row>
    <row r="786" ht="12.75" customHeight="1">
      <c r="A786" s="199"/>
      <c r="B786" s="214"/>
      <c r="E786" s="212"/>
      <c r="L786" s="213"/>
      <c r="M786" s="174"/>
      <c r="N786" s="213"/>
    </row>
    <row r="787" ht="12.75" customHeight="1">
      <c r="A787" s="199"/>
      <c r="B787" s="214"/>
      <c r="E787" s="212"/>
      <c r="L787" s="213"/>
      <c r="M787" s="174"/>
      <c r="N787" s="213"/>
    </row>
    <row r="788" ht="12.75" customHeight="1">
      <c r="A788" s="199"/>
      <c r="B788" s="214"/>
      <c r="E788" s="212"/>
      <c r="L788" s="213"/>
      <c r="M788" s="174"/>
      <c r="N788" s="213"/>
    </row>
    <row r="789" ht="12.75" customHeight="1">
      <c r="A789" s="199"/>
      <c r="B789" s="214"/>
      <c r="E789" s="212"/>
      <c r="L789" s="213"/>
      <c r="M789" s="174"/>
      <c r="N789" s="213"/>
    </row>
    <row r="790" ht="12.75" customHeight="1">
      <c r="A790" s="199"/>
      <c r="B790" s="214"/>
      <c r="E790" s="212"/>
      <c r="L790" s="213"/>
      <c r="M790" s="174"/>
      <c r="N790" s="213"/>
    </row>
    <row r="791" ht="12.75" customHeight="1">
      <c r="A791" s="199"/>
      <c r="B791" s="214"/>
      <c r="E791" s="212"/>
      <c r="L791" s="213"/>
      <c r="M791" s="174"/>
      <c r="N791" s="213"/>
    </row>
    <row r="792" ht="12.75" customHeight="1">
      <c r="A792" s="199"/>
      <c r="B792" s="214"/>
      <c r="E792" s="212"/>
      <c r="L792" s="213"/>
      <c r="M792" s="174"/>
      <c r="N792" s="213"/>
    </row>
    <row r="793" ht="12.75" customHeight="1">
      <c r="A793" s="199"/>
      <c r="B793" s="214"/>
      <c r="E793" s="212"/>
      <c r="L793" s="213"/>
      <c r="M793" s="174"/>
      <c r="N793" s="213"/>
    </row>
    <row r="794" ht="12.75" customHeight="1">
      <c r="A794" s="199"/>
      <c r="B794" s="214"/>
      <c r="E794" s="212"/>
      <c r="L794" s="213"/>
      <c r="M794" s="174"/>
      <c r="N794" s="213"/>
    </row>
    <row r="795" ht="12.75" customHeight="1">
      <c r="A795" s="199"/>
      <c r="B795" s="214"/>
      <c r="E795" s="212"/>
      <c r="L795" s="213"/>
      <c r="M795" s="174"/>
      <c r="N795" s="213"/>
    </row>
    <row r="796" ht="12.75" customHeight="1">
      <c r="A796" s="199"/>
      <c r="B796" s="214"/>
      <c r="E796" s="212"/>
      <c r="L796" s="213"/>
      <c r="M796" s="174"/>
      <c r="N796" s="213"/>
    </row>
    <row r="797" ht="12.75" customHeight="1">
      <c r="A797" s="199"/>
      <c r="B797" s="214"/>
      <c r="E797" s="212"/>
      <c r="L797" s="213"/>
      <c r="M797" s="174"/>
      <c r="N797" s="213"/>
    </row>
    <row r="798" ht="12.75" customHeight="1">
      <c r="A798" s="199"/>
      <c r="B798" s="214"/>
      <c r="E798" s="212"/>
      <c r="L798" s="213"/>
      <c r="M798" s="174"/>
      <c r="N798" s="213"/>
    </row>
    <row r="799" ht="12.75" customHeight="1">
      <c r="A799" s="199"/>
      <c r="B799" s="214"/>
      <c r="E799" s="212"/>
      <c r="L799" s="213"/>
      <c r="M799" s="174"/>
      <c r="N799" s="213"/>
    </row>
    <row r="800" ht="12.75" customHeight="1">
      <c r="A800" s="199"/>
      <c r="B800" s="214"/>
      <c r="E800" s="212"/>
      <c r="L800" s="213"/>
      <c r="M800" s="174"/>
      <c r="N800" s="213"/>
    </row>
    <row r="801" ht="12.75" customHeight="1">
      <c r="A801" s="199"/>
      <c r="B801" s="214"/>
      <c r="E801" s="212"/>
      <c r="L801" s="213"/>
      <c r="M801" s="174"/>
      <c r="N801" s="213"/>
    </row>
    <row r="802" ht="12.75" customHeight="1">
      <c r="A802" s="199"/>
      <c r="B802" s="214"/>
      <c r="E802" s="212"/>
      <c r="L802" s="213"/>
      <c r="M802" s="174"/>
      <c r="N802" s="213"/>
    </row>
    <row r="803" ht="12.75" customHeight="1">
      <c r="A803" s="199"/>
      <c r="B803" s="214"/>
      <c r="E803" s="212"/>
      <c r="L803" s="213"/>
      <c r="M803" s="174"/>
      <c r="N803" s="213"/>
    </row>
    <row r="804" ht="12.75" customHeight="1">
      <c r="A804" s="199"/>
      <c r="B804" s="214"/>
      <c r="E804" s="212"/>
      <c r="L804" s="213"/>
      <c r="M804" s="174"/>
      <c r="N804" s="213"/>
    </row>
    <row r="805" ht="12.75" customHeight="1">
      <c r="A805" s="199"/>
      <c r="B805" s="214"/>
      <c r="E805" s="212"/>
      <c r="L805" s="213"/>
      <c r="M805" s="174"/>
      <c r="N805" s="213"/>
    </row>
    <row r="806" ht="12.75" customHeight="1">
      <c r="A806" s="199"/>
      <c r="B806" s="214"/>
      <c r="E806" s="212"/>
      <c r="L806" s="213"/>
      <c r="M806" s="174"/>
      <c r="N806" s="213"/>
    </row>
    <row r="807" ht="12.75" customHeight="1">
      <c r="A807" s="199"/>
      <c r="B807" s="214"/>
      <c r="E807" s="212"/>
      <c r="L807" s="213"/>
      <c r="M807" s="174"/>
      <c r="N807" s="213"/>
    </row>
    <row r="808" ht="12.75" customHeight="1">
      <c r="A808" s="199"/>
      <c r="B808" s="214"/>
      <c r="E808" s="212"/>
      <c r="L808" s="213"/>
      <c r="M808" s="174"/>
      <c r="N808" s="213"/>
    </row>
    <row r="809" ht="12.75" customHeight="1">
      <c r="A809" s="199"/>
      <c r="B809" s="214"/>
      <c r="E809" s="212"/>
      <c r="L809" s="213"/>
      <c r="M809" s="174"/>
      <c r="N809" s="213"/>
    </row>
    <row r="810" ht="12.75" customHeight="1">
      <c r="A810" s="199"/>
      <c r="B810" s="214"/>
      <c r="E810" s="212"/>
      <c r="L810" s="213"/>
      <c r="M810" s="174"/>
      <c r="N810" s="213"/>
    </row>
    <row r="811" ht="12.75" customHeight="1">
      <c r="A811" s="199"/>
      <c r="B811" s="214"/>
      <c r="E811" s="212"/>
      <c r="L811" s="213"/>
      <c r="M811" s="174"/>
      <c r="N811" s="213"/>
    </row>
    <row r="812" ht="12.75" customHeight="1">
      <c r="A812" s="199"/>
      <c r="B812" s="214"/>
      <c r="E812" s="212"/>
      <c r="L812" s="213"/>
      <c r="M812" s="174"/>
      <c r="N812" s="213"/>
    </row>
    <row r="813" ht="12.75" customHeight="1">
      <c r="A813" s="199"/>
      <c r="B813" s="214"/>
      <c r="E813" s="212"/>
      <c r="L813" s="213"/>
      <c r="M813" s="174"/>
      <c r="N813" s="213"/>
    </row>
    <row r="814" ht="12.75" customHeight="1">
      <c r="A814" s="199"/>
      <c r="B814" s="214"/>
      <c r="E814" s="212"/>
      <c r="L814" s="213"/>
      <c r="M814" s="174"/>
      <c r="N814" s="213"/>
    </row>
    <row r="815" ht="12.75" customHeight="1">
      <c r="A815" s="199"/>
      <c r="B815" s="214"/>
      <c r="E815" s="212"/>
      <c r="L815" s="213"/>
      <c r="M815" s="174"/>
      <c r="N815" s="213"/>
    </row>
    <row r="816" ht="12.75" customHeight="1">
      <c r="A816" s="199"/>
      <c r="B816" s="214"/>
      <c r="E816" s="212"/>
      <c r="L816" s="213"/>
      <c r="M816" s="174"/>
      <c r="N816" s="213"/>
    </row>
    <row r="817" ht="12.75" customHeight="1">
      <c r="A817" s="199"/>
      <c r="B817" s="214"/>
      <c r="E817" s="212"/>
      <c r="L817" s="213"/>
      <c r="M817" s="174"/>
      <c r="N817" s="213"/>
    </row>
    <row r="818" ht="12.75" customHeight="1">
      <c r="A818" s="199"/>
      <c r="B818" s="214"/>
      <c r="E818" s="212"/>
      <c r="L818" s="213"/>
      <c r="M818" s="174"/>
      <c r="N818" s="213"/>
    </row>
    <row r="819" ht="12.75" customHeight="1">
      <c r="A819" s="199"/>
      <c r="B819" s="214"/>
      <c r="E819" s="212"/>
      <c r="L819" s="213"/>
      <c r="M819" s="174"/>
      <c r="N819" s="213"/>
    </row>
    <row r="820" ht="12.75" customHeight="1">
      <c r="A820" s="199"/>
      <c r="B820" s="214"/>
      <c r="E820" s="212"/>
      <c r="L820" s="213"/>
      <c r="M820" s="174"/>
      <c r="N820" s="213"/>
    </row>
    <row r="821" ht="12.75" customHeight="1">
      <c r="A821" s="199"/>
      <c r="B821" s="214"/>
      <c r="E821" s="212"/>
      <c r="L821" s="213"/>
      <c r="M821" s="174"/>
      <c r="N821" s="213"/>
    </row>
    <row r="822" ht="12.75" customHeight="1">
      <c r="A822" s="199"/>
      <c r="B822" s="214"/>
      <c r="E822" s="212"/>
      <c r="L822" s="213"/>
      <c r="M822" s="174"/>
      <c r="N822" s="213"/>
    </row>
    <row r="823" ht="12.75" customHeight="1">
      <c r="A823" s="199"/>
      <c r="B823" s="214"/>
      <c r="E823" s="212"/>
      <c r="L823" s="213"/>
      <c r="M823" s="174"/>
      <c r="N823" s="213"/>
    </row>
    <row r="824" ht="12.75" customHeight="1">
      <c r="A824" s="199"/>
      <c r="B824" s="214"/>
      <c r="E824" s="212"/>
      <c r="L824" s="213"/>
      <c r="M824" s="174"/>
      <c r="N824" s="213"/>
    </row>
    <row r="825" ht="12.75" customHeight="1">
      <c r="A825" s="199"/>
      <c r="B825" s="214"/>
      <c r="E825" s="212"/>
      <c r="L825" s="213"/>
      <c r="M825" s="174"/>
      <c r="N825" s="213"/>
    </row>
    <row r="826" ht="12.75" customHeight="1">
      <c r="A826" s="199"/>
      <c r="B826" s="214"/>
      <c r="E826" s="212"/>
      <c r="L826" s="213"/>
      <c r="M826" s="174"/>
      <c r="N826" s="213"/>
    </row>
    <row r="827" ht="12.75" customHeight="1">
      <c r="A827" s="199"/>
      <c r="B827" s="214"/>
      <c r="E827" s="212"/>
      <c r="L827" s="213"/>
      <c r="M827" s="174"/>
      <c r="N827" s="213"/>
    </row>
    <row r="828" ht="12.75" customHeight="1">
      <c r="A828" s="199"/>
      <c r="B828" s="214"/>
      <c r="E828" s="212"/>
      <c r="L828" s="213"/>
      <c r="M828" s="174"/>
      <c r="N828" s="213"/>
    </row>
    <row r="829" ht="12.75" customHeight="1">
      <c r="A829" s="199"/>
      <c r="B829" s="214"/>
      <c r="E829" s="212"/>
      <c r="L829" s="213"/>
      <c r="M829" s="174"/>
      <c r="N829" s="213"/>
    </row>
    <row r="830" ht="12.75" customHeight="1">
      <c r="A830" s="199"/>
      <c r="B830" s="214"/>
      <c r="E830" s="212"/>
      <c r="L830" s="213"/>
      <c r="M830" s="174"/>
      <c r="N830" s="213"/>
    </row>
    <row r="831" ht="12.75" customHeight="1">
      <c r="A831" s="199"/>
      <c r="B831" s="214"/>
      <c r="E831" s="212"/>
      <c r="L831" s="213"/>
      <c r="M831" s="174"/>
      <c r="N831" s="213"/>
    </row>
    <row r="832" ht="12.75" customHeight="1">
      <c r="A832" s="199"/>
      <c r="B832" s="214"/>
      <c r="E832" s="212"/>
      <c r="L832" s="213"/>
      <c r="M832" s="174"/>
      <c r="N832" s="213"/>
    </row>
    <row r="833" ht="12.75" customHeight="1">
      <c r="A833" s="199"/>
      <c r="B833" s="214"/>
      <c r="E833" s="212"/>
      <c r="L833" s="213"/>
      <c r="M833" s="174"/>
      <c r="N833" s="213"/>
    </row>
    <row r="834" ht="12.75" customHeight="1">
      <c r="A834" s="199"/>
      <c r="B834" s="214"/>
      <c r="E834" s="212"/>
      <c r="L834" s="213"/>
      <c r="M834" s="174"/>
      <c r="N834" s="213"/>
    </row>
    <row r="835" ht="12.75" customHeight="1">
      <c r="A835" s="199"/>
      <c r="B835" s="214"/>
      <c r="E835" s="212"/>
      <c r="L835" s="213"/>
      <c r="M835" s="174"/>
      <c r="N835" s="213"/>
    </row>
    <row r="836" ht="12.75" customHeight="1">
      <c r="A836" s="199"/>
      <c r="B836" s="214"/>
      <c r="E836" s="212"/>
      <c r="L836" s="213"/>
      <c r="M836" s="174"/>
      <c r="N836" s="213"/>
    </row>
    <row r="837" ht="12.75" customHeight="1">
      <c r="A837" s="199"/>
      <c r="B837" s="214"/>
      <c r="E837" s="212"/>
      <c r="L837" s="213"/>
      <c r="M837" s="174"/>
      <c r="N837" s="213"/>
    </row>
    <row r="838" ht="12.75" customHeight="1">
      <c r="A838" s="199"/>
      <c r="B838" s="214"/>
      <c r="E838" s="212"/>
      <c r="L838" s="213"/>
      <c r="M838" s="174"/>
      <c r="N838" s="213"/>
    </row>
    <row r="839" ht="12.75" customHeight="1">
      <c r="A839" s="199"/>
      <c r="B839" s="214"/>
      <c r="E839" s="212"/>
      <c r="L839" s="213"/>
      <c r="M839" s="174"/>
      <c r="N839" s="213"/>
    </row>
    <row r="840" ht="12.75" customHeight="1">
      <c r="A840" s="199"/>
      <c r="B840" s="214"/>
      <c r="E840" s="212"/>
      <c r="L840" s="213"/>
      <c r="M840" s="174"/>
      <c r="N840" s="213"/>
    </row>
    <row r="841" ht="12.75" customHeight="1">
      <c r="A841" s="199"/>
      <c r="B841" s="214"/>
      <c r="E841" s="212"/>
      <c r="L841" s="213"/>
      <c r="M841" s="174"/>
      <c r="N841" s="213"/>
    </row>
    <row r="842" ht="12.75" customHeight="1">
      <c r="A842" s="199"/>
      <c r="B842" s="214"/>
      <c r="E842" s="212"/>
      <c r="L842" s="213"/>
      <c r="M842" s="174"/>
      <c r="N842" s="213"/>
    </row>
    <row r="843" ht="12.75" customHeight="1">
      <c r="A843" s="199"/>
      <c r="B843" s="214"/>
      <c r="E843" s="212"/>
      <c r="L843" s="213"/>
      <c r="M843" s="174"/>
      <c r="N843" s="213"/>
    </row>
    <row r="844" ht="12.75" customHeight="1">
      <c r="A844" s="199"/>
      <c r="B844" s="214"/>
      <c r="E844" s="212"/>
      <c r="L844" s="213"/>
      <c r="M844" s="174"/>
      <c r="N844" s="213"/>
    </row>
    <row r="845" ht="12.75" customHeight="1">
      <c r="A845" s="199"/>
      <c r="B845" s="214"/>
      <c r="E845" s="212"/>
      <c r="L845" s="213"/>
      <c r="M845" s="174"/>
      <c r="N845" s="213"/>
    </row>
    <row r="846" ht="12.75" customHeight="1">
      <c r="A846" s="199"/>
      <c r="B846" s="214"/>
      <c r="E846" s="212"/>
      <c r="L846" s="213"/>
      <c r="M846" s="174"/>
      <c r="N846" s="213"/>
    </row>
    <row r="847" ht="12.75" customHeight="1">
      <c r="A847" s="199"/>
      <c r="B847" s="214"/>
      <c r="E847" s="212"/>
      <c r="L847" s="213"/>
      <c r="M847" s="174"/>
      <c r="N847" s="213"/>
    </row>
    <row r="848" ht="12.75" customHeight="1">
      <c r="A848" s="199"/>
      <c r="B848" s="214"/>
      <c r="E848" s="212"/>
      <c r="L848" s="213"/>
      <c r="M848" s="174"/>
      <c r="N848" s="213"/>
    </row>
    <row r="849" ht="12.75" customHeight="1">
      <c r="A849" s="199"/>
      <c r="B849" s="214"/>
      <c r="E849" s="212"/>
      <c r="L849" s="213"/>
      <c r="M849" s="174"/>
      <c r="N849" s="213"/>
    </row>
    <row r="850" ht="12.75" customHeight="1">
      <c r="A850" s="199"/>
      <c r="B850" s="214"/>
      <c r="E850" s="212"/>
      <c r="L850" s="213"/>
      <c r="M850" s="174"/>
      <c r="N850" s="213"/>
    </row>
    <row r="851" ht="12.75" customHeight="1">
      <c r="A851" s="199"/>
      <c r="B851" s="214"/>
      <c r="E851" s="212"/>
      <c r="L851" s="213"/>
      <c r="M851" s="174"/>
      <c r="N851" s="213"/>
    </row>
    <row r="852" ht="12.75" customHeight="1">
      <c r="A852" s="199"/>
      <c r="B852" s="214"/>
      <c r="E852" s="212"/>
      <c r="L852" s="213"/>
      <c r="M852" s="174"/>
      <c r="N852" s="213"/>
    </row>
    <row r="853" ht="12.75" customHeight="1">
      <c r="A853" s="199"/>
      <c r="B853" s="214"/>
      <c r="E853" s="212"/>
      <c r="L853" s="213"/>
      <c r="M853" s="174"/>
      <c r="N853" s="213"/>
    </row>
    <row r="854" ht="12.75" customHeight="1">
      <c r="A854" s="199"/>
      <c r="B854" s="214"/>
      <c r="E854" s="212"/>
      <c r="L854" s="213"/>
      <c r="M854" s="174"/>
      <c r="N854" s="213"/>
    </row>
    <row r="855" ht="12.75" customHeight="1">
      <c r="A855" s="199"/>
      <c r="B855" s="214"/>
      <c r="E855" s="212"/>
      <c r="L855" s="213"/>
      <c r="M855" s="174"/>
      <c r="N855" s="213"/>
    </row>
    <row r="856" ht="12.75" customHeight="1">
      <c r="A856" s="199"/>
      <c r="B856" s="214"/>
      <c r="E856" s="212"/>
      <c r="L856" s="213"/>
      <c r="M856" s="174"/>
      <c r="N856" s="213"/>
    </row>
    <row r="857" ht="12.75" customHeight="1">
      <c r="A857" s="199"/>
      <c r="B857" s="214"/>
      <c r="E857" s="212"/>
      <c r="L857" s="213"/>
      <c r="M857" s="174"/>
      <c r="N857" s="213"/>
    </row>
    <row r="858" ht="12.75" customHeight="1">
      <c r="A858" s="199"/>
      <c r="B858" s="214"/>
      <c r="E858" s="212"/>
      <c r="L858" s="213"/>
      <c r="M858" s="174"/>
      <c r="N858" s="213"/>
    </row>
    <row r="859" ht="12.75" customHeight="1">
      <c r="A859" s="199"/>
      <c r="B859" s="214"/>
      <c r="E859" s="212"/>
      <c r="L859" s="213"/>
      <c r="M859" s="174"/>
      <c r="N859" s="213"/>
    </row>
    <row r="860" ht="12.75" customHeight="1">
      <c r="A860" s="199"/>
      <c r="B860" s="214"/>
      <c r="E860" s="212"/>
      <c r="L860" s="213"/>
      <c r="M860" s="174"/>
      <c r="N860" s="213"/>
    </row>
    <row r="861" ht="12.75" customHeight="1">
      <c r="A861" s="199"/>
      <c r="B861" s="214"/>
      <c r="E861" s="212"/>
      <c r="L861" s="213"/>
      <c r="M861" s="174"/>
      <c r="N861" s="213"/>
    </row>
    <row r="862" ht="12.75" customHeight="1">
      <c r="A862" s="199"/>
      <c r="B862" s="214"/>
      <c r="E862" s="212"/>
      <c r="L862" s="213"/>
      <c r="M862" s="174"/>
      <c r="N862" s="213"/>
    </row>
    <row r="863" ht="12.75" customHeight="1">
      <c r="A863" s="199"/>
      <c r="B863" s="214"/>
      <c r="E863" s="212"/>
      <c r="L863" s="213"/>
      <c r="M863" s="174"/>
      <c r="N863" s="213"/>
    </row>
    <row r="864" ht="12.75" customHeight="1">
      <c r="A864" s="199"/>
      <c r="B864" s="214"/>
      <c r="E864" s="212"/>
      <c r="L864" s="213"/>
      <c r="M864" s="174"/>
      <c r="N864" s="213"/>
    </row>
    <row r="865" ht="12.75" customHeight="1">
      <c r="A865" s="199"/>
      <c r="B865" s="214"/>
      <c r="E865" s="212"/>
      <c r="L865" s="213"/>
      <c r="M865" s="174"/>
      <c r="N865" s="213"/>
    </row>
    <row r="866" ht="12.75" customHeight="1">
      <c r="A866" s="199"/>
      <c r="B866" s="214"/>
      <c r="E866" s="212"/>
      <c r="L866" s="213"/>
      <c r="M866" s="174"/>
      <c r="N866" s="213"/>
    </row>
    <row r="867" ht="12.75" customHeight="1">
      <c r="A867" s="199"/>
      <c r="B867" s="214"/>
      <c r="E867" s="212"/>
      <c r="L867" s="213"/>
      <c r="M867" s="174"/>
      <c r="N867" s="213"/>
    </row>
    <row r="868" ht="12.75" customHeight="1">
      <c r="A868" s="199"/>
      <c r="B868" s="214"/>
      <c r="E868" s="212"/>
      <c r="L868" s="213"/>
      <c r="M868" s="174"/>
      <c r="N868" s="213"/>
    </row>
    <row r="869" ht="12.75" customHeight="1">
      <c r="A869" s="199"/>
      <c r="B869" s="214"/>
      <c r="E869" s="212"/>
      <c r="L869" s="213"/>
      <c r="M869" s="174"/>
      <c r="N869" s="213"/>
    </row>
    <row r="870" ht="12.75" customHeight="1">
      <c r="A870" s="199"/>
      <c r="B870" s="214"/>
      <c r="E870" s="212"/>
      <c r="L870" s="213"/>
      <c r="M870" s="174"/>
      <c r="N870" s="213"/>
    </row>
    <row r="871" ht="12.75" customHeight="1">
      <c r="A871" s="199"/>
      <c r="B871" s="214"/>
      <c r="E871" s="212"/>
      <c r="L871" s="213"/>
      <c r="M871" s="174"/>
      <c r="N871" s="213"/>
    </row>
    <row r="872" ht="12.75" customHeight="1">
      <c r="A872" s="199"/>
      <c r="B872" s="214"/>
      <c r="E872" s="212"/>
      <c r="L872" s="213"/>
      <c r="M872" s="174"/>
      <c r="N872" s="213"/>
    </row>
    <row r="873" ht="12.75" customHeight="1">
      <c r="A873" s="199"/>
      <c r="B873" s="214"/>
      <c r="E873" s="212"/>
      <c r="L873" s="213"/>
      <c r="M873" s="174"/>
      <c r="N873" s="213"/>
    </row>
    <row r="874" ht="12.75" customHeight="1">
      <c r="A874" s="199"/>
      <c r="B874" s="214"/>
      <c r="E874" s="212"/>
      <c r="L874" s="213"/>
      <c r="M874" s="174"/>
      <c r="N874" s="213"/>
    </row>
    <row r="875" ht="12.75" customHeight="1">
      <c r="A875" s="199"/>
      <c r="B875" s="214"/>
      <c r="E875" s="212"/>
      <c r="L875" s="213"/>
      <c r="M875" s="174"/>
      <c r="N875" s="213"/>
    </row>
    <row r="876" ht="12.75" customHeight="1">
      <c r="A876" s="199"/>
      <c r="B876" s="214"/>
      <c r="E876" s="212"/>
      <c r="L876" s="213"/>
      <c r="M876" s="174"/>
      <c r="N876" s="213"/>
    </row>
    <row r="877" ht="12.75" customHeight="1">
      <c r="A877" s="199"/>
      <c r="B877" s="214"/>
      <c r="E877" s="212"/>
      <c r="L877" s="213"/>
      <c r="M877" s="174"/>
      <c r="N877" s="213"/>
    </row>
    <row r="878" ht="12.75" customHeight="1">
      <c r="A878" s="199"/>
      <c r="B878" s="214"/>
      <c r="E878" s="212"/>
      <c r="L878" s="213"/>
      <c r="M878" s="174"/>
      <c r="N878" s="213"/>
    </row>
    <row r="879" ht="12.75" customHeight="1">
      <c r="A879" s="199"/>
      <c r="B879" s="214"/>
      <c r="E879" s="212"/>
      <c r="L879" s="213"/>
      <c r="M879" s="174"/>
      <c r="N879" s="213"/>
    </row>
    <row r="880" ht="12.75" customHeight="1">
      <c r="A880" s="199"/>
      <c r="B880" s="214"/>
      <c r="E880" s="212"/>
      <c r="L880" s="213"/>
      <c r="M880" s="174"/>
      <c r="N880" s="213"/>
    </row>
    <row r="881" ht="12.75" customHeight="1">
      <c r="A881" s="199"/>
      <c r="B881" s="214"/>
      <c r="E881" s="212"/>
      <c r="L881" s="213"/>
      <c r="M881" s="174"/>
      <c r="N881" s="213"/>
    </row>
    <row r="882" ht="12.75" customHeight="1">
      <c r="A882" s="199"/>
      <c r="B882" s="214"/>
      <c r="E882" s="212"/>
      <c r="L882" s="213"/>
      <c r="M882" s="174"/>
      <c r="N882" s="213"/>
    </row>
    <row r="883" ht="12.75" customHeight="1">
      <c r="A883" s="199"/>
      <c r="B883" s="214"/>
      <c r="E883" s="212"/>
      <c r="L883" s="213"/>
      <c r="M883" s="174"/>
      <c r="N883" s="213"/>
    </row>
    <row r="884" ht="12.75" customHeight="1">
      <c r="A884" s="199"/>
      <c r="B884" s="214"/>
      <c r="E884" s="212"/>
      <c r="L884" s="213"/>
      <c r="M884" s="174"/>
      <c r="N884" s="213"/>
    </row>
    <row r="885" ht="12.75" customHeight="1">
      <c r="A885" s="199"/>
      <c r="B885" s="214"/>
      <c r="E885" s="212"/>
      <c r="L885" s="213"/>
      <c r="M885" s="174"/>
      <c r="N885" s="213"/>
    </row>
    <row r="886" ht="12.75" customHeight="1">
      <c r="A886" s="199"/>
      <c r="B886" s="214"/>
      <c r="E886" s="212"/>
      <c r="L886" s="213"/>
      <c r="M886" s="174"/>
      <c r="N886" s="213"/>
    </row>
    <row r="887" ht="12.75" customHeight="1">
      <c r="A887" s="199"/>
      <c r="B887" s="214"/>
      <c r="E887" s="212"/>
      <c r="L887" s="213"/>
      <c r="M887" s="174"/>
      <c r="N887" s="213"/>
    </row>
    <row r="888" ht="12.75" customHeight="1">
      <c r="A888" s="199"/>
      <c r="B888" s="214"/>
      <c r="E888" s="212"/>
      <c r="L888" s="213"/>
      <c r="M888" s="174"/>
      <c r="N888" s="213"/>
    </row>
    <row r="889" ht="12.75" customHeight="1">
      <c r="A889" s="199"/>
      <c r="B889" s="214"/>
      <c r="E889" s="212"/>
      <c r="L889" s="213"/>
      <c r="M889" s="174"/>
      <c r="N889" s="213"/>
    </row>
    <row r="890" ht="12.75" customHeight="1">
      <c r="A890" s="199"/>
      <c r="B890" s="214"/>
      <c r="E890" s="212"/>
      <c r="L890" s="213"/>
      <c r="M890" s="174"/>
      <c r="N890" s="213"/>
    </row>
    <row r="891" ht="12.75" customHeight="1">
      <c r="A891" s="199"/>
      <c r="B891" s="214"/>
      <c r="E891" s="212"/>
      <c r="L891" s="213"/>
      <c r="M891" s="174"/>
      <c r="N891" s="213"/>
    </row>
    <row r="892" ht="12.75" customHeight="1">
      <c r="A892" s="199"/>
      <c r="B892" s="214"/>
      <c r="E892" s="212"/>
      <c r="L892" s="213"/>
      <c r="M892" s="174"/>
      <c r="N892" s="213"/>
    </row>
    <row r="893" ht="12.75" customHeight="1">
      <c r="A893" s="199"/>
      <c r="B893" s="214"/>
      <c r="E893" s="212"/>
      <c r="L893" s="213"/>
      <c r="M893" s="174"/>
      <c r="N893" s="213"/>
    </row>
    <row r="894" ht="12.75" customHeight="1">
      <c r="A894" s="199"/>
      <c r="B894" s="214"/>
      <c r="E894" s="212"/>
      <c r="L894" s="213"/>
      <c r="M894" s="174"/>
      <c r="N894" s="213"/>
    </row>
    <row r="895" ht="12.75" customHeight="1">
      <c r="A895" s="199"/>
      <c r="B895" s="214"/>
      <c r="E895" s="212"/>
      <c r="L895" s="213"/>
      <c r="M895" s="174"/>
      <c r="N895" s="213"/>
    </row>
    <row r="896" ht="12.75" customHeight="1">
      <c r="A896" s="199"/>
      <c r="B896" s="214"/>
      <c r="E896" s="212"/>
      <c r="L896" s="213"/>
      <c r="M896" s="174"/>
      <c r="N896" s="213"/>
    </row>
    <row r="897" ht="12.75" customHeight="1">
      <c r="A897" s="199"/>
      <c r="B897" s="214"/>
      <c r="E897" s="212"/>
      <c r="L897" s="213"/>
      <c r="M897" s="174"/>
      <c r="N897" s="213"/>
    </row>
    <row r="898" ht="12.75" customHeight="1">
      <c r="A898" s="199"/>
      <c r="B898" s="214"/>
      <c r="E898" s="212"/>
      <c r="L898" s="213"/>
      <c r="M898" s="174"/>
      <c r="N898" s="213"/>
    </row>
    <row r="899" ht="12.75" customHeight="1">
      <c r="A899" s="199"/>
      <c r="B899" s="214"/>
      <c r="E899" s="212"/>
      <c r="L899" s="213"/>
      <c r="M899" s="174"/>
      <c r="N899" s="213"/>
    </row>
    <row r="900" ht="12.75" customHeight="1">
      <c r="A900" s="199"/>
      <c r="B900" s="214"/>
      <c r="E900" s="212"/>
      <c r="L900" s="213"/>
      <c r="M900" s="174"/>
      <c r="N900" s="213"/>
    </row>
    <row r="901" ht="12.75" customHeight="1">
      <c r="A901" s="199"/>
      <c r="B901" s="214"/>
      <c r="E901" s="212"/>
      <c r="L901" s="213"/>
      <c r="M901" s="174"/>
      <c r="N901" s="213"/>
    </row>
    <row r="902" ht="12.75" customHeight="1">
      <c r="A902" s="199"/>
      <c r="B902" s="214"/>
      <c r="E902" s="212"/>
      <c r="L902" s="213"/>
      <c r="M902" s="174"/>
      <c r="N902" s="213"/>
    </row>
    <row r="903" ht="12.75" customHeight="1">
      <c r="A903" s="199"/>
      <c r="B903" s="214"/>
      <c r="E903" s="212"/>
      <c r="L903" s="213"/>
      <c r="M903" s="174"/>
      <c r="N903" s="213"/>
    </row>
    <row r="904" ht="12.75" customHeight="1">
      <c r="A904" s="199"/>
      <c r="B904" s="214"/>
      <c r="E904" s="212"/>
      <c r="L904" s="213"/>
      <c r="M904" s="174"/>
      <c r="N904" s="213"/>
    </row>
    <row r="905" ht="12.75" customHeight="1">
      <c r="A905" s="199"/>
      <c r="B905" s="214"/>
      <c r="E905" s="212"/>
      <c r="L905" s="213"/>
      <c r="M905" s="174"/>
      <c r="N905" s="213"/>
    </row>
    <row r="906" ht="12.75" customHeight="1">
      <c r="A906" s="199"/>
      <c r="B906" s="214"/>
      <c r="E906" s="212"/>
      <c r="L906" s="213"/>
      <c r="M906" s="174"/>
      <c r="N906" s="213"/>
    </row>
    <row r="907" ht="12.75" customHeight="1">
      <c r="A907" s="199"/>
      <c r="B907" s="214"/>
      <c r="E907" s="212"/>
      <c r="L907" s="213"/>
      <c r="M907" s="174"/>
      <c r="N907" s="213"/>
    </row>
    <row r="908" ht="12.75" customHeight="1">
      <c r="A908" s="199"/>
      <c r="B908" s="214"/>
      <c r="E908" s="212"/>
      <c r="L908" s="213"/>
      <c r="M908" s="174"/>
      <c r="N908" s="213"/>
    </row>
    <row r="909" ht="12.75" customHeight="1">
      <c r="A909" s="199"/>
      <c r="B909" s="214"/>
      <c r="E909" s="212"/>
      <c r="L909" s="213"/>
      <c r="M909" s="174"/>
      <c r="N909" s="213"/>
    </row>
    <row r="910" ht="12.75" customHeight="1">
      <c r="A910" s="199"/>
      <c r="B910" s="214"/>
      <c r="E910" s="212"/>
      <c r="L910" s="213"/>
      <c r="M910" s="174"/>
      <c r="N910" s="213"/>
    </row>
    <row r="911" ht="12.75" customHeight="1">
      <c r="A911" s="199"/>
      <c r="B911" s="214"/>
      <c r="E911" s="212"/>
      <c r="L911" s="213"/>
      <c r="M911" s="174"/>
      <c r="N911" s="213"/>
    </row>
    <row r="912" ht="12.75" customHeight="1">
      <c r="A912" s="199"/>
      <c r="B912" s="214"/>
      <c r="E912" s="212"/>
      <c r="L912" s="213"/>
      <c r="M912" s="174"/>
      <c r="N912" s="213"/>
    </row>
    <row r="913" ht="12.75" customHeight="1">
      <c r="A913" s="199"/>
      <c r="B913" s="214"/>
      <c r="E913" s="212"/>
      <c r="L913" s="213"/>
      <c r="M913" s="174"/>
      <c r="N913" s="213"/>
    </row>
    <row r="914" ht="12.75" customHeight="1">
      <c r="A914" s="199"/>
      <c r="B914" s="214"/>
      <c r="E914" s="212"/>
      <c r="L914" s="213"/>
      <c r="M914" s="174"/>
      <c r="N914" s="213"/>
    </row>
    <row r="915" ht="12.75" customHeight="1">
      <c r="A915" s="199"/>
      <c r="B915" s="214"/>
      <c r="E915" s="212"/>
      <c r="L915" s="213"/>
      <c r="M915" s="174"/>
      <c r="N915" s="213"/>
    </row>
    <row r="916" ht="12.75" customHeight="1">
      <c r="A916" s="199"/>
      <c r="B916" s="214"/>
      <c r="E916" s="212"/>
      <c r="L916" s="213"/>
      <c r="M916" s="174"/>
      <c r="N916" s="213"/>
    </row>
    <row r="917" ht="12.75" customHeight="1">
      <c r="A917" s="199"/>
      <c r="B917" s="214"/>
      <c r="E917" s="212"/>
      <c r="L917" s="213"/>
      <c r="M917" s="174"/>
      <c r="N917" s="213"/>
    </row>
    <row r="918" ht="12.75" customHeight="1">
      <c r="A918" s="199"/>
      <c r="B918" s="214"/>
      <c r="E918" s="212"/>
      <c r="L918" s="213"/>
      <c r="M918" s="174"/>
      <c r="N918" s="213"/>
    </row>
    <row r="919" ht="12.75" customHeight="1">
      <c r="A919" s="199"/>
      <c r="B919" s="214"/>
      <c r="E919" s="212"/>
      <c r="L919" s="213"/>
      <c r="M919" s="174"/>
      <c r="N919" s="213"/>
    </row>
    <row r="920" ht="12.75" customHeight="1">
      <c r="A920" s="199"/>
      <c r="B920" s="214"/>
      <c r="E920" s="212"/>
      <c r="L920" s="213"/>
      <c r="M920" s="174"/>
      <c r="N920" s="213"/>
    </row>
    <row r="921" ht="12.75" customHeight="1">
      <c r="A921" s="199"/>
      <c r="B921" s="214"/>
      <c r="E921" s="212"/>
      <c r="L921" s="213"/>
      <c r="M921" s="174"/>
      <c r="N921" s="213"/>
    </row>
    <row r="922" ht="12.75" customHeight="1">
      <c r="A922" s="199"/>
      <c r="B922" s="214"/>
      <c r="E922" s="212"/>
      <c r="L922" s="213"/>
      <c r="M922" s="174"/>
      <c r="N922" s="213"/>
    </row>
    <row r="923" ht="12.75" customHeight="1">
      <c r="A923" s="199"/>
      <c r="B923" s="214"/>
      <c r="E923" s="212"/>
      <c r="L923" s="213"/>
      <c r="M923" s="174"/>
      <c r="N923" s="213"/>
    </row>
    <row r="924" ht="12.75" customHeight="1">
      <c r="A924" s="199"/>
      <c r="B924" s="214"/>
      <c r="E924" s="212"/>
      <c r="L924" s="213"/>
      <c r="M924" s="174"/>
      <c r="N924" s="213"/>
    </row>
    <row r="925" ht="12.75" customHeight="1">
      <c r="A925" s="199"/>
      <c r="B925" s="214"/>
      <c r="E925" s="212"/>
      <c r="L925" s="213"/>
      <c r="M925" s="174"/>
      <c r="N925" s="213"/>
    </row>
    <row r="926" ht="12.75" customHeight="1">
      <c r="A926" s="199"/>
      <c r="B926" s="214"/>
      <c r="E926" s="212"/>
      <c r="L926" s="213"/>
      <c r="M926" s="174"/>
      <c r="N926" s="213"/>
    </row>
    <row r="927" ht="12.75" customHeight="1">
      <c r="A927" s="199"/>
      <c r="B927" s="214"/>
      <c r="E927" s="212"/>
      <c r="L927" s="213"/>
      <c r="M927" s="174"/>
      <c r="N927" s="213"/>
    </row>
    <row r="928" ht="12.75" customHeight="1">
      <c r="A928" s="199"/>
      <c r="B928" s="214"/>
      <c r="E928" s="212"/>
      <c r="L928" s="213"/>
      <c r="M928" s="174"/>
      <c r="N928" s="213"/>
    </row>
    <row r="929" ht="12.75" customHeight="1">
      <c r="A929" s="199"/>
      <c r="B929" s="214"/>
      <c r="E929" s="212"/>
      <c r="L929" s="213"/>
      <c r="M929" s="174"/>
      <c r="N929" s="213"/>
    </row>
    <row r="930" ht="12.75" customHeight="1">
      <c r="A930" s="199"/>
      <c r="B930" s="214"/>
      <c r="E930" s="212"/>
      <c r="L930" s="213"/>
      <c r="M930" s="174"/>
      <c r="N930" s="213"/>
    </row>
    <row r="931" ht="12.75" customHeight="1">
      <c r="A931" s="199"/>
      <c r="B931" s="214"/>
      <c r="E931" s="212"/>
      <c r="L931" s="213"/>
      <c r="M931" s="174"/>
      <c r="N931" s="213"/>
    </row>
    <row r="932" ht="12.75" customHeight="1">
      <c r="A932" s="199"/>
      <c r="B932" s="214"/>
      <c r="E932" s="212"/>
      <c r="L932" s="213"/>
      <c r="M932" s="174"/>
      <c r="N932" s="213"/>
    </row>
    <row r="933" ht="12.75" customHeight="1">
      <c r="A933" s="199"/>
      <c r="B933" s="214"/>
      <c r="E933" s="212"/>
      <c r="L933" s="213"/>
      <c r="M933" s="174"/>
      <c r="N933" s="213"/>
    </row>
    <row r="934" ht="12.75" customHeight="1">
      <c r="A934" s="199"/>
      <c r="B934" s="214"/>
      <c r="E934" s="212"/>
      <c r="L934" s="213"/>
      <c r="M934" s="174"/>
      <c r="N934" s="213"/>
    </row>
    <row r="935" ht="12.75" customHeight="1">
      <c r="A935" s="199"/>
      <c r="B935" s="214"/>
      <c r="E935" s="212"/>
      <c r="L935" s="213"/>
      <c r="M935" s="174"/>
      <c r="N935" s="213"/>
    </row>
    <row r="936" ht="12.75" customHeight="1">
      <c r="A936" s="199"/>
      <c r="B936" s="214"/>
      <c r="E936" s="212"/>
      <c r="L936" s="213"/>
      <c r="M936" s="174"/>
      <c r="N936" s="213"/>
    </row>
    <row r="937" ht="12.75" customHeight="1">
      <c r="A937" s="199"/>
      <c r="B937" s="214"/>
      <c r="E937" s="212"/>
      <c r="L937" s="213"/>
      <c r="M937" s="174"/>
      <c r="N937" s="213"/>
    </row>
    <row r="938" ht="12.75" customHeight="1">
      <c r="A938" s="199"/>
      <c r="B938" s="214"/>
      <c r="E938" s="212"/>
      <c r="L938" s="213"/>
      <c r="M938" s="174"/>
      <c r="N938" s="213"/>
    </row>
    <row r="939" ht="12.75" customHeight="1">
      <c r="A939" s="199"/>
      <c r="B939" s="214"/>
      <c r="E939" s="212"/>
      <c r="L939" s="213"/>
      <c r="M939" s="174"/>
      <c r="N939" s="213"/>
    </row>
    <row r="940" ht="12.75" customHeight="1">
      <c r="A940" s="199"/>
      <c r="B940" s="214"/>
      <c r="E940" s="212"/>
      <c r="L940" s="213"/>
      <c r="M940" s="174"/>
      <c r="N940" s="213"/>
    </row>
    <row r="941" ht="12.75" customHeight="1">
      <c r="A941" s="199"/>
      <c r="B941" s="214"/>
      <c r="E941" s="212"/>
      <c r="L941" s="213"/>
      <c r="M941" s="174"/>
      <c r="N941" s="213"/>
    </row>
    <row r="942" ht="12.75" customHeight="1">
      <c r="A942" s="199"/>
      <c r="B942" s="214"/>
      <c r="E942" s="212"/>
      <c r="L942" s="213"/>
      <c r="M942" s="174"/>
      <c r="N942" s="213"/>
    </row>
    <row r="943" ht="12.75" customHeight="1">
      <c r="A943" s="199"/>
      <c r="B943" s="214"/>
      <c r="E943" s="212"/>
      <c r="L943" s="213"/>
      <c r="M943" s="174"/>
      <c r="N943" s="213"/>
    </row>
    <row r="944" ht="12.75" customHeight="1">
      <c r="A944" s="199"/>
      <c r="B944" s="214"/>
      <c r="E944" s="212"/>
      <c r="L944" s="213"/>
      <c r="M944" s="174"/>
      <c r="N944" s="213"/>
    </row>
    <row r="945" ht="12.75" customHeight="1">
      <c r="A945" s="199"/>
      <c r="B945" s="214"/>
      <c r="E945" s="212"/>
      <c r="L945" s="213"/>
      <c r="M945" s="174"/>
      <c r="N945" s="213"/>
    </row>
    <row r="946" ht="12.75" customHeight="1">
      <c r="A946" s="199"/>
      <c r="B946" s="214"/>
      <c r="E946" s="212"/>
      <c r="L946" s="213"/>
      <c r="M946" s="174"/>
      <c r="N946" s="213"/>
    </row>
    <row r="947" ht="12.75" customHeight="1">
      <c r="A947" s="199"/>
      <c r="B947" s="214"/>
      <c r="E947" s="212"/>
      <c r="L947" s="213"/>
      <c r="M947" s="174"/>
      <c r="N947" s="213"/>
    </row>
    <row r="948" ht="12.75" customHeight="1">
      <c r="A948" s="199"/>
      <c r="B948" s="214"/>
      <c r="E948" s="212"/>
      <c r="L948" s="213"/>
      <c r="M948" s="174"/>
      <c r="N948" s="213"/>
    </row>
    <row r="949" ht="12.75" customHeight="1">
      <c r="A949" s="199"/>
      <c r="B949" s="214"/>
      <c r="E949" s="212"/>
      <c r="L949" s="213"/>
      <c r="M949" s="174"/>
      <c r="N949" s="213"/>
    </row>
    <row r="950" ht="12.75" customHeight="1">
      <c r="A950" s="199"/>
      <c r="B950" s="214"/>
      <c r="E950" s="212"/>
      <c r="L950" s="213"/>
      <c r="M950" s="174"/>
      <c r="N950" s="213"/>
    </row>
    <row r="951" ht="12.75" customHeight="1">
      <c r="A951" s="199"/>
      <c r="B951" s="214"/>
      <c r="E951" s="212"/>
      <c r="L951" s="213"/>
      <c r="M951" s="174"/>
      <c r="N951" s="213"/>
    </row>
    <row r="952" ht="12.75" customHeight="1">
      <c r="A952" s="199"/>
      <c r="B952" s="214"/>
      <c r="E952" s="212"/>
      <c r="L952" s="213"/>
      <c r="M952" s="174"/>
      <c r="N952" s="213"/>
    </row>
    <row r="953" ht="12.75" customHeight="1">
      <c r="A953" s="199"/>
      <c r="B953" s="214"/>
      <c r="E953" s="212"/>
      <c r="L953" s="213"/>
      <c r="M953" s="174"/>
      <c r="N953" s="213"/>
    </row>
    <row r="954" ht="12.75" customHeight="1">
      <c r="A954" s="199"/>
      <c r="B954" s="214"/>
      <c r="E954" s="212"/>
      <c r="L954" s="213"/>
      <c r="M954" s="174"/>
      <c r="N954" s="213"/>
    </row>
    <row r="955" ht="12.75" customHeight="1">
      <c r="A955" s="199"/>
      <c r="B955" s="214"/>
      <c r="E955" s="212"/>
      <c r="L955" s="213"/>
      <c r="M955" s="174"/>
      <c r="N955" s="213"/>
    </row>
    <row r="956" ht="12.75" customHeight="1">
      <c r="A956" s="199"/>
      <c r="B956" s="214"/>
      <c r="E956" s="212"/>
      <c r="L956" s="213"/>
      <c r="M956" s="174"/>
      <c r="N956" s="213"/>
    </row>
    <row r="957" ht="12.75" customHeight="1">
      <c r="A957" s="199"/>
      <c r="B957" s="214"/>
      <c r="E957" s="212"/>
      <c r="L957" s="213"/>
      <c r="M957" s="174"/>
      <c r="N957" s="213"/>
    </row>
    <row r="958" ht="12.75" customHeight="1">
      <c r="A958" s="199"/>
      <c r="B958" s="214"/>
      <c r="E958" s="212"/>
      <c r="L958" s="213"/>
      <c r="M958" s="174"/>
      <c r="N958" s="213"/>
    </row>
    <row r="959" ht="12.75" customHeight="1">
      <c r="A959" s="199"/>
      <c r="B959" s="214"/>
      <c r="E959" s="212"/>
      <c r="L959" s="213"/>
      <c r="M959" s="174"/>
      <c r="N959" s="213"/>
    </row>
    <row r="960" ht="12.75" customHeight="1">
      <c r="A960" s="199"/>
      <c r="B960" s="214"/>
      <c r="E960" s="212"/>
      <c r="L960" s="213"/>
      <c r="M960" s="174"/>
      <c r="N960" s="213"/>
    </row>
    <row r="961" ht="12.75" customHeight="1">
      <c r="A961" s="199"/>
      <c r="B961" s="214"/>
      <c r="E961" s="212"/>
      <c r="L961" s="213"/>
      <c r="M961" s="174"/>
      <c r="N961" s="213"/>
    </row>
    <row r="962" ht="12.75" customHeight="1">
      <c r="A962" s="199"/>
      <c r="B962" s="214"/>
      <c r="E962" s="212"/>
      <c r="L962" s="213"/>
      <c r="M962" s="174"/>
      <c r="N962" s="213"/>
    </row>
    <row r="963" ht="12.75" customHeight="1">
      <c r="A963" s="199"/>
      <c r="B963" s="214"/>
      <c r="E963" s="212"/>
      <c r="L963" s="213"/>
      <c r="M963" s="174"/>
      <c r="N963" s="213"/>
    </row>
    <row r="964" ht="12.75" customHeight="1">
      <c r="A964" s="199"/>
      <c r="B964" s="214"/>
      <c r="E964" s="212"/>
      <c r="L964" s="213"/>
      <c r="M964" s="174"/>
      <c r="N964" s="213"/>
    </row>
    <row r="965" ht="12.75" customHeight="1">
      <c r="A965" s="199"/>
      <c r="B965" s="214"/>
      <c r="E965" s="212"/>
      <c r="L965" s="213"/>
      <c r="M965" s="174"/>
      <c r="N965" s="213"/>
    </row>
    <row r="966" ht="12.75" customHeight="1">
      <c r="A966" s="199"/>
      <c r="B966" s="214"/>
      <c r="E966" s="212"/>
      <c r="L966" s="213"/>
      <c r="M966" s="174"/>
      <c r="N966" s="213"/>
    </row>
    <row r="967" ht="12.75" customHeight="1">
      <c r="A967" s="199"/>
      <c r="B967" s="214"/>
      <c r="E967" s="212"/>
      <c r="L967" s="213"/>
      <c r="M967" s="174"/>
      <c r="N967" s="213"/>
    </row>
    <row r="968" ht="12.75" customHeight="1">
      <c r="A968" s="199"/>
      <c r="B968" s="214"/>
      <c r="E968" s="212"/>
      <c r="L968" s="213"/>
      <c r="M968" s="174"/>
      <c r="N968" s="213"/>
    </row>
    <row r="969" ht="12.75" customHeight="1">
      <c r="A969" s="199"/>
      <c r="B969" s="214"/>
      <c r="E969" s="212"/>
      <c r="L969" s="213"/>
      <c r="M969" s="174"/>
      <c r="N969" s="213"/>
    </row>
    <row r="970" ht="12.75" customHeight="1">
      <c r="A970" s="199"/>
      <c r="B970" s="214"/>
      <c r="E970" s="212"/>
      <c r="L970" s="213"/>
      <c r="M970" s="174"/>
      <c r="N970" s="213"/>
    </row>
    <row r="971" ht="12.75" customHeight="1">
      <c r="A971" s="199"/>
      <c r="B971" s="214"/>
      <c r="E971" s="212"/>
      <c r="L971" s="213"/>
      <c r="M971" s="174"/>
      <c r="N971" s="213"/>
    </row>
    <row r="972" ht="12.75" customHeight="1">
      <c r="A972" s="199"/>
      <c r="B972" s="214"/>
      <c r="E972" s="212"/>
      <c r="L972" s="213"/>
      <c r="M972" s="174"/>
      <c r="N972" s="213"/>
    </row>
    <row r="973" ht="12.75" customHeight="1">
      <c r="A973" s="199"/>
      <c r="B973" s="214"/>
      <c r="E973" s="212"/>
      <c r="L973" s="213"/>
      <c r="M973" s="174"/>
      <c r="N973" s="213"/>
    </row>
    <row r="974" ht="12.75" customHeight="1">
      <c r="A974" s="199"/>
      <c r="B974" s="214"/>
      <c r="E974" s="212"/>
      <c r="L974" s="213"/>
      <c r="M974" s="174"/>
      <c r="N974" s="213"/>
    </row>
    <row r="975" ht="12.75" customHeight="1">
      <c r="A975" s="199"/>
      <c r="B975" s="214"/>
      <c r="E975" s="212"/>
      <c r="L975" s="213"/>
      <c r="M975" s="174"/>
      <c r="N975" s="213"/>
    </row>
    <row r="976" ht="12.75" customHeight="1">
      <c r="A976" s="199"/>
      <c r="B976" s="214"/>
      <c r="E976" s="212"/>
      <c r="L976" s="213"/>
      <c r="M976" s="174"/>
      <c r="N976" s="213"/>
    </row>
    <row r="977" ht="12.75" customHeight="1">
      <c r="A977" s="199"/>
      <c r="B977" s="214"/>
      <c r="E977" s="212"/>
      <c r="L977" s="213"/>
      <c r="M977" s="174"/>
      <c r="N977" s="213"/>
    </row>
    <row r="978" ht="12.75" customHeight="1">
      <c r="A978" s="199"/>
      <c r="B978" s="214"/>
      <c r="E978" s="212"/>
      <c r="L978" s="213"/>
      <c r="M978" s="174"/>
      <c r="N978" s="213"/>
    </row>
    <row r="979" ht="12.75" customHeight="1">
      <c r="A979" s="199"/>
      <c r="B979" s="214"/>
      <c r="E979" s="212"/>
      <c r="L979" s="213"/>
      <c r="M979" s="174"/>
      <c r="N979" s="213"/>
    </row>
    <row r="980" ht="12.75" customHeight="1">
      <c r="A980" s="199"/>
      <c r="B980" s="214"/>
      <c r="E980" s="212"/>
      <c r="L980" s="213"/>
      <c r="M980" s="174"/>
      <c r="N980" s="213"/>
    </row>
    <row r="981" ht="12.75" customHeight="1">
      <c r="A981" s="199"/>
      <c r="B981" s="214"/>
      <c r="E981" s="212"/>
      <c r="L981" s="213"/>
      <c r="M981" s="174"/>
      <c r="N981" s="213"/>
    </row>
    <row r="982" ht="12.75" customHeight="1">
      <c r="A982" s="199"/>
      <c r="B982" s="214"/>
      <c r="E982" s="212"/>
      <c r="L982" s="213"/>
      <c r="M982" s="174"/>
      <c r="N982" s="213"/>
    </row>
    <row r="983" ht="12.75" customHeight="1">
      <c r="A983" s="199"/>
      <c r="B983" s="214"/>
      <c r="E983" s="212"/>
      <c r="L983" s="213"/>
      <c r="M983" s="174"/>
      <c r="N983" s="213"/>
    </row>
    <row r="984" ht="12.75" customHeight="1">
      <c r="A984" s="199"/>
      <c r="B984" s="214"/>
      <c r="E984" s="212"/>
      <c r="L984" s="213"/>
      <c r="M984" s="174"/>
      <c r="N984" s="213"/>
    </row>
    <row r="985" ht="12.75" customHeight="1">
      <c r="A985" s="199"/>
      <c r="B985" s="214"/>
      <c r="E985" s="212"/>
      <c r="L985" s="213"/>
      <c r="M985" s="174"/>
      <c r="N985" s="213"/>
    </row>
    <row r="986" ht="12.75" customHeight="1">
      <c r="A986" s="199"/>
      <c r="B986" s="214"/>
      <c r="E986" s="212"/>
      <c r="L986" s="213"/>
      <c r="M986" s="174"/>
      <c r="N986" s="213"/>
    </row>
    <row r="987" ht="12.75" customHeight="1">
      <c r="A987" s="199"/>
      <c r="B987" s="214"/>
      <c r="E987" s="212"/>
      <c r="L987" s="213"/>
      <c r="M987" s="174"/>
      <c r="N987" s="213"/>
    </row>
    <row r="988" ht="12.75" customHeight="1">
      <c r="A988" s="199"/>
      <c r="B988" s="214"/>
      <c r="E988" s="212"/>
      <c r="L988" s="213"/>
      <c r="M988" s="174"/>
      <c r="N988" s="213"/>
    </row>
    <row r="989" ht="12.75" customHeight="1">
      <c r="A989" s="199"/>
      <c r="B989" s="214"/>
      <c r="E989" s="212"/>
      <c r="L989" s="213"/>
      <c r="M989" s="174"/>
      <c r="N989" s="213"/>
    </row>
    <row r="990" ht="12.75" customHeight="1">
      <c r="A990" s="199"/>
      <c r="B990" s="214"/>
      <c r="E990" s="212"/>
      <c r="L990" s="213"/>
      <c r="M990" s="174"/>
      <c r="N990" s="213"/>
    </row>
    <row r="991" ht="12.75" customHeight="1">
      <c r="A991" s="199"/>
      <c r="B991" s="214"/>
      <c r="E991" s="212"/>
      <c r="L991" s="213"/>
      <c r="M991" s="174"/>
      <c r="N991" s="213"/>
    </row>
    <row r="992" ht="12.75" customHeight="1">
      <c r="A992" s="199"/>
      <c r="B992" s="214"/>
      <c r="E992" s="212"/>
      <c r="L992" s="213"/>
      <c r="M992" s="174"/>
      <c r="N992" s="213"/>
    </row>
    <row r="993" ht="12.75" customHeight="1">
      <c r="A993" s="199"/>
      <c r="B993" s="214"/>
      <c r="E993" s="212"/>
      <c r="L993" s="213"/>
      <c r="M993" s="174"/>
      <c r="N993" s="213"/>
    </row>
    <row r="994" ht="12.75" customHeight="1">
      <c r="A994" s="199"/>
      <c r="B994" s="214"/>
      <c r="E994" s="212"/>
      <c r="L994" s="213"/>
      <c r="M994" s="174"/>
      <c r="N994" s="213"/>
    </row>
    <row r="995" ht="12.75" customHeight="1">
      <c r="A995" s="199"/>
      <c r="B995" s="214"/>
      <c r="E995" s="212"/>
      <c r="L995" s="213"/>
      <c r="M995" s="174"/>
      <c r="N995" s="213"/>
    </row>
    <row r="996" ht="12.75" customHeight="1">
      <c r="A996" s="199"/>
      <c r="B996" s="214"/>
      <c r="E996" s="212"/>
      <c r="L996" s="213"/>
      <c r="M996" s="174"/>
      <c r="N996" s="213"/>
    </row>
    <row r="997" ht="12.75" customHeight="1">
      <c r="A997" s="199"/>
      <c r="B997" s="214"/>
      <c r="E997" s="212"/>
      <c r="L997" s="213"/>
      <c r="M997" s="174"/>
      <c r="N997" s="213"/>
    </row>
    <row r="998" ht="12.75" customHeight="1">
      <c r="A998" s="199"/>
      <c r="B998" s="214"/>
      <c r="E998" s="212"/>
      <c r="L998" s="213"/>
      <c r="M998" s="174"/>
      <c r="N998" s="213"/>
    </row>
  </sheetData>
  <mergeCells count="205">
    <mergeCell ref="I19:J19"/>
    <mergeCell ref="I20:J20"/>
    <mergeCell ref="I12:J12"/>
    <mergeCell ref="I13:J13"/>
    <mergeCell ref="I14:J14"/>
    <mergeCell ref="I15:J15"/>
    <mergeCell ref="I16:J16"/>
    <mergeCell ref="I17:J17"/>
    <mergeCell ref="I18:J18"/>
    <mergeCell ref="G23:H23"/>
    <mergeCell ref="I23:J23"/>
    <mergeCell ref="G18:H18"/>
    <mergeCell ref="G19:H19"/>
    <mergeCell ref="G20:H20"/>
    <mergeCell ref="G21:H21"/>
    <mergeCell ref="I21:J21"/>
    <mergeCell ref="G22:H22"/>
    <mergeCell ref="I22:J22"/>
    <mergeCell ref="G8:H8"/>
    <mergeCell ref="I8:J8"/>
    <mergeCell ref="G9:H9"/>
    <mergeCell ref="I9:J9"/>
    <mergeCell ref="G10:H10"/>
    <mergeCell ref="I10:J10"/>
    <mergeCell ref="I11:J11"/>
    <mergeCell ref="G11:H11"/>
    <mergeCell ref="G12:H12"/>
    <mergeCell ref="G13:H13"/>
    <mergeCell ref="G14:H14"/>
    <mergeCell ref="G15:H15"/>
    <mergeCell ref="G16:H16"/>
    <mergeCell ref="G17:H17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7:D67"/>
    <mergeCell ref="C68:D68"/>
    <mergeCell ref="C69:D69"/>
    <mergeCell ref="C70:D70"/>
    <mergeCell ref="C60:D60"/>
    <mergeCell ref="C61:D61"/>
    <mergeCell ref="C62:D62"/>
    <mergeCell ref="C63:D63"/>
    <mergeCell ref="C64:D64"/>
    <mergeCell ref="C65:D65"/>
    <mergeCell ref="C66:D66"/>
    <mergeCell ref="B1:P1"/>
    <mergeCell ref="C2:D2"/>
    <mergeCell ref="G2:H2"/>
    <mergeCell ref="I2:J2"/>
    <mergeCell ref="C4:D4"/>
    <mergeCell ref="I4:J4"/>
    <mergeCell ref="C5:D5"/>
    <mergeCell ref="I5:J5"/>
    <mergeCell ref="G4:H4"/>
    <mergeCell ref="G5:H5"/>
    <mergeCell ref="C6:D6"/>
    <mergeCell ref="G6:H6"/>
    <mergeCell ref="I6:J6"/>
    <mergeCell ref="G7:H7"/>
    <mergeCell ref="I7:J7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I24:J24"/>
    <mergeCell ref="G25:H25"/>
    <mergeCell ref="I25:J25"/>
    <mergeCell ref="G32:H32"/>
    <mergeCell ref="G33:H33"/>
    <mergeCell ref="G34:H34"/>
    <mergeCell ref="I33:J33"/>
    <mergeCell ref="I34:J34"/>
    <mergeCell ref="I53:J53"/>
    <mergeCell ref="I54:J54"/>
    <mergeCell ref="I46:J46"/>
    <mergeCell ref="I47:J47"/>
    <mergeCell ref="I48:J48"/>
    <mergeCell ref="I49:J49"/>
    <mergeCell ref="I50:J50"/>
    <mergeCell ref="I51:J51"/>
    <mergeCell ref="I52:J52"/>
    <mergeCell ref="G57:H57"/>
    <mergeCell ref="I57:J57"/>
    <mergeCell ref="G58:H58"/>
    <mergeCell ref="I58:J58"/>
    <mergeCell ref="G59:H59"/>
    <mergeCell ref="I59:J59"/>
    <mergeCell ref="I60:J60"/>
    <mergeCell ref="G67:H67"/>
    <mergeCell ref="G68:H68"/>
    <mergeCell ref="G69:H69"/>
    <mergeCell ref="G70:H70"/>
    <mergeCell ref="G60:H60"/>
    <mergeCell ref="G61:H61"/>
    <mergeCell ref="G62:H62"/>
    <mergeCell ref="G63:H63"/>
    <mergeCell ref="G64:H64"/>
    <mergeCell ref="G65:H65"/>
    <mergeCell ref="G66:H66"/>
    <mergeCell ref="I68:J68"/>
    <mergeCell ref="I69:J69"/>
    <mergeCell ref="I70:J70"/>
    <mergeCell ref="I61:J61"/>
    <mergeCell ref="I62:J62"/>
    <mergeCell ref="I63:J63"/>
    <mergeCell ref="I64:J64"/>
    <mergeCell ref="I65:J65"/>
    <mergeCell ref="I66:J66"/>
    <mergeCell ref="I67:J67"/>
    <mergeCell ref="G24:H24"/>
    <mergeCell ref="G26:H26"/>
    <mergeCell ref="I26:J26"/>
    <mergeCell ref="G27:H27"/>
    <mergeCell ref="I27:J27"/>
    <mergeCell ref="G28:H28"/>
    <mergeCell ref="I28:J28"/>
    <mergeCell ref="G29:H29"/>
    <mergeCell ref="I29:J29"/>
    <mergeCell ref="G30:H30"/>
    <mergeCell ref="I30:J30"/>
    <mergeCell ref="G31:H31"/>
    <mergeCell ref="I31:J31"/>
    <mergeCell ref="I32:J32"/>
    <mergeCell ref="G35:H35"/>
    <mergeCell ref="I35:J35"/>
    <mergeCell ref="G36:H36"/>
    <mergeCell ref="I36:J36"/>
    <mergeCell ref="G37:H37"/>
    <mergeCell ref="I37:J37"/>
    <mergeCell ref="I38:J38"/>
    <mergeCell ref="G38:H38"/>
    <mergeCell ref="G39:H39"/>
    <mergeCell ref="G40:H40"/>
    <mergeCell ref="G41:H41"/>
    <mergeCell ref="G42:H42"/>
    <mergeCell ref="G43:H43"/>
    <mergeCell ref="G44:H44"/>
    <mergeCell ref="I39:J39"/>
    <mergeCell ref="I40:J40"/>
    <mergeCell ref="I41:J41"/>
    <mergeCell ref="I42:J42"/>
    <mergeCell ref="I43:J43"/>
    <mergeCell ref="I44:J44"/>
    <mergeCell ref="I45:J45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I55:J55"/>
    <mergeCell ref="G56:H56"/>
    <mergeCell ref="I56:J5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36.57"/>
    <col customWidth="1" min="3" max="3" width="56.86"/>
    <col customWidth="1" min="4" max="4" width="3.43"/>
    <col customWidth="1" min="5" max="5" width="7.57"/>
    <col customWidth="1" min="6" max="6" width="14.0"/>
    <col customWidth="1" min="7" max="7" width="12.86"/>
    <col customWidth="1" min="8" max="8" width="8.57"/>
    <col customWidth="1" min="9" max="9" width="13.14"/>
    <col customWidth="1" min="10" max="10" width="9.0"/>
    <col customWidth="1" min="11" max="11" width="11.14"/>
    <col customWidth="1" min="12" max="12" width="12.57"/>
    <col customWidth="1" min="13" max="13" width="11.0"/>
    <col customWidth="1" min="14" max="28" width="9.0"/>
  </cols>
  <sheetData>
    <row r="1" ht="54.75" customHeight="1">
      <c r="A1" s="216"/>
      <c r="H1" s="217"/>
      <c r="I1" s="54"/>
      <c r="J1" s="218"/>
      <c r="K1" s="218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 ht="48.0" customHeight="1">
      <c r="A2" s="219" t="s">
        <v>394</v>
      </c>
      <c r="B2" s="220" t="s">
        <v>16</v>
      </c>
      <c r="C2" s="34"/>
      <c r="D2" s="35"/>
      <c r="E2" s="221" t="s">
        <v>395</v>
      </c>
      <c r="F2" s="222" t="s">
        <v>396</v>
      </c>
      <c r="G2" s="223" t="s">
        <v>24</v>
      </c>
      <c r="H2" s="224"/>
      <c r="I2" s="225" t="s">
        <v>263</v>
      </c>
      <c r="J2" s="226" t="s">
        <v>25</v>
      </c>
      <c r="K2" s="227" t="s">
        <v>26</v>
      </c>
      <c r="L2" s="228" t="s">
        <v>27</v>
      </c>
      <c r="M2" s="229" t="s">
        <v>140</v>
      </c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</row>
    <row r="3" ht="35.25" customHeight="1">
      <c r="A3" s="231" t="s">
        <v>397</v>
      </c>
      <c r="B3" s="232" t="s">
        <v>398</v>
      </c>
      <c r="C3" s="34"/>
      <c r="D3" s="233"/>
      <c r="E3" s="234">
        <v>30.0</v>
      </c>
      <c r="F3" s="235">
        <v>1213.58</v>
      </c>
      <c r="G3" s="236">
        <f t="shared" ref="G3:G4" si="1">F3/(1-0.5)</f>
        <v>2427.16</v>
      </c>
      <c r="H3" s="237"/>
      <c r="I3" s="238">
        <f t="shared" ref="I3:I4" si="2">F3/(1-0.45)</f>
        <v>2206.509091</v>
      </c>
      <c r="J3" s="239"/>
      <c r="K3" s="240">
        <f t="shared" ref="K3:K4" si="3">E3-J3</f>
        <v>30</v>
      </c>
      <c r="L3" s="241">
        <f t="shared" ref="L3:L4" si="4">ROUNDUP(G3,-2)</f>
        <v>2500</v>
      </c>
      <c r="M3" s="241">
        <f t="shared" ref="M3:M4" si="5">ROUNDUP(I3,-2)</f>
        <v>2300</v>
      </c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</row>
    <row r="4" ht="17.25" customHeight="1">
      <c r="A4" s="231" t="s">
        <v>399</v>
      </c>
      <c r="B4" s="232" t="s">
        <v>400</v>
      </c>
      <c r="C4" s="34"/>
      <c r="D4" s="233"/>
      <c r="E4" s="234">
        <v>30.0</v>
      </c>
      <c r="F4" s="235">
        <v>1213.58</v>
      </c>
      <c r="G4" s="236">
        <f t="shared" si="1"/>
        <v>2427.16</v>
      </c>
      <c r="H4" s="237"/>
      <c r="I4" s="238">
        <f t="shared" si="2"/>
        <v>2206.509091</v>
      </c>
      <c r="J4" s="239"/>
      <c r="K4" s="240">
        <f t="shared" si="3"/>
        <v>30</v>
      </c>
      <c r="L4" s="241">
        <f t="shared" si="4"/>
        <v>2500</v>
      </c>
      <c r="M4" s="241">
        <f t="shared" si="5"/>
        <v>2300</v>
      </c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</row>
    <row r="6" ht="36.75" customHeight="1">
      <c r="A6" s="231" t="s">
        <v>401</v>
      </c>
      <c r="B6" s="243" t="s">
        <v>402</v>
      </c>
      <c r="C6" s="34"/>
      <c r="D6" s="244"/>
      <c r="E6" s="234">
        <v>6.0</v>
      </c>
      <c r="F6" s="235">
        <v>7115.9</v>
      </c>
      <c r="G6" s="236">
        <f t="shared" ref="G6:G10" si="6">F6/(1-0.5)</f>
        <v>14231.8</v>
      </c>
      <c r="H6" s="237"/>
      <c r="I6" s="238">
        <f t="shared" ref="I6:I10" si="7">F6/(1-0.45)</f>
        <v>12938</v>
      </c>
      <c r="J6" s="239"/>
      <c r="K6" s="240">
        <f t="shared" ref="K6:K10" si="8">E6-J6</f>
        <v>6</v>
      </c>
      <c r="L6" s="241">
        <f t="shared" ref="L6:L10" si="9">ROUNDUP(G6,-2)</f>
        <v>14300</v>
      </c>
      <c r="M6" s="241">
        <f t="shared" ref="M6:M10" si="10">ROUNDUP(I6,-2)</f>
        <v>13000</v>
      </c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  <c r="Z6" s="242"/>
      <c r="AA6" s="242"/>
      <c r="AB6" s="242"/>
    </row>
    <row r="7" ht="18.0" customHeight="1">
      <c r="A7" s="231" t="s">
        <v>403</v>
      </c>
      <c r="B7" s="245" t="s">
        <v>404</v>
      </c>
      <c r="C7" s="34"/>
      <c r="D7" s="246"/>
      <c r="E7" s="234">
        <v>2.0</v>
      </c>
      <c r="F7" s="235">
        <v>16400.56</v>
      </c>
      <c r="G7" s="236">
        <f t="shared" si="6"/>
        <v>32801.12</v>
      </c>
      <c r="H7" s="237"/>
      <c r="I7" s="238">
        <f t="shared" si="7"/>
        <v>29819.2</v>
      </c>
      <c r="J7" s="239"/>
      <c r="K7" s="240">
        <f t="shared" si="8"/>
        <v>2</v>
      </c>
      <c r="L7" s="241">
        <f t="shared" si="9"/>
        <v>32900</v>
      </c>
      <c r="M7" s="241">
        <f t="shared" si="10"/>
        <v>29900</v>
      </c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  <c r="AA7" s="242"/>
      <c r="AB7" s="242"/>
    </row>
    <row r="8" ht="18.0" customHeight="1">
      <c r="A8" s="231" t="s">
        <v>405</v>
      </c>
      <c r="B8" s="245" t="s">
        <v>406</v>
      </c>
      <c r="C8" s="34"/>
      <c r="D8" s="246"/>
      <c r="E8" s="234">
        <v>2.0</v>
      </c>
      <c r="F8" s="235">
        <v>16400.56</v>
      </c>
      <c r="G8" s="236">
        <f t="shared" si="6"/>
        <v>32801.12</v>
      </c>
      <c r="H8" s="237"/>
      <c r="I8" s="238">
        <f t="shared" si="7"/>
        <v>29819.2</v>
      </c>
      <c r="J8" s="239"/>
      <c r="K8" s="240">
        <f t="shared" si="8"/>
        <v>2</v>
      </c>
      <c r="L8" s="241">
        <f t="shared" si="9"/>
        <v>32900</v>
      </c>
      <c r="M8" s="241">
        <f t="shared" si="10"/>
        <v>29900</v>
      </c>
      <c r="N8" s="242"/>
      <c r="O8" s="242"/>
      <c r="P8" s="242"/>
      <c r="Q8" s="242"/>
      <c r="R8" s="242"/>
      <c r="S8" s="242"/>
      <c r="T8" s="242"/>
      <c r="U8" s="242"/>
      <c r="V8" s="242"/>
      <c r="W8" s="242"/>
      <c r="X8" s="242"/>
      <c r="Y8" s="242"/>
      <c r="Z8" s="242"/>
      <c r="AA8" s="242"/>
      <c r="AB8" s="242"/>
    </row>
    <row r="9" ht="18.0" customHeight="1">
      <c r="A9" s="231" t="s">
        <v>407</v>
      </c>
      <c r="B9" s="245" t="s">
        <v>408</v>
      </c>
      <c r="C9" s="34"/>
      <c r="D9" s="246"/>
      <c r="E9" s="234">
        <v>2.0</v>
      </c>
      <c r="F9" s="235">
        <v>9750.78</v>
      </c>
      <c r="G9" s="236">
        <f t="shared" si="6"/>
        <v>19501.56</v>
      </c>
      <c r="H9" s="237"/>
      <c r="I9" s="238">
        <f t="shared" si="7"/>
        <v>17728.69091</v>
      </c>
      <c r="J9" s="239"/>
      <c r="K9" s="240">
        <f t="shared" si="8"/>
        <v>2</v>
      </c>
      <c r="L9" s="241">
        <f t="shared" si="9"/>
        <v>19600</v>
      </c>
      <c r="M9" s="241">
        <f t="shared" si="10"/>
        <v>17800</v>
      </c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</row>
    <row r="10" ht="18.75" customHeight="1">
      <c r="A10" s="231" t="s">
        <v>409</v>
      </c>
      <c r="B10" s="245" t="s">
        <v>410</v>
      </c>
      <c r="C10" s="34"/>
      <c r="D10" s="246"/>
      <c r="E10" s="234">
        <v>2.0</v>
      </c>
      <c r="F10" s="235">
        <v>9750.78</v>
      </c>
      <c r="G10" s="236">
        <f t="shared" si="6"/>
        <v>19501.56</v>
      </c>
      <c r="H10" s="237"/>
      <c r="I10" s="238">
        <f t="shared" si="7"/>
        <v>17728.69091</v>
      </c>
      <c r="J10" s="239"/>
      <c r="K10" s="240">
        <f t="shared" si="8"/>
        <v>2</v>
      </c>
      <c r="L10" s="241">
        <f t="shared" si="9"/>
        <v>19600</v>
      </c>
      <c r="M10" s="241">
        <f t="shared" si="10"/>
        <v>17800</v>
      </c>
      <c r="N10" s="242"/>
      <c r="O10" s="242"/>
      <c r="P10" s="242"/>
      <c r="Q10" s="242"/>
      <c r="R10" s="242"/>
      <c r="S10" s="242"/>
      <c r="T10" s="242"/>
      <c r="U10" s="242"/>
      <c r="V10" s="242"/>
      <c r="W10" s="242"/>
      <c r="X10" s="242"/>
      <c r="Y10" s="242"/>
      <c r="Z10" s="242"/>
      <c r="AA10" s="242"/>
      <c r="AB10" s="242"/>
    </row>
    <row r="14" ht="19.5" customHeight="1">
      <c r="A14" s="231" t="s">
        <v>411</v>
      </c>
      <c r="B14" s="247" t="s">
        <v>412</v>
      </c>
      <c r="C14" s="34"/>
      <c r="D14" s="248"/>
      <c r="E14" s="234">
        <v>6.0</v>
      </c>
      <c r="F14" s="235">
        <v>6847.65</v>
      </c>
      <c r="G14" s="236">
        <f t="shared" ref="G14:G28" si="11">F14/(1-0.5)</f>
        <v>13695.3</v>
      </c>
      <c r="H14" s="237"/>
      <c r="I14" s="238">
        <f t="shared" ref="I14:I28" si="12">F14/(1-0.45)</f>
        <v>12450.27273</v>
      </c>
      <c r="J14" s="239"/>
      <c r="K14" s="240">
        <f t="shared" ref="K14:K28" si="13">E14-J14</f>
        <v>6</v>
      </c>
      <c r="L14" s="241">
        <f t="shared" ref="L14:L28" si="14">ROUNDUP(G14,-2)</f>
        <v>13700</v>
      </c>
      <c r="M14" s="241">
        <f t="shared" ref="M14:M28" si="15">ROUNDUP(I14,-2)</f>
        <v>12500</v>
      </c>
      <c r="N14" s="242"/>
      <c r="O14" s="242"/>
      <c r="P14" s="242"/>
      <c r="Q14" s="242"/>
      <c r="R14" s="242"/>
      <c r="S14" s="242"/>
      <c r="T14" s="242"/>
      <c r="U14" s="242"/>
      <c r="V14" s="242"/>
      <c r="W14" s="242"/>
      <c r="X14" s="242"/>
      <c r="Y14" s="242"/>
      <c r="Z14" s="242"/>
      <c r="AA14" s="242"/>
      <c r="AB14" s="242"/>
    </row>
    <row r="15" ht="18.75" customHeight="1">
      <c r="A15" s="231" t="s">
        <v>413</v>
      </c>
      <c r="B15" s="247" t="s">
        <v>414</v>
      </c>
      <c r="C15" s="34"/>
      <c r="D15" s="248"/>
      <c r="E15" s="234">
        <v>8.0</v>
      </c>
      <c r="F15" s="235">
        <v>2683.8</v>
      </c>
      <c r="G15" s="236">
        <f t="shared" si="11"/>
        <v>5367.6</v>
      </c>
      <c r="H15" s="237"/>
      <c r="I15" s="238">
        <f t="shared" si="12"/>
        <v>4879.636364</v>
      </c>
      <c r="J15" s="239"/>
      <c r="K15" s="240">
        <f t="shared" si="13"/>
        <v>8</v>
      </c>
      <c r="L15" s="241">
        <f t="shared" si="14"/>
        <v>5400</v>
      </c>
      <c r="M15" s="241">
        <f t="shared" si="15"/>
        <v>4900</v>
      </c>
      <c r="N15" s="242"/>
      <c r="O15" s="242"/>
      <c r="P15" s="242"/>
      <c r="Q15" s="242"/>
      <c r="R15" s="242"/>
      <c r="S15" s="242"/>
      <c r="T15" s="242"/>
      <c r="U15" s="242"/>
      <c r="V15" s="242"/>
      <c r="W15" s="242"/>
      <c r="X15" s="242"/>
      <c r="Y15" s="242"/>
      <c r="Z15" s="242"/>
      <c r="AA15" s="242"/>
      <c r="AB15" s="242"/>
    </row>
    <row r="16" ht="17.25" customHeight="1">
      <c r="A16" s="231" t="s">
        <v>415</v>
      </c>
      <c r="B16" s="249" t="s">
        <v>416</v>
      </c>
      <c r="C16" s="34"/>
      <c r="D16" s="250"/>
      <c r="E16" s="251">
        <v>1000.0</v>
      </c>
      <c r="F16" s="235">
        <v>17866.44</v>
      </c>
      <c r="G16" s="236">
        <f t="shared" si="11"/>
        <v>35732.88</v>
      </c>
      <c r="H16" s="237">
        <f t="shared" ref="H16:H19" si="16">I16/1000</f>
        <v>32.48443636</v>
      </c>
      <c r="I16" s="238">
        <f t="shared" si="12"/>
        <v>32484.43636</v>
      </c>
      <c r="J16" s="239"/>
      <c r="K16" s="240">
        <f t="shared" si="13"/>
        <v>1000</v>
      </c>
      <c r="L16" s="241">
        <f t="shared" si="14"/>
        <v>35800</v>
      </c>
      <c r="M16" s="241">
        <f t="shared" si="15"/>
        <v>32500</v>
      </c>
      <c r="N16" s="242"/>
      <c r="O16" s="242"/>
      <c r="P16" s="242"/>
      <c r="Q16" s="242"/>
      <c r="R16" s="242"/>
      <c r="S16" s="242"/>
      <c r="T16" s="242"/>
      <c r="U16" s="242"/>
      <c r="V16" s="242"/>
      <c r="W16" s="242"/>
      <c r="X16" s="242"/>
      <c r="Y16" s="242"/>
      <c r="Z16" s="242"/>
      <c r="AA16" s="242"/>
      <c r="AB16" s="242"/>
    </row>
    <row r="17">
      <c r="A17" s="231" t="s">
        <v>417</v>
      </c>
      <c r="B17" s="249" t="s">
        <v>418</v>
      </c>
      <c r="C17" s="34"/>
      <c r="D17" s="250"/>
      <c r="E17" s="251">
        <v>1000.0</v>
      </c>
      <c r="F17" s="235">
        <v>8038.62</v>
      </c>
      <c r="G17" s="236">
        <f t="shared" si="11"/>
        <v>16077.24</v>
      </c>
      <c r="H17" s="237">
        <f t="shared" si="16"/>
        <v>14.61567273</v>
      </c>
      <c r="I17" s="238">
        <f t="shared" si="12"/>
        <v>14615.67273</v>
      </c>
      <c r="J17" s="239"/>
      <c r="K17" s="240">
        <f t="shared" si="13"/>
        <v>1000</v>
      </c>
      <c r="L17" s="241">
        <f t="shared" si="14"/>
        <v>16100</v>
      </c>
      <c r="M17" s="241">
        <f t="shared" si="15"/>
        <v>14700</v>
      </c>
      <c r="N17" s="242"/>
      <c r="O17" s="242"/>
      <c r="P17" s="242"/>
      <c r="Q17" s="242"/>
      <c r="R17" s="242"/>
      <c r="S17" s="242"/>
      <c r="T17" s="242"/>
      <c r="U17" s="242"/>
      <c r="V17" s="242"/>
      <c r="W17" s="242"/>
      <c r="X17" s="242"/>
      <c r="Y17" s="242"/>
      <c r="Z17" s="242"/>
      <c r="AA17" s="242"/>
      <c r="AB17" s="242"/>
    </row>
    <row r="18" ht="15.75" customHeight="1">
      <c r="A18" s="231" t="s">
        <v>419</v>
      </c>
      <c r="B18" s="249" t="s">
        <v>420</v>
      </c>
      <c r="C18" s="34"/>
      <c r="D18" s="250"/>
      <c r="E18" s="234">
        <v>1000.0</v>
      </c>
      <c r="F18" s="235">
        <v>11220.84</v>
      </c>
      <c r="G18" s="236">
        <f t="shared" si="11"/>
        <v>22441.68</v>
      </c>
      <c r="H18" s="237">
        <f t="shared" si="16"/>
        <v>20.40152727</v>
      </c>
      <c r="I18" s="238">
        <f t="shared" si="12"/>
        <v>20401.52727</v>
      </c>
      <c r="J18" s="252">
        <v>51.0</v>
      </c>
      <c r="K18" s="240">
        <f t="shared" si="13"/>
        <v>949</v>
      </c>
      <c r="L18" s="241">
        <f t="shared" si="14"/>
        <v>22500</v>
      </c>
      <c r="M18" s="241">
        <f t="shared" si="15"/>
        <v>20500</v>
      </c>
      <c r="N18" s="242"/>
      <c r="O18" s="242"/>
      <c r="P18" s="242"/>
      <c r="Q18" s="242"/>
      <c r="R18" s="242"/>
      <c r="S18" s="242"/>
      <c r="T18" s="242"/>
      <c r="U18" s="242"/>
      <c r="V18" s="242"/>
      <c r="W18" s="242"/>
      <c r="X18" s="242"/>
      <c r="Y18" s="242"/>
      <c r="Z18" s="242"/>
      <c r="AA18" s="242"/>
      <c r="AB18" s="242"/>
    </row>
    <row r="19" ht="15.75" customHeight="1">
      <c r="A19" s="231" t="s">
        <v>421</v>
      </c>
      <c r="B19" s="249" t="s">
        <v>422</v>
      </c>
      <c r="C19" s="34"/>
      <c r="D19" s="250"/>
      <c r="E19" s="234">
        <v>1000.0</v>
      </c>
      <c r="F19" s="235">
        <v>17253.0</v>
      </c>
      <c r="G19" s="236">
        <f t="shared" si="11"/>
        <v>34506</v>
      </c>
      <c r="H19" s="237">
        <f t="shared" si="16"/>
        <v>31.36909091</v>
      </c>
      <c r="I19" s="238">
        <f t="shared" si="12"/>
        <v>31369.09091</v>
      </c>
      <c r="J19" s="239"/>
      <c r="K19" s="240">
        <f t="shared" si="13"/>
        <v>1000</v>
      </c>
      <c r="L19" s="241">
        <f t="shared" si="14"/>
        <v>34600</v>
      </c>
      <c r="M19" s="241">
        <f t="shared" si="15"/>
        <v>31400</v>
      </c>
      <c r="N19" s="242"/>
      <c r="O19" s="242"/>
      <c r="P19" s="242"/>
      <c r="Q19" s="242"/>
      <c r="R19" s="242"/>
      <c r="S19" s="242"/>
      <c r="T19" s="242"/>
      <c r="U19" s="242"/>
      <c r="V19" s="242"/>
      <c r="W19" s="242"/>
      <c r="X19" s="242"/>
      <c r="Y19" s="242"/>
      <c r="Z19" s="242"/>
      <c r="AA19" s="242"/>
      <c r="AB19" s="242"/>
    </row>
    <row r="20">
      <c r="A20" s="231" t="s">
        <v>423</v>
      </c>
      <c r="B20" s="253" t="s">
        <v>424</v>
      </c>
      <c r="C20" s="34"/>
      <c r="D20" s="254"/>
      <c r="E20" s="234">
        <v>4.0</v>
      </c>
      <c r="F20" s="235">
        <v>9201.6</v>
      </c>
      <c r="G20" s="236">
        <f t="shared" si="11"/>
        <v>18403.2</v>
      </c>
      <c r="H20" s="237"/>
      <c r="I20" s="238">
        <f t="shared" si="12"/>
        <v>16730.18182</v>
      </c>
      <c r="J20" s="239"/>
      <c r="K20" s="240">
        <f t="shared" si="13"/>
        <v>4</v>
      </c>
      <c r="L20" s="241">
        <f t="shared" si="14"/>
        <v>18500</v>
      </c>
      <c r="M20" s="241">
        <f t="shared" si="15"/>
        <v>16800</v>
      </c>
      <c r="N20" s="242"/>
      <c r="O20" s="242"/>
      <c r="P20" s="242"/>
      <c r="Q20" s="242"/>
      <c r="R20" s="242"/>
      <c r="S20" s="242"/>
      <c r="T20" s="242"/>
      <c r="U20" s="242"/>
      <c r="V20" s="242"/>
      <c r="W20" s="242"/>
      <c r="X20" s="242"/>
      <c r="Y20" s="242"/>
      <c r="Z20" s="242"/>
      <c r="AA20" s="242"/>
      <c r="AB20" s="242"/>
    </row>
    <row r="21" ht="15.75" customHeight="1">
      <c r="A21" s="231" t="s">
        <v>425</v>
      </c>
      <c r="B21" s="253" t="s">
        <v>426</v>
      </c>
      <c r="C21" s="34"/>
      <c r="D21" s="254"/>
      <c r="E21" s="234">
        <v>4.0</v>
      </c>
      <c r="F21" s="235">
        <v>3542.62</v>
      </c>
      <c r="G21" s="236">
        <f t="shared" si="11"/>
        <v>7085.24</v>
      </c>
      <c r="H21" s="237"/>
      <c r="I21" s="238">
        <f t="shared" si="12"/>
        <v>6441.127273</v>
      </c>
      <c r="J21" s="239"/>
      <c r="K21" s="240">
        <f t="shared" si="13"/>
        <v>4</v>
      </c>
      <c r="L21" s="241">
        <f t="shared" si="14"/>
        <v>7100</v>
      </c>
      <c r="M21" s="241">
        <f t="shared" si="15"/>
        <v>6500</v>
      </c>
      <c r="N21" s="242"/>
      <c r="O21" s="242"/>
      <c r="P21" s="242"/>
      <c r="Q21" s="242"/>
      <c r="R21" s="242"/>
      <c r="S21" s="242"/>
      <c r="T21" s="242"/>
      <c r="U21" s="242"/>
      <c r="V21" s="242"/>
      <c r="W21" s="242"/>
      <c r="X21" s="242"/>
      <c r="Y21" s="242"/>
      <c r="Z21" s="242"/>
      <c r="AA21" s="242"/>
      <c r="AB21" s="242"/>
    </row>
    <row r="22">
      <c r="A22" s="231" t="s">
        <v>427</v>
      </c>
      <c r="B22" s="253" t="s">
        <v>428</v>
      </c>
      <c r="C22" s="34"/>
      <c r="D22" s="254"/>
      <c r="E22" s="234">
        <v>4.0</v>
      </c>
      <c r="F22" s="235">
        <v>4079.38</v>
      </c>
      <c r="G22" s="236">
        <f t="shared" si="11"/>
        <v>8158.76</v>
      </c>
      <c r="H22" s="237"/>
      <c r="I22" s="238">
        <f t="shared" si="12"/>
        <v>7417.054545</v>
      </c>
      <c r="J22" s="239"/>
      <c r="K22" s="240">
        <f t="shared" si="13"/>
        <v>4</v>
      </c>
      <c r="L22" s="241">
        <f t="shared" si="14"/>
        <v>8200</v>
      </c>
      <c r="M22" s="241">
        <f t="shared" si="15"/>
        <v>7500</v>
      </c>
      <c r="N22" s="242"/>
      <c r="O22" s="242"/>
      <c r="P22" s="242"/>
      <c r="Q22" s="242"/>
      <c r="R22" s="242"/>
      <c r="S22" s="242"/>
      <c r="T22" s="242"/>
      <c r="U22" s="242"/>
      <c r="V22" s="242"/>
      <c r="W22" s="242"/>
      <c r="X22" s="242"/>
      <c r="Y22" s="242"/>
      <c r="Z22" s="242"/>
      <c r="AA22" s="242"/>
      <c r="AB22" s="242"/>
    </row>
    <row r="23">
      <c r="A23" s="231" t="s">
        <v>429</v>
      </c>
      <c r="B23" s="253" t="s">
        <v>430</v>
      </c>
      <c r="C23" s="34"/>
      <c r="D23" s="254"/>
      <c r="E23" s="234">
        <v>4.0</v>
      </c>
      <c r="F23" s="235">
        <v>3757.32</v>
      </c>
      <c r="G23" s="236">
        <f t="shared" si="11"/>
        <v>7514.64</v>
      </c>
      <c r="H23" s="237"/>
      <c r="I23" s="238">
        <f t="shared" si="12"/>
        <v>6831.490909</v>
      </c>
      <c r="J23" s="239"/>
      <c r="K23" s="240">
        <f t="shared" si="13"/>
        <v>4</v>
      </c>
      <c r="L23" s="241">
        <f t="shared" si="14"/>
        <v>7600</v>
      </c>
      <c r="M23" s="241">
        <f t="shared" si="15"/>
        <v>6900</v>
      </c>
      <c r="N23" s="242"/>
      <c r="O23" s="242"/>
      <c r="P23" s="242"/>
      <c r="Q23" s="242"/>
      <c r="R23" s="242"/>
      <c r="S23" s="242"/>
      <c r="T23" s="242"/>
      <c r="U23" s="242"/>
      <c r="V23" s="242"/>
      <c r="W23" s="242"/>
      <c r="X23" s="242"/>
      <c r="Y23" s="242"/>
      <c r="Z23" s="242"/>
      <c r="AA23" s="242"/>
      <c r="AB23" s="242"/>
    </row>
    <row r="24">
      <c r="A24" s="231" t="s">
        <v>431</v>
      </c>
      <c r="B24" s="255" t="s">
        <v>432</v>
      </c>
      <c r="C24" s="34"/>
      <c r="D24" s="256"/>
      <c r="E24" s="234">
        <v>4.0</v>
      </c>
      <c r="F24" s="235">
        <v>3097.87</v>
      </c>
      <c r="G24" s="236">
        <f t="shared" si="11"/>
        <v>6195.74</v>
      </c>
      <c r="H24" s="237"/>
      <c r="I24" s="238">
        <f t="shared" si="12"/>
        <v>5632.490909</v>
      </c>
      <c r="J24" s="239"/>
      <c r="K24" s="240">
        <f t="shared" si="13"/>
        <v>4</v>
      </c>
      <c r="L24" s="241">
        <f t="shared" si="14"/>
        <v>6200</v>
      </c>
      <c r="M24" s="241">
        <f t="shared" si="15"/>
        <v>5700</v>
      </c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42"/>
      <c r="Y24" s="242"/>
      <c r="Z24" s="242"/>
      <c r="AA24" s="242"/>
      <c r="AB24" s="242"/>
    </row>
    <row r="25">
      <c r="A25" s="231" t="s">
        <v>433</v>
      </c>
      <c r="B25" s="253" t="s">
        <v>434</v>
      </c>
      <c r="C25" s="34"/>
      <c r="D25" s="254"/>
      <c r="E25" s="234">
        <v>4.0</v>
      </c>
      <c r="F25" s="235">
        <v>1502.93</v>
      </c>
      <c r="G25" s="236">
        <f t="shared" si="11"/>
        <v>3005.86</v>
      </c>
      <c r="H25" s="237"/>
      <c r="I25" s="238">
        <f t="shared" si="12"/>
        <v>2732.6</v>
      </c>
      <c r="J25" s="239"/>
      <c r="K25" s="240">
        <f t="shared" si="13"/>
        <v>4</v>
      </c>
      <c r="L25" s="241">
        <f t="shared" si="14"/>
        <v>3100</v>
      </c>
      <c r="M25" s="241">
        <f t="shared" si="15"/>
        <v>2800</v>
      </c>
      <c r="N25" s="242"/>
      <c r="O25" s="242"/>
      <c r="P25" s="242"/>
      <c r="Q25" s="242"/>
      <c r="R25" s="242"/>
      <c r="S25" s="242"/>
      <c r="T25" s="242"/>
      <c r="U25" s="242"/>
      <c r="V25" s="242"/>
      <c r="W25" s="242"/>
      <c r="X25" s="242"/>
      <c r="Y25" s="242"/>
      <c r="Z25" s="242"/>
      <c r="AA25" s="242"/>
      <c r="AB25" s="242"/>
    </row>
    <row r="26">
      <c r="A26" s="231" t="s">
        <v>435</v>
      </c>
      <c r="B26" s="257" t="s">
        <v>436</v>
      </c>
      <c r="C26" s="34"/>
      <c r="D26" s="258"/>
      <c r="E26" s="234">
        <v>2.0</v>
      </c>
      <c r="F26" s="235">
        <v>8879.44</v>
      </c>
      <c r="G26" s="236">
        <f t="shared" si="11"/>
        <v>17758.88</v>
      </c>
      <c r="H26" s="237"/>
      <c r="I26" s="238">
        <f t="shared" si="12"/>
        <v>16144.43636</v>
      </c>
      <c r="J26" s="239"/>
      <c r="K26" s="240">
        <f t="shared" si="13"/>
        <v>2</v>
      </c>
      <c r="L26" s="241">
        <f t="shared" si="14"/>
        <v>17800</v>
      </c>
      <c r="M26" s="241">
        <f t="shared" si="15"/>
        <v>16200</v>
      </c>
      <c r="N26" s="242"/>
      <c r="O26" s="242"/>
      <c r="P26" s="242"/>
      <c r="Q26" s="242"/>
      <c r="R26" s="242"/>
      <c r="S26" s="242"/>
      <c r="T26" s="242"/>
      <c r="U26" s="242"/>
      <c r="V26" s="242"/>
      <c r="W26" s="242"/>
      <c r="X26" s="242"/>
      <c r="Y26" s="242"/>
      <c r="Z26" s="242"/>
      <c r="AA26" s="242"/>
      <c r="AB26" s="242"/>
    </row>
    <row r="27">
      <c r="A27" s="231" t="s">
        <v>437</v>
      </c>
      <c r="B27" s="259" t="s">
        <v>438</v>
      </c>
      <c r="C27" s="34"/>
      <c r="D27" s="260"/>
      <c r="E27" s="234">
        <v>2.0</v>
      </c>
      <c r="F27" s="235">
        <v>28110.89</v>
      </c>
      <c r="G27" s="236">
        <f t="shared" si="11"/>
        <v>56221.78</v>
      </c>
      <c r="H27" s="237"/>
      <c r="I27" s="238">
        <f t="shared" si="12"/>
        <v>51110.70909</v>
      </c>
      <c r="J27" s="239"/>
      <c r="K27" s="240">
        <f t="shared" si="13"/>
        <v>2</v>
      </c>
      <c r="L27" s="241">
        <f t="shared" si="14"/>
        <v>56300</v>
      </c>
      <c r="M27" s="241">
        <f t="shared" si="15"/>
        <v>51200</v>
      </c>
      <c r="N27" s="242"/>
      <c r="O27" s="242"/>
      <c r="P27" s="242"/>
      <c r="Q27" s="242"/>
      <c r="R27" s="242"/>
      <c r="S27" s="242"/>
      <c r="T27" s="242"/>
      <c r="U27" s="242"/>
      <c r="V27" s="242"/>
      <c r="W27" s="242"/>
      <c r="X27" s="242"/>
      <c r="Y27" s="242"/>
      <c r="Z27" s="242"/>
      <c r="AA27" s="242"/>
      <c r="AB27" s="242"/>
    </row>
    <row r="28">
      <c r="A28" s="231" t="s">
        <v>439</v>
      </c>
      <c r="B28" s="259" t="s">
        <v>440</v>
      </c>
      <c r="C28" s="34"/>
      <c r="D28" s="260"/>
      <c r="E28" s="234">
        <v>2.0</v>
      </c>
      <c r="F28" s="235">
        <v>11164.61</v>
      </c>
      <c r="G28" s="236">
        <f t="shared" si="11"/>
        <v>22329.22</v>
      </c>
      <c r="H28" s="237"/>
      <c r="I28" s="238">
        <f t="shared" si="12"/>
        <v>20299.29091</v>
      </c>
      <c r="J28" s="239"/>
      <c r="K28" s="240">
        <f t="shared" si="13"/>
        <v>2</v>
      </c>
      <c r="L28" s="241">
        <f t="shared" si="14"/>
        <v>22400</v>
      </c>
      <c r="M28" s="241">
        <f t="shared" si="15"/>
        <v>20300</v>
      </c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242"/>
      <c r="Z28" s="242"/>
      <c r="AA28" s="242"/>
      <c r="AB28" s="242"/>
    </row>
    <row r="30" ht="16.5" customHeight="1">
      <c r="A30" s="231" t="s">
        <v>441</v>
      </c>
      <c r="B30" s="261" t="s">
        <v>442</v>
      </c>
      <c r="C30" s="34"/>
      <c r="D30" s="262"/>
      <c r="E30" s="234">
        <v>20.0</v>
      </c>
      <c r="F30" s="263">
        <v>341.05</v>
      </c>
      <c r="G30" s="264">
        <v>1500.0</v>
      </c>
      <c r="H30" s="265"/>
      <c r="I30" s="266">
        <v>1000.0</v>
      </c>
      <c r="J30" s="252">
        <v>4.0</v>
      </c>
      <c r="K30" s="240">
        <f t="shared" ref="K30:K58" si="17">E30-J30</f>
        <v>16</v>
      </c>
      <c r="L30" s="241">
        <f t="shared" ref="L30:L58" si="18">ROUNDUP(G30,-2)</f>
        <v>1500</v>
      </c>
      <c r="M30" s="241">
        <f t="shared" ref="M30:M84" si="19">ROUNDUP(I30,-2)</f>
        <v>1000</v>
      </c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</row>
    <row r="31">
      <c r="A31" s="231" t="s">
        <v>443</v>
      </c>
      <c r="B31" s="261" t="s">
        <v>444</v>
      </c>
      <c r="C31" s="34"/>
      <c r="D31" s="262"/>
      <c r="E31" s="234">
        <v>20.0</v>
      </c>
      <c r="F31" s="263">
        <v>341.05</v>
      </c>
      <c r="G31" s="264">
        <v>1500.0</v>
      </c>
      <c r="H31" s="265"/>
      <c r="I31" s="266">
        <v>1000.0</v>
      </c>
      <c r="J31" s="252">
        <v>16.0</v>
      </c>
      <c r="K31" s="240">
        <f t="shared" si="17"/>
        <v>4</v>
      </c>
      <c r="L31" s="241">
        <f t="shared" si="18"/>
        <v>1500</v>
      </c>
      <c r="M31" s="241">
        <f t="shared" si="19"/>
        <v>1000</v>
      </c>
      <c r="N31" s="242"/>
      <c r="O31" s="242"/>
      <c r="P31" s="242"/>
      <c r="Q31" s="242"/>
      <c r="R31" s="242"/>
      <c r="S31" s="242"/>
      <c r="T31" s="242"/>
      <c r="U31" s="242"/>
      <c r="V31" s="242"/>
      <c r="W31" s="242"/>
      <c r="X31" s="242"/>
      <c r="Y31" s="242"/>
      <c r="Z31" s="242"/>
      <c r="AA31" s="242"/>
      <c r="AB31" s="242"/>
    </row>
    <row r="32">
      <c r="A32" s="231" t="s">
        <v>445</v>
      </c>
      <c r="B32" s="261" t="s">
        <v>446</v>
      </c>
      <c r="C32" s="34"/>
      <c r="D32" s="262"/>
      <c r="E32" s="234">
        <v>15.0</v>
      </c>
      <c r="F32" s="263">
        <v>203.97</v>
      </c>
      <c r="G32" s="264">
        <v>1300.0</v>
      </c>
      <c r="H32" s="265"/>
      <c r="I32" s="266">
        <v>1100.0</v>
      </c>
      <c r="J32" s="239"/>
      <c r="K32" s="240">
        <f t="shared" si="17"/>
        <v>15</v>
      </c>
      <c r="L32" s="241">
        <f t="shared" si="18"/>
        <v>1300</v>
      </c>
      <c r="M32" s="241">
        <f t="shared" si="19"/>
        <v>1100</v>
      </c>
      <c r="N32" s="242"/>
      <c r="O32" s="242"/>
      <c r="P32" s="242"/>
      <c r="Q32" s="242"/>
      <c r="R32" s="242"/>
      <c r="S32" s="242"/>
      <c r="T32" s="242"/>
      <c r="U32" s="242"/>
      <c r="V32" s="242"/>
      <c r="W32" s="242"/>
      <c r="X32" s="242"/>
      <c r="Y32" s="242"/>
      <c r="Z32" s="242"/>
      <c r="AA32" s="242"/>
      <c r="AB32" s="242"/>
    </row>
    <row r="33">
      <c r="A33" s="231" t="s">
        <v>447</v>
      </c>
      <c r="B33" s="261" t="s">
        <v>448</v>
      </c>
      <c r="C33" s="34"/>
      <c r="D33" s="262"/>
      <c r="E33" s="234">
        <v>15.0</v>
      </c>
      <c r="F33" s="263">
        <v>203.97</v>
      </c>
      <c r="G33" s="264">
        <v>1300.0</v>
      </c>
      <c r="H33" s="265"/>
      <c r="I33" s="266">
        <v>1100.0</v>
      </c>
      <c r="J33" s="239"/>
      <c r="K33" s="240">
        <f t="shared" si="17"/>
        <v>15</v>
      </c>
      <c r="L33" s="241">
        <f t="shared" si="18"/>
        <v>1300</v>
      </c>
      <c r="M33" s="241">
        <f t="shared" si="19"/>
        <v>1100</v>
      </c>
      <c r="N33" s="242"/>
      <c r="O33" s="242"/>
      <c r="P33" s="242"/>
      <c r="Q33" s="242"/>
      <c r="R33" s="242"/>
      <c r="S33" s="242"/>
      <c r="T33" s="242"/>
      <c r="U33" s="242"/>
      <c r="V33" s="242"/>
      <c r="W33" s="242"/>
      <c r="X33" s="242"/>
      <c r="Y33" s="242"/>
      <c r="Z33" s="242"/>
      <c r="AA33" s="242"/>
      <c r="AB33" s="242"/>
    </row>
    <row r="34">
      <c r="A34" s="231" t="s">
        <v>449</v>
      </c>
      <c r="B34" s="261" t="s">
        <v>450</v>
      </c>
      <c r="C34" s="34"/>
      <c r="D34" s="262"/>
      <c r="E34" s="234">
        <v>8.0</v>
      </c>
      <c r="F34" s="235">
        <v>1631.75</v>
      </c>
      <c r="G34" s="264">
        <v>4500.0</v>
      </c>
      <c r="H34" s="265"/>
      <c r="I34" s="266">
        <v>4000.0</v>
      </c>
      <c r="J34" s="239"/>
      <c r="K34" s="240">
        <f t="shared" si="17"/>
        <v>8</v>
      </c>
      <c r="L34" s="241">
        <f t="shared" si="18"/>
        <v>4500</v>
      </c>
      <c r="M34" s="241">
        <f t="shared" si="19"/>
        <v>4000</v>
      </c>
      <c r="N34" s="242"/>
      <c r="O34" s="242"/>
      <c r="P34" s="242"/>
      <c r="Q34" s="242"/>
      <c r="R34" s="242"/>
      <c r="S34" s="242"/>
      <c r="T34" s="242"/>
      <c r="U34" s="242"/>
      <c r="V34" s="242"/>
      <c r="W34" s="242"/>
      <c r="X34" s="242"/>
      <c r="Y34" s="242"/>
      <c r="Z34" s="242"/>
      <c r="AA34" s="242"/>
      <c r="AB34" s="242"/>
    </row>
    <row r="35">
      <c r="A35" s="231" t="s">
        <v>451</v>
      </c>
      <c r="B35" s="247" t="s">
        <v>452</v>
      </c>
      <c r="C35" s="34"/>
      <c r="D35" s="248"/>
      <c r="E35" s="234">
        <v>2.0</v>
      </c>
      <c r="F35" s="235">
        <v>7704.72</v>
      </c>
      <c r="G35" s="236">
        <f t="shared" ref="G35:G58" si="20">F35/(1-0.5)</f>
        <v>15409.44</v>
      </c>
      <c r="H35" s="237"/>
      <c r="I35" s="238">
        <f t="shared" ref="I35:I58" si="21">F35/(1-0.45)</f>
        <v>14008.58182</v>
      </c>
      <c r="J35" s="252">
        <v>2.0</v>
      </c>
      <c r="K35" s="240">
        <f t="shared" si="17"/>
        <v>0</v>
      </c>
      <c r="L35" s="241">
        <f t="shared" si="18"/>
        <v>15500</v>
      </c>
      <c r="M35" s="241">
        <f t="shared" si="19"/>
        <v>14100</v>
      </c>
      <c r="N35" s="242"/>
      <c r="O35" s="242"/>
      <c r="P35" s="242"/>
      <c r="Q35" s="242"/>
      <c r="R35" s="242"/>
      <c r="S35" s="242"/>
      <c r="T35" s="242"/>
      <c r="U35" s="242"/>
      <c r="V35" s="242"/>
      <c r="W35" s="242"/>
      <c r="X35" s="242"/>
      <c r="Y35" s="242"/>
      <c r="Z35" s="242"/>
      <c r="AA35" s="242"/>
      <c r="AB35" s="242"/>
    </row>
    <row r="36">
      <c r="A36" s="231" t="s">
        <v>453</v>
      </c>
      <c r="B36" s="257" t="s">
        <v>454</v>
      </c>
      <c r="C36" s="34"/>
      <c r="D36" s="248"/>
      <c r="E36" s="234">
        <v>90.0</v>
      </c>
      <c r="F36" s="235">
        <v>1117.99</v>
      </c>
      <c r="G36" s="236">
        <f t="shared" si="20"/>
        <v>2235.98</v>
      </c>
      <c r="H36" s="237"/>
      <c r="I36" s="238">
        <f t="shared" si="21"/>
        <v>2032.709091</v>
      </c>
      <c r="J36" s="239"/>
      <c r="K36" s="240">
        <f t="shared" si="17"/>
        <v>90</v>
      </c>
      <c r="L36" s="241">
        <f t="shared" si="18"/>
        <v>2300</v>
      </c>
      <c r="M36" s="241">
        <f t="shared" si="19"/>
        <v>2100</v>
      </c>
      <c r="N36" s="242"/>
      <c r="O36" s="242"/>
      <c r="P36" s="242"/>
      <c r="Q36" s="242"/>
      <c r="R36" s="242"/>
      <c r="S36" s="242"/>
      <c r="T36" s="242"/>
      <c r="U36" s="242"/>
      <c r="V36" s="242"/>
      <c r="W36" s="242"/>
      <c r="X36" s="242"/>
      <c r="Y36" s="242"/>
      <c r="Z36" s="242"/>
      <c r="AA36" s="242"/>
      <c r="AB36" s="242"/>
    </row>
    <row r="37">
      <c r="A37" s="231" t="s">
        <v>455</v>
      </c>
      <c r="B37" s="257" t="s">
        <v>456</v>
      </c>
      <c r="C37" s="34"/>
      <c r="D37" s="267"/>
      <c r="E37" s="234">
        <v>90.0</v>
      </c>
      <c r="F37" s="235">
        <v>1948.78</v>
      </c>
      <c r="G37" s="236">
        <f t="shared" si="20"/>
        <v>3897.56</v>
      </c>
      <c r="H37" s="237"/>
      <c r="I37" s="238">
        <f t="shared" si="21"/>
        <v>3543.236364</v>
      </c>
      <c r="J37" s="239"/>
      <c r="K37" s="240">
        <f t="shared" si="17"/>
        <v>90</v>
      </c>
      <c r="L37" s="241">
        <f t="shared" si="18"/>
        <v>3900</v>
      </c>
      <c r="M37" s="241">
        <f t="shared" si="19"/>
        <v>3600</v>
      </c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  <c r="Y37" s="242"/>
      <c r="Z37" s="242"/>
      <c r="AA37" s="242"/>
      <c r="AB37" s="242"/>
    </row>
    <row r="38">
      <c r="A38" s="231" t="s">
        <v>457</v>
      </c>
      <c r="B38" s="268" t="s">
        <v>458</v>
      </c>
      <c r="C38" s="34"/>
      <c r="D38" s="269"/>
      <c r="E38" s="234">
        <v>6.0</v>
      </c>
      <c r="F38" s="235">
        <v>1467.41</v>
      </c>
      <c r="G38" s="236">
        <f t="shared" si="20"/>
        <v>2934.82</v>
      </c>
      <c r="H38" s="237"/>
      <c r="I38" s="238">
        <f t="shared" si="21"/>
        <v>2668.018182</v>
      </c>
      <c r="J38" s="239"/>
      <c r="K38" s="240">
        <f t="shared" si="17"/>
        <v>6</v>
      </c>
      <c r="L38" s="241">
        <f t="shared" si="18"/>
        <v>3000</v>
      </c>
      <c r="M38" s="241">
        <f t="shared" si="19"/>
        <v>2700</v>
      </c>
      <c r="N38" s="242"/>
      <c r="O38" s="242"/>
      <c r="P38" s="242"/>
      <c r="Q38" s="242"/>
      <c r="R38" s="242"/>
      <c r="S38" s="242"/>
      <c r="T38" s="242"/>
      <c r="U38" s="242"/>
      <c r="V38" s="242"/>
      <c r="W38" s="242"/>
      <c r="X38" s="242"/>
      <c r="Y38" s="242"/>
      <c r="Z38" s="242"/>
      <c r="AA38" s="242"/>
      <c r="AB38" s="242"/>
    </row>
    <row r="39" ht="15.75" customHeight="1">
      <c r="A39" s="231" t="s">
        <v>459</v>
      </c>
      <c r="B39" s="270" t="s">
        <v>460</v>
      </c>
      <c r="C39" s="34"/>
      <c r="D39" s="269"/>
      <c r="E39" s="234">
        <v>50.0</v>
      </c>
      <c r="F39" s="263">
        <v>609.12</v>
      </c>
      <c r="G39" s="236">
        <f t="shared" si="20"/>
        <v>1218.24</v>
      </c>
      <c r="H39" s="237"/>
      <c r="I39" s="238">
        <f t="shared" si="21"/>
        <v>1107.490909</v>
      </c>
      <c r="J39" s="271">
        <v>3.0</v>
      </c>
      <c r="K39" s="240">
        <f t="shared" si="17"/>
        <v>47</v>
      </c>
      <c r="L39" s="241">
        <f t="shared" si="18"/>
        <v>1300</v>
      </c>
      <c r="M39" s="241">
        <f t="shared" si="19"/>
        <v>1200</v>
      </c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42"/>
      <c r="Y39" s="242"/>
      <c r="Z39" s="242"/>
      <c r="AA39" s="242"/>
      <c r="AB39" s="242"/>
    </row>
    <row r="40">
      <c r="A40" s="231" t="s">
        <v>461</v>
      </c>
      <c r="B40" s="272" t="s">
        <v>462</v>
      </c>
      <c r="C40" s="34"/>
      <c r="D40" s="269"/>
      <c r="E40" s="234">
        <v>80.0</v>
      </c>
      <c r="F40" s="235">
        <v>1187.78</v>
      </c>
      <c r="G40" s="236">
        <f t="shared" si="20"/>
        <v>2375.56</v>
      </c>
      <c r="H40" s="237"/>
      <c r="I40" s="238">
        <f t="shared" si="21"/>
        <v>2159.6</v>
      </c>
      <c r="J40" s="273"/>
      <c r="K40" s="240">
        <f t="shared" si="17"/>
        <v>80</v>
      </c>
      <c r="L40" s="241">
        <f t="shared" si="18"/>
        <v>2400</v>
      </c>
      <c r="M40" s="241">
        <f t="shared" si="19"/>
        <v>2200</v>
      </c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242"/>
      <c r="AA40" s="242"/>
      <c r="AB40" s="242"/>
    </row>
    <row r="41" ht="20.25" customHeight="1">
      <c r="A41" s="274" t="s">
        <v>463</v>
      </c>
      <c r="B41" s="275" t="s">
        <v>464</v>
      </c>
      <c r="C41" s="3"/>
      <c r="D41" s="276"/>
      <c r="E41" s="277">
        <v>30.0</v>
      </c>
      <c r="F41" s="278">
        <v>730.94</v>
      </c>
      <c r="G41" s="279">
        <f t="shared" si="20"/>
        <v>1461.88</v>
      </c>
      <c r="H41" s="280"/>
      <c r="I41" s="281">
        <f t="shared" si="21"/>
        <v>1328.981818</v>
      </c>
      <c r="J41" s="271">
        <v>11.0</v>
      </c>
      <c r="K41" s="240">
        <f t="shared" si="17"/>
        <v>19</v>
      </c>
      <c r="L41" s="241">
        <f t="shared" si="18"/>
        <v>1500</v>
      </c>
      <c r="M41" s="241">
        <f t="shared" si="19"/>
        <v>1400</v>
      </c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242"/>
      <c r="AA41" s="242"/>
      <c r="AB41" s="242"/>
    </row>
    <row r="42" ht="16.5" customHeight="1">
      <c r="A42" s="231" t="s">
        <v>465</v>
      </c>
      <c r="B42" s="282" t="s">
        <v>466</v>
      </c>
      <c r="C42" s="35"/>
      <c r="D42" s="283"/>
      <c r="E42" s="234">
        <v>80.0</v>
      </c>
      <c r="F42" s="263">
        <v>730.94</v>
      </c>
      <c r="G42" s="236">
        <f t="shared" si="20"/>
        <v>1461.88</v>
      </c>
      <c r="H42" s="237"/>
      <c r="I42" s="238">
        <f t="shared" si="21"/>
        <v>1328.981818</v>
      </c>
      <c r="J42" s="284">
        <v>12.0</v>
      </c>
      <c r="K42" s="240">
        <f t="shared" si="17"/>
        <v>68</v>
      </c>
      <c r="L42" s="241">
        <f t="shared" si="18"/>
        <v>1500</v>
      </c>
      <c r="M42" s="241">
        <f t="shared" si="19"/>
        <v>1400</v>
      </c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  <c r="Z42" s="242"/>
      <c r="AA42" s="242"/>
      <c r="AB42" s="242"/>
    </row>
    <row r="43" ht="16.5" customHeight="1">
      <c r="A43" s="285" t="s">
        <v>467</v>
      </c>
      <c r="B43" s="286" t="s">
        <v>468</v>
      </c>
      <c r="C43" s="19"/>
      <c r="D43" s="287"/>
      <c r="E43" s="288">
        <v>40.0</v>
      </c>
      <c r="F43" s="289">
        <v>548.21</v>
      </c>
      <c r="G43" s="290">
        <f t="shared" si="20"/>
        <v>1096.42</v>
      </c>
      <c r="H43" s="291"/>
      <c r="I43" s="292">
        <f t="shared" si="21"/>
        <v>996.7454545</v>
      </c>
      <c r="J43" s="271">
        <v>6.0</v>
      </c>
      <c r="K43" s="240">
        <f t="shared" si="17"/>
        <v>34</v>
      </c>
      <c r="L43" s="241">
        <f t="shared" si="18"/>
        <v>1100</v>
      </c>
      <c r="M43" s="241">
        <f t="shared" si="19"/>
        <v>1000</v>
      </c>
      <c r="N43" s="242"/>
      <c r="O43" s="242"/>
      <c r="P43" s="242"/>
      <c r="Q43" s="242"/>
      <c r="R43" s="242"/>
      <c r="S43" s="242"/>
      <c r="T43" s="242"/>
      <c r="U43" s="242"/>
      <c r="V43" s="242"/>
      <c r="W43" s="242"/>
      <c r="X43" s="242"/>
      <c r="Y43" s="242"/>
      <c r="Z43" s="242"/>
      <c r="AA43" s="242"/>
      <c r="AB43" s="242"/>
    </row>
    <row r="44" ht="18.0" customHeight="1">
      <c r="A44" s="231" t="s">
        <v>469</v>
      </c>
      <c r="B44" s="293" t="s">
        <v>470</v>
      </c>
      <c r="C44" s="34"/>
      <c r="D44" s="269"/>
      <c r="E44" s="234">
        <v>80.0</v>
      </c>
      <c r="F44" s="263">
        <v>548.21</v>
      </c>
      <c r="G44" s="236">
        <f t="shared" si="20"/>
        <v>1096.42</v>
      </c>
      <c r="H44" s="237"/>
      <c r="I44" s="238">
        <f t="shared" si="21"/>
        <v>996.7454545</v>
      </c>
      <c r="J44" s="271">
        <v>10.0</v>
      </c>
      <c r="K44" s="240">
        <f t="shared" si="17"/>
        <v>70</v>
      </c>
      <c r="L44" s="241">
        <f t="shared" si="18"/>
        <v>1100</v>
      </c>
      <c r="M44" s="241">
        <f t="shared" si="19"/>
        <v>1000</v>
      </c>
      <c r="N44" s="242"/>
      <c r="O44" s="242"/>
      <c r="P44" s="242"/>
      <c r="Q44" s="242"/>
      <c r="R44" s="242"/>
      <c r="S44" s="242"/>
      <c r="T44" s="242"/>
      <c r="U44" s="242"/>
      <c r="V44" s="242"/>
      <c r="W44" s="242"/>
      <c r="X44" s="242"/>
      <c r="Y44" s="242"/>
      <c r="Z44" s="242"/>
      <c r="AA44" s="242"/>
      <c r="AB44" s="242"/>
    </row>
    <row r="45">
      <c r="A45" s="231" t="s">
        <v>471</v>
      </c>
      <c r="B45" s="294" t="s">
        <v>472</v>
      </c>
      <c r="C45" s="34"/>
      <c r="D45" s="269"/>
      <c r="E45" s="234">
        <v>80.0</v>
      </c>
      <c r="F45" s="263">
        <v>517.75</v>
      </c>
      <c r="G45" s="236">
        <f t="shared" si="20"/>
        <v>1035.5</v>
      </c>
      <c r="H45" s="237"/>
      <c r="I45" s="238">
        <f t="shared" si="21"/>
        <v>941.3636364</v>
      </c>
      <c r="J45" s="273"/>
      <c r="K45" s="240">
        <f t="shared" si="17"/>
        <v>80</v>
      </c>
      <c r="L45" s="241">
        <f t="shared" si="18"/>
        <v>1100</v>
      </c>
      <c r="M45" s="241">
        <f t="shared" si="19"/>
        <v>1000</v>
      </c>
      <c r="N45" s="242"/>
      <c r="O45" s="242"/>
      <c r="P45" s="242"/>
      <c r="Q45" s="242"/>
      <c r="R45" s="242"/>
      <c r="S45" s="242"/>
      <c r="T45" s="242"/>
      <c r="U45" s="242"/>
      <c r="V45" s="242"/>
      <c r="W45" s="242"/>
      <c r="X45" s="242"/>
      <c r="Y45" s="242"/>
      <c r="Z45" s="242"/>
      <c r="AA45" s="242"/>
      <c r="AB45" s="242"/>
    </row>
    <row r="46" ht="15.0" customHeight="1">
      <c r="A46" s="231" t="s">
        <v>473</v>
      </c>
      <c r="B46" s="294" t="s">
        <v>474</v>
      </c>
      <c r="C46" s="34"/>
      <c r="D46" s="269"/>
      <c r="E46" s="234">
        <v>50.0</v>
      </c>
      <c r="F46" s="263">
        <v>517.75</v>
      </c>
      <c r="G46" s="236">
        <f t="shared" si="20"/>
        <v>1035.5</v>
      </c>
      <c r="H46" s="237"/>
      <c r="I46" s="238">
        <f t="shared" si="21"/>
        <v>941.3636364</v>
      </c>
      <c r="J46" s="273"/>
      <c r="K46" s="240">
        <f t="shared" si="17"/>
        <v>50</v>
      </c>
      <c r="L46" s="241">
        <f t="shared" si="18"/>
        <v>1100</v>
      </c>
      <c r="M46" s="241">
        <f t="shared" si="19"/>
        <v>1000</v>
      </c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42"/>
      <c r="Y46" s="242"/>
      <c r="Z46" s="242"/>
      <c r="AA46" s="242"/>
      <c r="AB46" s="242"/>
    </row>
    <row r="47">
      <c r="A47" s="231" t="s">
        <v>475</v>
      </c>
      <c r="B47" s="247" t="s">
        <v>476</v>
      </c>
      <c r="C47" s="34"/>
      <c r="D47" s="248"/>
      <c r="E47" s="234">
        <v>30.0</v>
      </c>
      <c r="F47" s="263">
        <v>935.5</v>
      </c>
      <c r="G47" s="236">
        <f t="shared" si="20"/>
        <v>1871</v>
      </c>
      <c r="H47" s="237"/>
      <c r="I47" s="238">
        <f t="shared" si="21"/>
        <v>1700.909091</v>
      </c>
      <c r="J47" s="273"/>
      <c r="K47" s="240">
        <f t="shared" si="17"/>
        <v>30</v>
      </c>
      <c r="L47" s="241">
        <f t="shared" si="18"/>
        <v>1900</v>
      </c>
      <c r="M47" s="241">
        <f t="shared" si="19"/>
        <v>1800</v>
      </c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2"/>
      <c r="AA47" s="242"/>
      <c r="AB47" s="242"/>
    </row>
    <row r="48">
      <c r="A48" s="231" t="s">
        <v>477</v>
      </c>
      <c r="B48" s="247" t="s">
        <v>478</v>
      </c>
      <c r="C48" s="34"/>
      <c r="D48" s="248"/>
      <c r="E48" s="234">
        <v>30.0</v>
      </c>
      <c r="F48" s="263">
        <v>460.08</v>
      </c>
      <c r="G48" s="236">
        <f t="shared" si="20"/>
        <v>920.16</v>
      </c>
      <c r="H48" s="237"/>
      <c r="I48" s="238">
        <f t="shared" si="21"/>
        <v>836.5090909</v>
      </c>
      <c r="J48" s="273"/>
      <c r="K48" s="240">
        <f t="shared" si="17"/>
        <v>30</v>
      </c>
      <c r="L48" s="241">
        <f t="shared" si="18"/>
        <v>1000</v>
      </c>
      <c r="M48" s="241">
        <f t="shared" si="19"/>
        <v>900</v>
      </c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42"/>
      <c r="Y48" s="242"/>
      <c r="Z48" s="242"/>
      <c r="AA48" s="242"/>
      <c r="AB48" s="242"/>
    </row>
    <row r="49">
      <c r="A49" s="231" t="s">
        <v>479</v>
      </c>
      <c r="B49" s="247" t="s">
        <v>480</v>
      </c>
      <c r="C49" s="34"/>
      <c r="D49" s="248"/>
      <c r="E49" s="234">
        <v>2.0</v>
      </c>
      <c r="F49" s="235">
        <v>3456.76</v>
      </c>
      <c r="G49" s="236">
        <f t="shared" si="20"/>
        <v>6913.52</v>
      </c>
      <c r="H49" s="237"/>
      <c r="I49" s="238">
        <f t="shared" si="21"/>
        <v>6285.018182</v>
      </c>
      <c r="J49" s="273"/>
      <c r="K49" s="240">
        <f t="shared" si="17"/>
        <v>2</v>
      </c>
      <c r="L49" s="241">
        <f t="shared" si="18"/>
        <v>7000</v>
      </c>
      <c r="M49" s="241">
        <f t="shared" si="19"/>
        <v>6300</v>
      </c>
      <c r="N49" s="242"/>
      <c r="O49" s="242"/>
      <c r="P49" s="242"/>
      <c r="Q49" s="242"/>
      <c r="R49" s="242"/>
      <c r="S49" s="242"/>
      <c r="T49" s="242"/>
      <c r="U49" s="242"/>
      <c r="V49" s="242"/>
      <c r="W49" s="242"/>
      <c r="X49" s="242"/>
      <c r="Y49" s="242"/>
      <c r="Z49" s="242"/>
      <c r="AA49" s="242"/>
      <c r="AB49" s="242"/>
    </row>
    <row r="50">
      <c r="A50" s="231" t="s">
        <v>481</v>
      </c>
      <c r="B50" s="295" t="s">
        <v>482</v>
      </c>
      <c r="C50" s="34"/>
      <c r="D50" s="296"/>
      <c r="E50" s="234">
        <v>80.0</v>
      </c>
      <c r="F50" s="263">
        <v>974.59</v>
      </c>
      <c r="G50" s="236">
        <f t="shared" si="20"/>
        <v>1949.18</v>
      </c>
      <c r="H50" s="237"/>
      <c r="I50" s="238">
        <f t="shared" si="21"/>
        <v>1771.981818</v>
      </c>
      <c r="J50" s="271">
        <v>2.0</v>
      </c>
      <c r="K50" s="240">
        <f t="shared" si="17"/>
        <v>78</v>
      </c>
      <c r="L50" s="241">
        <f t="shared" si="18"/>
        <v>2000</v>
      </c>
      <c r="M50" s="241">
        <f t="shared" si="19"/>
        <v>1800</v>
      </c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242"/>
      <c r="Y50" s="242"/>
      <c r="Z50" s="242"/>
      <c r="AA50" s="242"/>
      <c r="AB50" s="242"/>
    </row>
    <row r="51">
      <c r="A51" s="231" t="s">
        <v>483</v>
      </c>
      <c r="B51" s="295" t="s">
        <v>484</v>
      </c>
      <c r="C51" s="34"/>
      <c r="D51" s="296"/>
      <c r="E51" s="234">
        <v>30.0</v>
      </c>
      <c r="F51" s="263">
        <v>974.59</v>
      </c>
      <c r="G51" s="236">
        <f t="shared" si="20"/>
        <v>1949.18</v>
      </c>
      <c r="H51" s="237"/>
      <c r="I51" s="238">
        <f t="shared" si="21"/>
        <v>1771.981818</v>
      </c>
      <c r="J51" s="271">
        <v>3.0</v>
      </c>
      <c r="K51" s="240">
        <f t="shared" si="17"/>
        <v>27</v>
      </c>
      <c r="L51" s="241">
        <f t="shared" si="18"/>
        <v>2000</v>
      </c>
      <c r="M51" s="241">
        <f t="shared" si="19"/>
        <v>1800</v>
      </c>
      <c r="N51" s="242"/>
      <c r="O51" s="242"/>
      <c r="P51" s="242"/>
      <c r="Q51" s="242"/>
      <c r="R51" s="242"/>
      <c r="S51" s="242"/>
      <c r="T51" s="242"/>
      <c r="U51" s="242"/>
      <c r="V51" s="242"/>
      <c r="W51" s="242"/>
      <c r="X51" s="242"/>
      <c r="Y51" s="242"/>
      <c r="Z51" s="242"/>
      <c r="AA51" s="242"/>
      <c r="AB51" s="242"/>
    </row>
    <row r="52">
      <c r="A52" s="231" t="s">
        <v>485</v>
      </c>
      <c r="B52" s="297" t="s">
        <v>486</v>
      </c>
      <c r="C52" s="34"/>
      <c r="D52" s="298"/>
      <c r="E52" s="234">
        <v>2.0</v>
      </c>
      <c r="F52" s="235">
        <v>7595.63</v>
      </c>
      <c r="G52" s="236">
        <f t="shared" si="20"/>
        <v>15191.26</v>
      </c>
      <c r="H52" s="237"/>
      <c r="I52" s="238">
        <f t="shared" si="21"/>
        <v>13810.23636</v>
      </c>
      <c r="J52" s="273"/>
      <c r="K52" s="240">
        <f t="shared" si="17"/>
        <v>2</v>
      </c>
      <c r="L52" s="241">
        <f t="shared" si="18"/>
        <v>15200</v>
      </c>
      <c r="M52" s="241">
        <f t="shared" si="19"/>
        <v>13900</v>
      </c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  <c r="Z52" s="242"/>
      <c r="AA52" s="242"/>
      <c r="AB52" s="242"/>
    </row>
    <row r="53">
      <c r="A53" s="231" t="s">
        <v>487</v>
      </c>
      <c r="B53" s="297" t="s">
        <v>488</v>
      </c>
      <c r="C53" s="34"/>
      <c r="D53" s="298"/>
      <c r="E53" s="234">
        <v>1000.0</v>
      </c>
      <c r="F53" s="235">
        <v>14055.18</v>
      </c>
      <c r="G53" s="236">
        <f t="shared" si="20"/>
        <v>28110.36</v>
      </c>
      <c r="H53" s="265">
        <v>29.0</v>
      </c>
      <c r="I53" s="238">
        <f t="shared" si="21"/>
        <v>25554.87273</v>
      </c>
      <c r="J53" s="273"/>
      <c r="K53" s="240">
        <f t="shared" si="17"/>
        <v>1000</v>
      </c>
      <c r="L53" s="241">
        <f t="shared" si="18"/>
        <v>28200</v>
      </c>
      <c r="M53" s="241">
        <f t="shared" si="19"/>
        <v>25600</v>
      </c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242"/>
      <c r="Y53" s="242"/>
      <c r="Z53" s="242"/>
      <c r="AA53" s="242"/>
      <c r="AB53" s="242"/>
    </row>
    <row r="54">
      <c r="A54" s="231" t="s">
        <v>489</v>
      </c>
      <c r="B54" s="247" t="s">
        <v>490</v>
      </c>
      <c r="C54" s="34"/>
      <c r="D54" s="248"/>
      <c r="E54" s="234">
        <v>4.0</v>
      </c>
      <c r="F54" s="235">
        <v>3400.67</v>
      </c>
      <c r="G54" s="236">
        <f t="shared" si="20"/>
        <v>6801.34</v>
      </c>
      <c r="H54" s="237">
        <f>G54/1000</f>
        <v>6.80134</v>
      </c>
      <c r="I54" s="238">
        <f t="shared" si="21"/>
        <v>6183.036364</v>
      </c>
      <c r="J54" s="271">
        <v>1.0</v>
      </c>
      <c r="K54" s="240">
        <f t="shared" si="17"/>
        <v>3</v>
      </c>
      <c r="L54" s="241">
        <f t="shared" si="18"/>
        <v>6900</v>
      </c>
      <c r="M54" s="241">
        <f t="shared" si="19"/>
        <v>6200</v>
      </c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242"/>
      <c r="Y54" s="242"/>
      <c r="Z54" s="242"/>
      <c r="AA54" s="242"/>
      <c r="AB54" s="242"/>
    </row>
    <row r="55">
      <c r="A55" s="231" t="s">
        <v>491</v>
      </c>
      <c r="B55" s="299" t="s">
        <v>492</v>
      </c>
      <c r="C55" s="34"/>
      <c r="D55" s="300"/>
      <c r="E55" s="234">
        <v>20.0</v>
      </c>
      <c r="F55" s="263">
        <v>444.74</v>
      </c>
      <c r="G55" s="236">
        <f t="shared" si="20"/>
        <v>889.48</v>
      </c>
      <c r="H55" s="237"/>
      <c r="I55" s="238">
        <f t="shared" si="21"/>
        <v>808.6181818</v>
      </c>
      <c r="J55" s="273"/>
      <c r="K55" s="240">
        <f t="shared" si="17"/>
        <v>20</v>
      </c>
      <c r="L55" s="241">
        <f t="shared" si="18"/>
        <v>900</v>
      </c>
      <c r="M55" s="241">
        <f t="shared" si="19"/>
        <v>900</v>
      </c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  <c r="Z55" s="242"/>
      <c r="AA55" s="242"/>
      <c r="AB55" s="242"/>
    </row>
    <row r="56">
      <c r="A56" s="231" t="s">
        <v>493</v>
      </c>
      <c r="B56" s="243" t="s">
        <v>494</v>
      </c>
      <c r="C56" s="34"/>
      <c r="D56" s="244"/>
      <c r="E56" s="234">
        <v>1.0</v>
      </c>
      <c r="F56" s="235">
        <v>6105.71</v>
      </c>
      <c r="G56" s="236">
        <f t="shared" si="20"/>
        <v>12211.42</v>
      </c>
      <c r="H56" s="237"/>
      <c r="I56" s="238">
        <f t="shared" si="21"/>
        <v>11101.29091</v>
      </c>
      <c r="J56" s="273"/>
      <c r="K56" s="240">
        <f t="shared" si="17"/>
        <v>1</v>
      </c>
      <c r="L56" s="241">
        <f t="shared" si="18"/>
        <v>12300</v>
      </c>
      <c r="M56" s="241">
        <f t="shared" si="19"/>
        <v>11200</v>
      </c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242"/>
      <c r="AA56" s="242"/>
      <c r="AB56" s="242"/>
    </row>
    <row r="57">
      <c r="A57" s="231" t="s">
        <v>495</v>
      </c>
      <c r="B57" s="243" t="s">
        <v>496</v>
      </c>
      <c r="C57" s="34"/>
      <c r="D57" s="244"/>
      <c r="E57" s="234">
        <v>1.0</v>
      </c>
      <c r="F57" s="235">
        <v>6105.71</v>
      </c>
      <c r="G57" s="236">
        <f t="shared" si="20"/>
        <v>12211.42</v>
      </c>
      <c r="H57" s="237"/>
      <c r="I57" s="238">
        <f t="shared" si="21"/>
        <v>11101.29091</v>
      </c>
      <c r="J57" s="273"/>
      <c r="K57" s="240">
        <f t="shared" si="17"/>
        <v>1</v>
      </c>
      <c r="L57" s="241">
        <f t="shared" si="18"/>
        <v>12300</v>
      </c>
      <c r="M57" s="241">
        <f t="shared" si="19"/>
        <v>11200</v>
      </c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42"/>
      <c r="Y57" s="242"/>
      <c r="Z57" s="242"/>
      <c r="AA57" s="242"/>
      <c r="AB57" s="242"/>
    </row>
    <row r="58" ht="18.0" customHeight="1">
      <c r="A58" s="231" t="s">
        <v>497</v>
      </c>
      <c r="B58" s="247" t="s">
        <v>498</v>
      </c>
      <c r="C58" s="34"/>
      <c r="D58" s="248"/>
      <c r="E58" s="234">
        <v>2.0</v>
      </c>
      <c r="F58" s="235">
        <v>15581.38</v>
      </c>
      <c r="G58" s="236">
        <f t="shared" si="20"/>
        <v>31162.76</v>
      </c>
      <c r="H58" s="237"/>
      <c r="I58" s="238">
        <f t="shared" si="21"/>
        <v>28329.78182</v>
      </c>
      <c r="J58" s="271">
        <v>2.0</v>
      </c>
      <c r="K58" s="240">
        <f t="shared" si="17"/>
        <v>0</v>
      </c>
      <c r="L58" s="241">
        <f t="shared" si="18"/>
        <v>31200</v>
      </c>
      <c r="M58" s="241">
        <f t="shared" si="19"/>
        <v>28400</v>
      </c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42"/>
      <c r="Y58" s="242"/>
      <c r="Z58" s="242"/>
      <c r="AA58" s="242"/>
      <c r="AB58" s="242"/>
    </row>
    <row r="59">
      <c r="A59" s="231">
        <v>378216.0</v>
      </c>
      <c r="B59" s="247" t="s">
        <v>499</v>
      </c>
      <c r="C59" s="34"/>
      <c r="D59" s="248"/>
      <c r="E59" s="234">
        <v>2.0</v>
      </c>
      <c r="F59" s="235">
        <v>11870.06</v>
      </c>
      <c r="G59" s="301">
        <f>11.98*1300</f>
        <v>15574</v>
      </c>
      <c r="H59" s="301">
        <f t="shared" ref="H59:I59" si="22">2.19*1300</f>
        <v>2847</v>
      </c>
      <c r="I59" s="301">
        <f t="shared" si="22"/>
        <v>2847</v>
      </c>
      <c r="J59" s="302">
        <v>462.0</v>
      </c>
      <c r="K59" s="302">
        <v>140.0</v>
      </c>
      <c r="L59" s="302">
        <v>900.0</v>
      </c>
      <c r="M59" s="241">
        <f t="shared" si="19"/>
        <v>2900</v>
      </c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2"/>
      <c r="Z59" s="242"/>
      <c r="AA59" s="242"/>
      <c r="AB59" s="242"/>
    </row>
    <row r="60">
      <c r="A60" s="231">
        <v>378201.0</v>
      </c>
      <c r="B60" s="297" t="s">
        <v>500</v>
      </c>
      <c r="C60" s="34"/>
      <c r="D60" s="298"/>
      <c r="E60" s="234">
        <v>15.0</v>
      </c>
      <c r="F60" s="235">
        <v>1518.26</v>
      </c>
      <c r="G60" s="236">
        <f t="shared" ref="G60:G61" si="23">F60/(1-0.5)</f>
        <v>3036.52</v>
      </c>
      <c r="H60" s="237"/>
      <c r="I60" s="238">
        <f t="shared" ref="I60:I84" si="24">F60/(1-0.45)</f>
        <v>2760.472727</v>
      </c>
      <c r="J60" s="271">
        <v>1.0</v>
      </c>
      <c r="K60" s="240">
        <f t="shared" ref="K60:K84" si="25">E60-J60</f>
        <v>14</v>
      </c>
      <c r="L60" s="241">
        <f t="shared" ref="L60:L84" si="26">ROUNDUP(G60,-2)</f>
        <v>3100</v>
      </c>
      <c r="M60" s="241">
        <f t="shared" si="19"/>
        <v>2800</v>
      </c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2"/>
      <c r="Z60" s="242"/>
      <c r="AA60" s="242"/>
      <c r="AB60" s="242"/>
    </row>
    <row r="61">
      <c r="A61" s="231">
        <v>378200.0</v>
      </c>
      <c r="B61" s="297" t="s">
        <v>501</v>
      </c>
      <c r="C61" s="34"/>
      <c r="D61" s="298"/>
      <c r="E61" s="234">
        <v>20.0</v>
      </c>
      <c r="F61" s="235">
        <v>1180.87</v>
      </c>
      <c r="G61" s="236">
        <f t="shared" si="23"/>
        <v>2361.74</v>
      </c>
      <c r="H61" s="237"/>
      <c r="I61" s="238">
        <f t="shared" si="24"/>
        <v>2147.036364</v>
      </c>
      <c r="J61" s="273"/>
      <c r="K61" s="240">
        <f t="shared" si="25"/>
        <v>20</v>
      </c>
      <c r="L61" s="241">
        <f t="shared" si="26"/>
        <v>2400</v>
      </c>
      <c r="M61" s="241">
        <f t="shared" si="19"/>
        <v>2200</v>
      </c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42"/>
      <c r="Y61" s="242"/>
      <c r="Z61" s="242"/>
      <c r="AA61" s="242"/>
      <c r="AB61" s="242"/>
    </row>
    <row r="62">
      <c r="A62" s="231" t="s">
        <v>502</v>
      </c>
      <c r="B62" s="303" t="s">
        <v>503</v>
      </c>
      <c r="C62" s="34"/>
      <c r="D62" s="304"/>
      <c r="E62" s="234">
        <v>15.0</v>
      </c>
      <c r="F62" s="235">
        <v>1483.8</v>
      </c>
      <c r="G62" s="236">
        <f>F62*1.5</f>
        <v>2225.7</v>
      </c>
      <c r="H62" s="237">
        <f t="shared" ref="H62:H64" si="27">G62/50</f>
        <v>44.514</v>
      </c>
      <c r="I62" s="238">
        <f t="shared" si="24"/>
        <v>2697.818182</v>
      </c>
      <c r="J62" s="273"/>
      <c r="K62" s="240">
        <f t="shared" si="25"/>
        <v>15</v>
      </c>
      <c r="L62" s="241">
        <f t="shared" si="26"/>
        <v>2300</v>
      </c>
      <c r="M62" s="241">
        <f t="shared" si="19"/>
        <v>2700</v>
      </c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242"/>
      <c r="AA62" s="242"/>
      <c r="AB62" s="242"/>
    </row>
    <row r="63">
      <c r="A63" s="231" t="s">
        <v>504</v>
      </c>
      <c r="B63" s="303" t="s">
        <v>505</v>
      </c>
      <c r="C63" s="34"/>
      <c r="D63" s="304"/>
      <c r="E63" s="234">
        <v>15.0</v>
      </c>
      <c r="F63" s="235">
        <v>1545.7</v>
      </c>
      <c r="G63" s="236">
        <f t="shared" ref="G63:G84" si="28">F63/(1-0.5)</f>
        <v>3091.4</v>
      </c>
      <c r="H63" s="237">
        <f t="shared" si="27"/>
        <v>61.828</v>
      </c>
      <c r="I63" s="238">
        <f t="shared" si="24"/>
        <v>2810.363636</v>
      </c>
      <c r="J63" s="273"/>
      <c r="K63" s="240">
        <f t="shared" si="25"/>
        <v>15</v>
      </c>
      <c r="L63" s="241">
        <f t="shared" si="26"/>
        <v>3100</v>
      </c>
      <c r="M63" s="241">
        <f t="shared" si="19"/>
        <v>2900</v>
      </c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  <c r="Z63" s="242"/>
      <c r="AA63" s="242"/>
      <c r="AB63" s="242"/>
    </row>
    <row r="64" ht="17.25" customHeight="1">
      <c r="A64" s="231" t="s">
        <v>506</v>
      </c>
      <c r="B64" s="303" t="s">
        <v>507</v>
      </c>
      <c r="C64" s="34"/>
      <c r="D64" s="304"/>
      <c r="E64" s="234">
        <v>15.0</v>
      </c>
      <c r="F64" s="235">
        <v>1166.49</v>
      </c>
      <c r="G64" s="236">
        <f t="shared" si="28"/>
        <v>2332.98</v>
      </c>
      <c r="H64" s="237">
        <f t="shared" si="27"/>
        <v>46.6596</v>
      </c>
      <c r="I64" s="238">
        <f t="shared" si="24"/>
        <v>2120.890909</v>
      </c>
      <c r="J64" s="273"/>
      <c r="K64" s="240">
        <f t="shared" si="25"/>
        <v>15</v>
      </c>
      <c r="L64" s="241">
        <f t="shared" si="26"/>
        <v>2400</v>
      </c>
      <c r="M64" s="241">
        <f t="shared" si="19"/>
        <v>2200</v>
      </c>
      <c r="N64" s="242"/>
      <c r="O64" s="242"/>
      <c r="P64" s="242"/>
      <c r="Q64" s="242"/>
      <c r="R64" s="242"/>
      <c r="S64" s="242"/>
      <c r="T64" s="242"/>
      <c r="U64" s="242"/>
      <c r="V64" s="242"/>
      <c r="W64" s="242"/>
      <c r="X64" s="242"/>
      <c r="Y64" s="242"/>
      <c r="Z64" s="242"/>
      <c r="AA64" s="242"/>
      <c r="AB64" s="242"/>
    </row>
    <row r="65">
      <c r="A65" s="231" t="s">
        <v>508</v>
      </c>
      <c r="B65" s="305" t="s">
        <v>509</v>
      </c>
      <c r="C65" s="34"/>
      <c r="D65" s="306"/>
      <c r="E65" s="234">
        <v>30.0</v>
      </c>
      <c r="F65" s="263">
        <v>491.22</v>
      </c>
      <c r="G65" s="236">
        <f t="shared" si="28"/>
        <v>982.44</v>
      </c>
      <c r="H65" s="237"/>
      <c r="I65" s="238">
        <f t="shared" si="24"/>
        <v>893.1272727</v>
      </c>
      <c r="J65" s="273"/>
      <c r="K65" s="240">
        <f t="shared" si="25"/>
        <v>30</v>
      </c>
      <c r="L65" s="241">
        <f t="shared" si="26"/>
        <v>1000</v>
      </c>
      <c r="M65" s="241">
        <f t="shared" si="19"/>
        <v>900</v>
      </c>
      <c r="N65" s="242"/>
      <c r="O65" s="242"/>
      <c r="P65" s="242"/>
      <c r="Q65" s="242"/>
      <c r="R65" s="242"/>
      <c r="S65" s="242"/>
      <c r="T65" s="242"/>
      <c r="U65" s="242"/>
      <c r="V65" s="242"/>
      <c r="W65" s="242"/>
      <c r="X65" s="242"/>
      <c r="Y65" s="242"/>
      <c r="Z65" s="242"/>
      <c r="AA65" s="242"/>
      <c r="AB65" s="242"/>
    </row>
    <row r="66">
      <c r="A66" s="231" t="s">
        <v>510</v>
      </c>
      <c r="B66" s="305" t="s">
        <v>511</v>
      </c>
      <c r="C66" s="34"/>
      <c r="D66" s="306"/>
      <c r="E66" s="234">
        <v>30.0</v>
      </c>
      <c r="F66" s="263">
        <v>491.22</v>
      </c>
      <c r="G66" s="236">
        <f t="shared" si="28"/>
        <v>982.44</v>
      </c>
      <c r="H66" s="237"/>
      <c r="I66" s="238">
        <f t="shared" si="24"/>
        <v>893.1272727</v>
      </c>
      <c r="J66" s="273"/>
      <c r="K66" s="240">
        <f t="shared" si="25"/>
        <v>30</v>
      </c>
      <c r="L66" s="241">
        <f t="shared" si="26"/>
        <v>1000</v>
      </c>
      <c r="M66" s="241">
        <f t="shared" si="19"/>
        <v>900</v>
      </c>
      <c r="N66" s="242"/>
      <c r="O66" s="242"/>
      <c r="P66" s="242"/>
      <c r="Q66" s="242"/>
      <c r="R66" s="242"/>
      <c r="S66" s="242"/>
      <c r="T66" s="242"/>
      <c r="U66" s="242"/>
      <c r="V66" s="242"/>
      <c r="W66" s="242"/>
      <c r="X66" s="242"/>
      <c r="Y66" s="242"/>
      <c r="Z66" s="242"/>
      <c r="AA66" s="242"/>
      <c r="AB66" s="242"/>
    </row>
    <row r="67">
      <c r="A67" s="231" t="s">
        <v>512</v>
      </c>
      <c r="B67" s="307" t="s">
        <v>513</v>
      </c>
      <c r="C67" s="34"/>
      <c r="D67" s="308"/>
      <c r="E67" s="234">
        <v>30.0</v>
      </c>
      <c r="F67" s="263">
        <v>688.55</v>
      </c>
      <c r="G67" s="236">
        <f t="shared" si="28"/>
        <v>1377.1</v>
      </c>
      <c r="H67" s="237"/>
      <c r="I67" s="238">
        <f t="shared" si="24"/>
        <v>1251.909091</v>
      </c>
      <c r="J67" s="271">
        <v>5.0</v>
      </c>
      <c r="K67" s="240">
        <f t="shared" si="25"/>
        <v>25</v>
      </c>
      <c r="L67" s="241">
        <f t="shared" si="26"/>
        <v>1400</v>
      </c>
      <c r="M67" s="241">
        <f t="shared" si="19"/>
        <v>1300</v>
      </c>
      <c r="N67" s="242"/>
      <c r="O67" s="242"/>
      <c r="P67" s="242"/>
      <c r="Q67" s="242"/>
      <c r="R67" s="242"/>
      <c r="S67" s="242"/>
      <c r="T67" s="242"/>
      <c r="U67" s="242"/>
      <c r="V67" s="242"/>
      <c r="W67" s="242"/>
      <c r="X67" s="242"/>
      <c r="Y67" s="242"/>
      <c r="Z67" s="242"/>
      <c r="AA67" s="242"/>
      <c r="AB67" s="242"/>
    </row>
    <row r="68" ht="20.25" customHeight="1">
      <c r="A68" s="231" t="s">
        <v>514</v>
      </c>
      <c r="B68" s="307" t="s">
        <v>515</v>
      </c>
      <c r="C68" s="34"/>
      <c r="D68" s="308"/>
      <c r="E68" s="234">
        <v>30.0</v>
      </c>
      <c r="F68" s="263">
        <v>726.96</v>
      </c>
      <c r="G68" s="236">
        <f t="shared" si="28"/>
        <v>1453.92</v>
      </c>
      <c r="H68" s="237"/>
      <c r="I68" s="238">
        <f t="shared" si="24"/>
        <v>1321.745455</v>
      </c>
      <c r="J68" s="271">
        <v>9.0</v>
      </c>
      <c r="K68" s="240">
        <f t="shared" si="25"/>
        <v>21</v>
      </c>
      <c r="L68" s="241">
        <f t="shared" si="26"/>
        <v>1500</v>
      </c>
      <c r="M68" s="241">
        <f t="shared" si="19"/>
        <v>1400</v>
      </c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242"/>
      <c r="Z68" s="242"/>
      <c r="AA68" s="242"/>
      <c r="AB68" s="242"/>
    </row>
    <row r="69">
      <c r="A69" s="231" t="s">
        <v>516</v>
      </c>
      <c r="B69" s="309" t="s">
        <v>517</v>
      </c>
      <c r="C69" s="34"/>
      <c r="D69" s="310"/>
      <c r="E69" s="234">
        <v>30.0</v>
      </c>
      <c r="F69" s="235">
        <v>1876.59</v>
      </c>
      <c r="G69" s="236">
        <f t="shared" si="28"/>
        <v>3753.18</v>
      </c>
      <c r="H69" s="237"/>
      <c r="I69" s="238">
        <f t="shared" si="24"/>
        <v>3411.981818</v>
      </c>
      <c r="J69" s="271">
        <v>1.0</v>
      </c>
      <c r="K69" s="240">
        <f t="shared" si="25"/>
        <v>29</v>
      </c>
      <c r="L69" s="241">
        <f t="shared" si="26"/>
        <v>3800</v>
      </c>
      <c r="M69" s="241">
        <f t="shared" si="19"/>
        <v>3500</v>
      </c>
      <c r="N69" s="242"/>
      <c r="O69" s="242"/>
      <c r="P69" s="242"/>
      <c r="Q69" s="242"/>
      <c r="R69" s="242"/>
      <c r="S69" s="242"/>
      <c r="T69" s="242"/>
      <c r="U69" s="242"/>
      <c r="V69" s="242"/>
      <c r="W69" s="242"/>
      <c r="X69" s="242"/>
      <c r="Y69" s="242"/>
      <c r="Z69" s="242"/>
      <c r="AA69" s="242"/>
      <c r="AB69" s="242"/>
    </row>
    <row r="70" ht="18.75" customHeight="1">
      <c r="A70" s="231" t="s">
        <v>518</v>
      </c>
      <c r="B70" s="309" t="s">
        <v>519</v>
      </c>
      <c r="C70" s="34"/>
      <c r="D70" s="310"/>
      <c r="E70" s="234">
        <v>15.0</v>
      </c>
      <c r="F70" s="235">
        <v>2364.22</v>
      </c>
      <c r="G70" s="236">
        <f t="shared" si="28"/>
        <v>4728.44</v>
      </c>
      <c r="H70" s="237"/>
      <c r="I70" s="238">
        <f t="shared" si="24"/>
        <v>4298.581818</v>
      </c>
      <c r="J70" s="273"/>
      <c r="K70" s="240">
        <f t="shared" si="25"/>
        <v>15</v>
      </c>
      <c r="L70" s="241">
        <f t="shared" si="26"/>
        <v>4800</v>
      </c>
      <c r="M70" s="241">
        <f t="shared" si="19"/>
        <v>4300</v>
      </c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42"/>
      <c r="Z70" s="242"/>
      <c r="AA70" s="242"/>
      <c r="AB70" s="242"/>
    </row>
    <row r="71">
      <c r="A71" s="231" t="s">
        <v>520</v>
      </c>
      <c r="B71" s="311" t="s">
        <v>521</v>
      </c>
      <c r="C71" s="34"/>
      <c r="D71" s="312"/>
      <c r="E71" s="234">
        <v>30.0</v>
      </c>
      <c r="F71" s="263">
        <v>650.9</v>
      </c>
      <c r="G71" s="236">
        <f t="shared" si="28"/>
        <v>1301.8</v>
      </c>
      <c r="H71" s="237"/>
      <c r="I71" s="238">
        <f t="shared" si="24"/>
        <v>1183.454545</v>
      </c>
      <c r="J71" s="273"/>
      <c r="K71" s="240">
        <f t="shared" si="25"/>
        <v>30</v>
      </c>
      <c r="L71" s="241">
        <f t="shared" si="26"/>
        <v>1400</v>
      </c>
      <c r="M71" s="241">
        <f t="shared" si="19"/>
        <v>1200</v>
      </c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  <c r="Y71" s="242"/>
      <c r="Z71" s="242"/>
      <c r="AA71" s="242"/>
      <c r="AB71" s="242"/>
    </row>
    <row r="72" ht="20.25" customHeight="1">
      <c r="A72" s="231" t="s">
        <v>522</v>
      </c>
      <c r="B72" s="311" t="s">
        <v>523</v>
      </c>
      <c r="C72" s="34"/>
      <c r="D72" s="312"/>
      <c r="E72" s="234">
        <v>30.0</v>
      </c>
      <c r="F72" s="263">
        <v>663.4</v>
      </c>
      <c r="G72" s="236">
        <f t="shared" si="28"/>
        <v>1326.8</v>
      </c>
      <c r="H72" s="237"/>
      <c r="I72" s="238">
        <f t="shared" si="24"/>
        <v>1206.181818</v>
      </c>
      <c r="J72" s="273"/>
      <c r="K72" s="240">
        <f t="shared" si="25"/>
        <v>30</v>
      </c>
      <c r="L72" s="241">
        <f t="shared" si="26"/>
        <v>1400</v>
      </c>
      <c r="M72" s="241">
        <f t="shared" si="19"/>
        <v>1300</v>
      </c>
      <c r="N72" s="242"/>
      <c r="O72" s="242"/>
      <c r="P72" s="242"/>
      <c r="Q72" s="242"/>
      <c r="R72" s="242"/>
      <c r="S72" s="242"/>
      <c r="T72" s="242"/>
      <c r="U72" s="242"/>
      <c r="V72" s="242"/>
      <c r="W72" s="242"/>
      <c r="X72" s="242"/>
      <c r="Y72" s="242"/>
      <c r="Z72" s="242"/>
      <c r="AA72" s="242"/>
      <c r="AB72" s="242"/>
    </row>
    <row r="73">
      <c r="A73" s="231" t="s">
        <v>524</v>
      </c>
      <c r="B73" s="313" t="s">
        <v>525</v>
      </c>
      <c r="C73" s="34"/>
      <c r="D73" s="314"/>
      <c r="E73" s="234">
        <v>30.0</v>
      </c>
      <c r="F73" s="235">
        <v>2276.96</v>
      </c>
      <c r="G73" s="236">
        <f t="shared" si="28"/>
        <v>4553.92</v>
      </c>
      <c r="H73" s="237"/>
      <c r="I73" s="238">
        <f t="shared" si="24"/>
        <v>4139.927273</v>
      </c>
      <c r="J73" s="273"/>
      <c r="K73" s="240">
        <f t="shared" si="25"/>
        <v>30</v>
      </c>
      <c r="L73" s="241">
        <f t="shared" si="26"/>
        <v>4600</v>
      </c>
      <c r="M73" s="241">
        <f t="shared" si="19"/>
        <v>4200</v>
      </c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</row>
    <row r="74">
      <c r="A74" s="231" t="s">
        <v>526</v>
      </c>
      <c r="B74" s="253" t="s">
        <v>527</v>
      </c>
      <c r="C74" s="34"/>
      <c r="D74" s="254"/>
      <c r="E74" s="234">
        <v>10.0</v>
      </c>
      <c r="F74" s="235">
        <v>1426.68</v>
      </c>
      <c r="G74" s="236">
        <f t="shared" si="28"/>
        <v>2853.36</v>
      </c>
      <c r="H74" s="237"/>
      <c r="I74" s="238">
        <f t="shared" si="24"/>
        <v>2593.963636</v>
      </c>
      <c r="J74" s="273"/>
      <c r="K74" s="240">
        <f t="shared" si="25"/>
        <v>10</v>
      </c>
      <c r="L74" s="241">
        <f t="shared" si="26"/>
        <v>2900</v>
      </c>
      <c r="M74" s="241">
        <f t="shared" si="19"/>
        <v>2600</v>
      </c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2"/>
      <c r="Z74" s="242"/>
      <c r="AA74" s="242"/>
      <c r="AB74" s="242"/>
    </row>
    <row r="75" ht="18.75" customHeight="1">
      <c r="A75" s="231" t="s">
        <v>528</v>
      </c>
      <c r="B75" s="315" t="s">
        <v>529</v>
      </c>
      <c r="C75" s="34"/>
      <c r="D75" s="316"/>
      <c r="E75" s="234">
        <v>6.0</v>
      </c>
      <c r="F75" s="235">
        <v>2483.13</v>
      </c>
      <c r="G75" s="236">
        <f t="shared" si="28"/>
        <v>4966.26</v>
      </c>
      <c r="H75" s="237"/>
      <c r="I75" s="238">
        <f t="shared" si="24"/>
        <v>4514.781818</v>
      </c>
      <c r="J75" s="273"/>
      <c r="K75" s="240">
        <f t="shared" si="25"/>
        <v>6</v>
      </c>
      <c r="L75" s="241">
        <f t="shared" si="26"/>
        <v>5000</v>
      </c>
      <c r="M75" s="241">
        <f t="shared" si="19"/>
        <v>4600</v>
      </c>
      <c r="N75" s="242"/>
      <c r="O75" s="242"/>
      <c r="P75" s="242"/>
      <c r="Q75" s="242"/>
      <c r="R75" s="242"/>
      <c r="S75" s="242"/>
      <c r="T75" s="242"/>
      <c r="U75" s="242"/>
      <c r="V75" s="242"/>
      <c r="W75" s="242"/>
      <c r="X75" s="242"/>
      <c r="Y75" s="242"/>
      <c r="Z75" s="242"/>
      <c r="AA75" s="242"/>
      <c r="AB75" s="242"/>
    </row>
    <row r="76" ht="15.75" customHeight="1">
      <c r="A76" s="231" t="s">
        <v>530</v>
      </c>
      <c r="B76" s="315" t="s">
        <v>531</v>
      </c>
      <c r="C76" s="34"/>
      <c r="D76" s="316"/>
      <c r="E76" s="234">
        <v>6.0</v>
      </c>
      <c r="F76" s="263">
        <v>789.02</v>
      </c>
      <c r="G76" s="236">
        <f t="shared" si="28"/>
        <v>1578.04</v>
      </c>
      <c r="H76" s="237"/>
      <c r="I76" s="238">
        <f t="shared" si="24"/>
        <v>1434.581818</v>
      </c>
      <c r="J76" s="271">
        <v>1.0</v>
      </c>
      <c r="K76" s="240">
        <f t="shared" si="25"/>
        <v>5</v>
      </c>
      <c r="L76" s="241">
        <f t="shared" si="26"/>
        <v>1600</v>
      </c>
      <c r="M76" s="241">
        <f t="shared" si="19"/>
        <v>1500</v>
      </c>
      <c r="N76" s="242"/>
      <c r="O76" s="242"/>
      <c r="P76" s="242"/>
      <c r="Q76" s="242"/>
      <c r="R76" s="242"/>
      <c r="S76" s="242"/>
      <c r="T76" s="242"/>
      <c r="U76" s="242"/>
      <c r="V76" s="242"/>
      <c r="W76" s="242"/>
      <c r="X76" s="242"/>
      <c r="Y76" s="242"/>
      <c r="Z76" s="242"/>
      <c r="AA76" s="242"/>
      <c r="AB76" s="242"/>
    </row>
    <row r="77">
      <c r="A77" s="231" t="s">
        <v>532</v>
      </c>
      <c r="B77" s="247" t="s">
        <v>533</v>
      </c>
      <c r="C77" s="34"/>
      <c r="D77" s="248"/>
      <c r="E77" s="234">
        <v>6.0</v>
      </c>
      <c r="F77" s="235">
        <v>15336.0</v>
      </c>
      <c r="G77" s="236">
        <f t="shared" si="28"/>
        <v>30672</v>
      </c>
      <c r="H77" s="237"/>
      <c r="I77" s="238">
        <f t="shared" si="24"/>
        <v>27883.63636</v>
      </c>
      <c r="J77" s="273"/>
      <c r="K77" s="240">
        <f t="shared" si="25"/>
        <v>6</v>
      </c>
      <c r="L77" s="241">
        <f t="shared" si="26"/>
        <v>30700</v>
      </c>
      <c r="M77" s="241">
        <f t="shared" si="19"/>
        <v>27900</v>
      </c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242"/>
      <c r="AB77" s="242"/>
    </row>
    <row r="78">
      <c r="A78" s="231" t="s">
        <v>534</v>
      </c>
      <c r="B78" s="247" t="s">
        <v>535</v>
      </c>
      <c r="C78" s="34"/>
      <c r="D78" s="248"/>
      <c r="E78" s="234">
        <v>1.0</v>
      </c>
      <c r="F78" s="235">
        <v>29366.4</v>
      </c>
      <c r="G78" s="236">
        <f t="shared" si="28"/>
        <v>58732.8</v>
      </c>
      <c r="H78" s="237"/>
      <c r="I78" s="238">
        <f t="shared" si="24"/>
        <v>53393.45455</v>
      </c>
      <c r="J78" s="273"/>
      <c r="K78" s="240">
        <f t="shared" si="25"/>
        <v>1</v>
      </c>
      <c r="L78" s="241">
        <f t="shared" si="26"/>
        <v>58800</v>
      </c>
      <c r="M78" s="241">
        <f t="shared" si="19"/>
        <v>53400</v>
      </c>
      <c r="N78" s="242"/>
      <c r="O78" s="242">
        <f>G78*0.29</f>
        <v>17032.512</v>
      </c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242"/>
      <c r="AB78" s="242"/>
    </row>
    <row r="79">
      <c r="A79" s="231" t="s">
        <v>536</v>
      </c>
      <c r="B79" s="247" t="s">
        <v>537</v>
      </c>
      <c r="C79" s="34"/>
      <c r="D79" s="248"/>
      <c r="E79" s="234">
        <v>8.0</v>
      </c>
      <c r="F79" s="235">
        <v>9371.78</v>
      </c>
      <c r="G79" s="236">
        <f t="shared" si="28"/>
        <v>18743.56</v>
      </c>
      <c r="H79" s="237"/>
      <c r="I79" s="238">
        <f t="shared" si="24"/>
        <v>17039.6</v>
      </c>
      <c r="J79" s="273"/>
      <c r="K79" s="240">
        <f t="shared" si="25"/>
        <v>8</v>
      </c>
      <c r="L79" s="241">
        <f t="shared" si="26"/>
        <v>18800</v>
      </c>
      <c r="M79" s="241">
        <f t="shared" si="19"/>
        <v>17100</v>
      </c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242"/>
      <c r="AB79" s="242"/>
    </row>
    <row r="80" ht="20.25" customHeight="1">
      <c r="A80" s="231" t="s">
        <v>538</v>
      </c>
      <c r="B80" s="297" t="s">
        <v>539</v>
      </c>
      <c r="C80" s="34"/>
      <c r="D80" s="298"/>
      <c r="E80" s="234">
        <v>100.0</v>
      </c>
      <c r="F80" s="263">
        <v>306.72</v>
      </c>
      <c r="G80" s="236">
        <f t="shared" si="28"/>
        <v>613.44</v>
      </c>
      <c r="H80" s="237"/>
      <c r="I80" s="238">
        <f t="shared" si="24"/>
        <v>557.6727273</v>
      </c>
      <c r="J80" s="273"/>
      <c r="K80" s="240">
        <f t="shared" si="25"/>
        <v>100</v>
      </c>
      <c r="L80" s="241">
        <f t="shared" si="26"/>
        <v>700</v>
      </c>
      <c r="M80" s="241">
        <f t="shared" si="19"/>
        <v>600</v>
      </c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242"/>
      <c r="AB80" s="242"/>
    </row>
    <row r="81">
      <c r="A81" s="231" t="s">
        <v>540</v>
      </c>
      <c r="B81" s="317" t="s">
        <v>541</v>
      </c>
      <c r="C81" s="34"/>
      <c r="D81" s="318"/>
      <c r="E81" s="234">
        <v>50.0</v>
      </c>
      <c r="F81" s="263">
        <v>852.77</v>
      </c>
      <c r="G81" s="236">
        <f t="shared" si="28"/>
        <v>1705.54</v>
      </c>
      <c r="H81" s="237"/>
      <c r="I81" s="238">
        <f t="shared" si="24"/>
        <v>1550.490909</v>
      </c>
      <c r="J81" s="273"/>
      <c r="K81" s="240">
        <f t="shared" si="25"/>
        <v>50</v>
      </c>
      <c r="L81" s="241">
        <f t="shared" si="26"/>
        <v>1800</v>
      </c>
      <c r="M81" s="241">
        <f t="shared" si="19"/>
        <v>1600</v>
      </c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242"/>
      <c r="AA81" s="242"/>
      <c r="AB81" s="242"/>
    </row>
    <row r="82">
      <c r="A82" s="231" t="s">
        <v>542</v>
      </c>
      <c r="B82" s="317" t="s">
        <v>543</v>
      </c>
      <c r="C82" s="34"/>
      <c r="D82" s="318"/>
      <c r="E82" s="234">
        <v>50.0</v>
      </c>
      <c r="F82" s="235">
        <v>1157.33</v>
      </c>
      <c r="G82" s="236">
        <f t="shared" si="28"/>
        <v>2314.66</v>
      </c>
      <c r="H82" s="237"/>
      <c r="I82" s="238">
        <f t="shared" si="24"/>
        <v>2104.236364</v>
      </c>
      <c r="J82" s="273"/>
      <c r="K82" s="240">
        <f t="shared" si="25"/>
        <v>50</v>
      </c>
      <c r="L82" s="241">
        <f t="shared" si="26"/>
        <v>2400</v>
      </c>
      <c r="M82" s="241">
        <f t="shared" si="19"/>
        <v>2200</v>
      </c>
      <c r="N82" s="242"/>
      <c r="O82" s="242"/>
      <c r="P82" s="242"/>
      <c r="Q82" s="242"/>
      <c r="R82" s="242"/>
      <c r="S82" s="242"/>
      <c r="T82" s="242"/>
      <c r="U82" s="242"/>
      <c r="V82" s="242"/>
      <c r="W82" s="242"/>
      <c r="X82" s="242"/>
      <c r="Y82" s="242"/>
      <c r="Z82" s="242"/>
      <c r="AA82" s="242"/>
      <c r="AB82" s="242"/>
    </row>
    <row r="83">
      <c r="A83" s="231" t="s">
        <v>544</v>
      </c>
      <c r="B83" s="317" t="s">
        <v>545</v>
      </c>
      <c r="C83" s="34"/>
      <c r="D83" s="318"/>
      <c r="E83" s="234">
        <v>80.0</v>
      </c>
      <c r="F83" s="235">
        <v>1157.33</v>
      </c>
      <c r="G83" s="236">
        <f t="shared" si="28"/>
        <v>2314.66</v>
      </c>
      <c r="H83" s="237"/>
      <c r="I83" s="238">
        <f t="shared" si="24"/>
        <v>2104.236364</v>
      </c>
      <c r="J83" s="273"/>
      <c r="K83" s="240">
        <f t="shared" si="25"/>
        <v>80</v>
      </c>
      <c r="L83" s="241">
        <f t="shared" si="26"/>
        <v>2400</v>
      </c>
      <c r="M83" s="241">
        <f t="shared" si="19"/>
        <v>2200</v>
      </c>
      <c r="N83" s="242"/>
      <c r="O83" s="242"/>
      <c r="P83" s="242"/>
      <c r="Q83" s="242"/>
      <c r="R83" s="242"/>
      <c r="S83" s="242"/>
      <c r="T83" s="242"/>
      <c r="U83" s="242"/>
      <c r="V83" s="242"/>
      <c r="W83" s="242"/>
      <c r="X83" s="242"/>
      <c r="Y83" s="242"/>
      <c r="Z83" s="242"/>
      <c r="AA83" s="242"/>
      <c r="AB83" s="242"/>
    </row>
    <row r="84">
      <c r="A84" s="231" t="s">
        <v>546</v>
      </c>
      <c r="B84" s="317" t="s">
        <v>547</v>
      </c>
      <c r="C84" s="34"/>
      <c r="D84" s="318"/>
      <c r="E84" s="234">
        <v>50.0</v>
      </c>
      <c r="F84" s="235">
        <v>1157.33</v>
      </c>
      <c r="G84" s="236">
        <f t="shared" si="28"/>
        <v>2314.66</v>
      </c>
      <c r="H84" s="237"/>
      <c r="I84" s="238">
        <f t="shared" si="24"/>
        <v>2104.236364</v>
      </c>
      <c r="J84" s="271">
        <v>18.0</v>
      </c>
      <c r="K84" s="240">
        <f t="shared" si="25"/>
        <v>32</v>
      </c>
      <c r="L84" s="241">
        <f t="shared" si="26"/>
        <v>2400</v>
      </c>
      <c r="M84" s="241">
        <f t="shared" si="19"/>
        <v>2200</v>
      </c>
      <c r="N84" s="242"/>
      <c r="O84" s="242"/>
      <c r="P84" s="242"/>
      <c r="Q84" s="242"/>
      <c r="R84" s="242"/>
      <c r="S84" s="242"/>
      <c r="T84" s="242"/>
      <c r="U84" s="242"/>
      <c r="V84" s="242"/>
      <c r="W84" s="242"/>
      <c r="X84" s="242"/>
      <c r="Y84" s="242"/>
      <c r="Z84" s="242"/>
      <c r="AA84" s="242"/>
      <c r="AB84" s="242"/>
    </row>
    <row r="86" ht="18.75" customHeight="1">
      <c r="A86" s="231" t="s">
        <v>548</v>
      </c>
      <c r="B86" s="319" t="s">
        <v>549</v>
      </c>
      <c r="C86" s="34"/>
      <c r="D86" s="320"/>
      <c r="E86" s="234">
        <v>10.0</v>
      </c>
      <c r="F86" s="235">
        <v>3791.77</v>
      </c>
      <c r="G86" s="236">
        <f t="shared" ref="G86:G88" si="29">F86/(1-0.5)</f>
        <v>7583.54</v>
      </c>
      <c r="H86" s="237"/>
      <c r="I86" s="238">
        <f t="shared" ref="I86:I88" si="30">F86/(1-0.45)</f>
        <v>6894.127273</v>
      </c>
      <c r="J86" s="273"/>
      <c r="K86" s="240">
        <f t="shared" ref="K86:K88" si="31">E86-J86</f>
        <v>10</v>
      </c>
      <c r="L86" s="241">
        <f t="shared" ref="L86:L88" si="32">ROUNDUP(G86,-2)</f>
        <v>7600</v>
      </c>
      <c r="M86" s="241">
        <f t="shared" ref="M86:M88" si="33">ROUNDUP(I86,-2)</f>
        <v>6900</v>
      </c>
      <c r="N86" s="242"/>
      <c r="O86" s="242"/>
      <c r="P86" s="242"/>
      <c r="Q86" s="242"/>
      <c r="R86" s="242"/>
      <c r="S86" s="242"/>
      <c r="T86" s="242"/>
      <c r="U86" s="242"/>
      <c r="V86" s="242"/>
      <c r="W86" s="242"/>
      <c r="X86" s="242"/>
      <c r="Y86" s="242"/>
      <c r="Z86" s="242"/>
      <c r="AA86" s="242"/>
      <c r="AB86" s="242"/>
    </row>
    <row r="87" ht="19.5" customHeight="1">
      <c r="A87" s="274" t="s">
        <v>550</v>
      </c>
      <c r="B87" s="321" t="s">
        <v>551</v>
      </c>
      <c r="C87" s="3"/>
      <c r="D87" s="322"/>
      <c r="E87" s="277">
        <v>10.0</v>
      </c>
      <c r="F87" s="323">
        <v>3317.93</v>
      </c>
      <c r="G87" s="279">
        <f t="shared" si="29"/>
        <v>6635.86</v>
      </c>
      <c r="H87" s="280"/>
      <c r="I87" s="281">
        <f t="shared" si="30"/>
        <v>6032.6</v>
      </c>
      <c r="J87" s="273"/>
      <c r="K87" s="240">
        <f t="shared" si="31"/>
        <v>10</v>
      </c>
      <c r="L87" s="241">
        <f t="shared" si="32"/>
        <v>6700</v>
      </c>
      <c r="M87" s="241">
        <f t="shared" si="33"/>
        <v>6100</v>
      </c>
      <c r="N87" s="242"/>
      <c r="O87" s="242"/>
      <c r="P87" s="242"/>
      <c r="Q87" s="242"/>
      <c r="R87" s="242"/>
      <c r="S87" s="242"/>
      <c r="T87" s="242"/>
      <c r="U87" s="242"/>
      <c r="V87" s="242"/>
      <c r="W87" s="242"/>
      <c r="X87" s="242"/>
      <c r="Y87" s="242"/>
      <c r="Z87" s="242"/>
      <c r="AA87" s="242"/>
      <c r="AB87" s="242"/>
    </row>
    <row r="88" ht="20.25" customHeight="1">
      <c r="A88" s="231" t="s">
        <v>552</v>
      </c>
      <c r="B88" s="247" t="s">
        <v>553</v>
      </c>
      <c r="C88" s="35"/>
      <c r="D88" s="324"/>
      <c r="E88" s="234">
        <v>20.0</v>
      </c>
      <c r="F88" s="235">
        <v>1385.75</v>
      </c>
      <c r="G88" s="236">
        <f t="shared" si="29"/>
        <v>2771.5</v>
      </c>
      <c r="H88" s="237"/>
      <c r="I88" s="238">
        <f t="shared" si="30"/>
        <v>2519.545455</v>
      </c>
      <c r="J88" s="284">
        <v>1.0</v>
      </c>
      <c r="K88" s="240">
        <f t="shared" si="31"/>
        <v>19</v>
      </c>
      <c r="L88" s="241">
        <f t="shared" si="32"/>
        <v>2800</v>
      </c>
      <c r="M88" s="241">
        <f t="shared" si="33"/>
        <v>2600</v>
      </c>
      <c r="N88" s="242"/>
      <c r="O88" s="242"/>
      <c r="P88" s="242"/>
      <c r="Q88" s="242"/>
      <c r="R88" s="242"/>
      <c r="S88" s="242"/>
      <c r="T88" s="242"/>
      <c r="U88" s="242"/>
      <c r="V88" s="242"/>
      <c r="W88" s="242"/>
      <c r="X88" s="242"/>
      <c r="Y88" s="242"/>
      <c r="Z88" s="242"/>
      <c r="AA88" s="242"/>
      <c r="AB88" s="242"/>
    </row>
    <row r="89">
      <c r="A89" s="325" t="s">
        <v>554</v>
      </c>
      <c r="B89" s="326"/>
      <c r="C89" s="326"/>
      <c r="D89" s="327"/>
      <c r="E89" s="328"/>
      <c r="F89" s="329"/>
      <c r="G89" s="290"/>
      <c r="H89" s="291"/>
      <c r="I89" s="292"/>
      <c r="J89" s="273"/>
      <c r="K89" s="240"/>
      <c r="L89" s="241"/>
      <c r="M89" s="241"/>
      <c r="N89" s="242"/>
      <c r="O89" s="242"/>
      <c r="P89" s="242"/>
      <c r="Q89" s="242"/>
      <c r="R89" s="242"/>
      <c r="S89" s="242"/>
      <c r="T89" s="242"/>
      <c r="U89" s="242"/>
      <c r="V89" s="242"/>
      <c r="W89" s="242"/>
      <c r="X89" s="242"/>
      <c r="Y89" s="242"/>
      <c r="Z89" s="242"/>
      <c r="AA89" s="242"/>
      <c r="AB89" s="242"/>
    </row>
    <row r="90">
      <c r="A90" s="285" t="s">
        <v>555</v>
      </c>
      <c r="B90" s="330" t="s">
        <v>556</v>
      </c>
      <c r="C90" s="19"/>
      <c r="D90" s="331"/>
      <c r="E90" s="234">
        <v>8.0</v>
      </c>
      <c r="F90" s="235">
        <v>1487.59</v>
      </c>
      <c r="G90" s="236">
        <f t="shared" ref="G90:G102" si="34">F90/(1-0.5)</f>
        <v>2975.18</v>
      </c>
      <c r="H90" s="237"/>
      <c r="I90" s="238">
        <f t="shared" ref="I90:I102" si="35">F90/(1-0.45)</f>
        <v>2704.709091</v>
      </c>
      <c r="J90" s="273"/>
      <c r="K90" s="240">
        <f t="shared" ref="K90:K102" si="36">E90-J90</f>
        <v>8</v>
      </c>
      <c r="L90" s="241">
        <f t="shared" ref="L90:L102" si="37">ROUNDUP(G90,-2)</f>
        <v>3000</v>
      </c>
      <c r="M90" s="241">
        <f t="shared" ref="M90:M102" si="38">ROUNDUP(I90,-2)</f>
        <v>2800</v>
      </c>
      <c r="N90" s="242"/>
      <c r="O90" s="242"/>
      <c r="P90" s="242"/>
      <c r="Q90" s="242"/>
      <c r="R90" s="242"/>
      <c r="S90" s="242"/>
      <c r="T90" s="242"/>
      <c r="U90" s="242"/>
      <c r="V90" s="242"/>
      <c r="W90" s="242"/>
      <c r="X90" s="242"/>
      <c r="Y90" s="242"/>
      <c r="Z90" s="242"/>
      <c r="AA90" s="242"/>
      <c r="AB90" s="242"/>
    </row>
    <row r="91" ht="18.75" customHeight="1">
      <c r="A91" s="231" t="s">
        <v>557</v>
      </c>
      <c r="B91" s="319" t="s">
        <v>558</v>
      </c>
      <c r="C91" s="34"/>
      <c r="D91" s="320"/>
      <c r="E91" s="234">
        <v>8.0</v>
      </c>
      <c r="F91" s="235">
        <v>1487.59</v>
      </c>
      <c r="G91" s="236">
        <f t="shared" si="34"/>
        <v>2975.18</v>
      </c>
      <c r="H91" s="237"/>
      <c r="I91" s="238">
        <f t="shared" si="35"/>
        <v>2704.709091</v>
      </c>
      <c r="J91" s="273"/>
      <c r="K91" s="240">
        <f t="shared" si="36"/>
        <v>8</v>
      </c>
      <c r="L91" s="241">
        <f t="shared" si="37"/>
        <v>3000</v>
      </c>
      <c r="M91" s="241">
        <f t="shared" si="38"/>
        <v>2800</v>
      </c>
      <c r="N91" s="242"/>
      <c r="O91" s="242"/>
      <c r="P91" s="242"/>
      <c r="Q91" s="242"/>
      <c r="R91" s="242"/>
      <c r="S91" s="242"/>
      <c r="T91" s="242"/>
      <c r="U91" s="242"/>
      <c r="V91" s="242"/>
      <c r="W91" s="242"/>
      <c r="X91" s="242"/>
      <c r="Y91" s="242"/>
      <c r="Z91" s="242"/>
      <c r="AA91" s="242"/>
      <c r="AB91" s="242"/>
    </row>
    <row r="92">
      <c r="A92" s="231" t="s">
        <v>559</v>
      </c>
      <c r="B92" s="319" t="s">
        <v>560</v>
      </c>
      <c r="C92" s="34"/>
      <c r="D92" s="320"/>
      <c r="E92" s="234">
        <v>8.0</v>
      </c>
      <c r="F92" s="235">
        <v>1318.9</v>
      </c>
      <c r="G92" s="236">
        <f t="shared" si="34"/>
        <v>2637.8</v>
      </c>
      <c r="H92" s="237"/>
      <c r="I92" s="238">
        <f t="shared" si="35"/>
        <v>2398</v>
      </c>
      <c r="J92" s="273"/>
      <c r="K92" s="240">
        <f t="shared" si="36"/>
        <v>8</v>
      </c>
      <c r="L92" s="241">
        <f t="shared" si="37"/>
        <v>2700</v>
      </c>
      <c r="M92" s="241">
        <f t="shared" si="38"/>
        <v>2400</v>
      </c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242"/>
      <c r="AA92" s="242"/>
      <c r="AB92" s="242"/>
    </row>
    <row r="93" ht="18.75" customHeight="1">
      <c r="A93" s="231" t="s">
        <v>561</v>
      </c>
      <c r="B93" s="319" t="s">
        <v>562</v>
      </c>
      <c r="C93" s="34"/>
      <c r="D93" s="320"/>
      <c r="E93" s="234">
        <v>8.0</v>
      </c>
      <c r="F93" s="235">
        <v>2346.41</v>
      </c>
      <c r="G93" s="236">
        <f t="shared" si="34"/>
        <v>4692.82</v>
      </c>
      <c r="H93" s="237"/>
      <c r="I93" s="238">
        <f t="shared" si="35"/>
        <v>4266.2</v>
      </c>
      <c r="J93" s="273"/>
      <c r="K93" s="240">
        <f t="shared" si="36"/>
        <v>8</v>
      </c>
      <c r="L93" s="241">
        <f t="shared" si="37"/>
        <v>4700</v>
      </c>
      <c r="M93" s="241">
        <f t="shared" si="38"/>
        <v>4300</v>
      </c>
      <c r="N93" s="242"/>
      <c r="O93" s="242"/>
      <c r="P93" s="242"/>
      <c r="Q93" s="242"/>
      <c r="R93" s="242"/>
      <c r="S93" s="242"/>
      <c r="T93" s="242"/>
      <c r="U93" s="242"/>
      <c r="V93" s="242"/>
      <c r="W93" s="242"/>
      <c r="X93" s="242"/>
      <c r="Y93" s="242"/>
      <c r="Z93" s="242"/>
      <c r="AA93" s="242"/>
      <c r="AB93" s="242"/>
    </row>
    <row r="94">
      <c r="A94" s="231" t="s">
        <v>563</v>
      </c>
      <c r="B94" s="319" t="s">
        <v>564</v>
      </c>
      <c r="C94" s="34"/>
      <c r="D94" s="320"/>
      <c r="E94" s="234">
        <v>8.0</v>
      </c>
      <c r="F94" s="235">
        <v>2024.35</v>
      </c>
      <c r="G94" s="236">
        <f t="shared" si="34"/>
        <v>4048.7</v>
      </c>
      <c r="H94" s="237"/>
      <c r="I94" s="238">
        <f t="shared" si="35"/>
        <v>3680.636364</v>
      </c>
      <c r="J94" s="273"/>
      <c r="K94" s="240">
        <f t="shared" si="36"/>
        <v>8</v>
      </c>
      <c r="L94" s="241">
        <f t="shared" si="37"/>
        <v>4100</v>
      </c>
      <c r="M94" s="241">
        <f t="shared" si="38"/>
        <v>3700</v>
      </c>
      <c r="N94" s="242"/>
      <c r="O94" s="242"/>
      <c r="P94" s="242"/>
      <c r="Q94" s="242"/>
      <c r="R94" s="242"/>
      <c r="S94" s="242"/>
      <c r="T94" s="242"/>
      <c r="U94" s="242"/>
      <c r="V94" s="242"/>
      <c r="W94" s="242"/>
      <c r="X94" s="242"/>
      <c r="Y94" s="242"/>
      <c r="Z94" s="242"/>
      <c r="AA94" s="242"/>
      <c r="AB94" s="242"/>
    </row>
    <row r="95">
      <c r="A95" s="231" t="s">
        <v>565</v>
      </c>
      <c r="B95" s="319" t="s">
        <v>566</v>
      </c>
      <c r="C95" s="34"/>
      <c r="D95" s="320"/>
      <c r="E95" s="234">
        <v>8.0</v>
      </c>
      <c r="F95" s="235">
        <v>2300.4</v>
      </c>
      <c r="G95" s="236">
        <f t="shared" si="34"/>
        <v>4600.8</v>
      </c>
      <c r="H95" s="237"/>
      <c r="I95" s="238">
        <f t="shared" si="35"/>
        <v>4182.545455</v>
      </c>
      <c r="J95" s="273"/>
      <c r="K95" s="240">
        <f t="shared" si="36"/>
        <v>8</v>
      </c>
      <c r="L95" s="241">
        <f t="shared" si="37"/>
        <v>4700</v>
      </c>
      <c r="M95" s="241">
        <f t="shared" si="38"/>
        <v>4200</v>
      </c>
      <c r="N95" s="242"/>
      <c r="O95" s="242"/>
      <c r="P95" s="242"/>
      <c r="Q95" s="242"/>
      <c r="R95" s="242"/>
      <c r="S95" s="242"/>
      <c r="T95" s="242"/>
      <c r="U95" s="242"/>
      <c r="V95" s="242"/>
      <c r="W95" s="242"/>
      <c r="X95" s="242"/>
      <c r="Y95" s="242"/>
      <c r="Z95" s="242"/>
      <c r="AA95" s="242"/>
      <c r="AB95" s="242"/>
    </row>
    <row r="96" ht="18.0" customHeight="1">
      <c r="A96" s="231" t="s">
        <v>567</v>
      </c>
      <c r="B96" s="319" t="s">
        <v>568</v>
      </c>
      <c r="C96" s="34"/>
      <c r="D96" s="320"/>
      <c r="E96" s="234">
        <v>8.0</v>
      </c>
      <c r="F96" s="235">
        <v>2837.16</v>
      </c>
      <c r="G96" s="236">
        <f t="shared" si="34"/>
        <v>5674.32</v>
      </c>
      <c r="H96" s="237"/>
      <c r="I96" s="238">
        <f t="shared" si="35"/>
        <v>5158.472727</v>
      </c>
      <c r="J96" s="271">
        <v>5.0</v>
      </c>
      <c r="K96" s="240">
        <f t="shared" si="36"/>
        <v>3</v>
      </c>
      <c r="L96" s="241">
        <f t="shared" si="37"/>
        <v>5700</v>
      </c>
      <c r="M96" s="241">
        <f t="shared" si="38"/>
        <v>5200</v>
      </c>
      <c r="N96" s="242"/>
      <c r="O96" s="242"/>
      <c r="P96" s="242"/>
      <c r="Q96" s="242"/>
      <c r="R96" s="242"/>
      <c r="S96" s="242"/>
      <c r="T96" s="242"/>
      <c r="U96" s="242"/>
      <c r="V96" s="242"/>
      <c r="W96" s="242"/>
      <c r="X96" s="242"/>
      <c r="Y96" s="242"/>
      <c r="Z96" s="242"/>
      <c r="AA96" s="242"/>
      <c r="AB96" s="242"/>
    </row>
    <row r="97" ht="18.0" customHeight="1">
      <c r="A97" s="231" t="s">
        <v>569</v>
      </c>
      <c r="B97" s="319" t="s">
        <v>570</v>
      </c>
      <c r="C97" s="34"/>
      <c r="D97" s="320"/>
      <c r="E97" s="234">
        <v>8.0</v>
      </c>
      <c r="F97" s="235">
        <v>2837.16</v>
      </c>
      <c r="G97" s="236">
        <f t="shared" si="34"/>
        <v>5674.32</v>
      </c>
      <c r="H97" s="237"/>
      <c r="I97" s="238">
        <f t="shared" si="35"/>
        <v>5158.472727</v>
      </c>
      <c r="J97" s="271">
        <v>2.0</v>
      </c>
      <c r="K97" s="240">
        <f t="shared" si="36"/>
        <v>6</v>
      </c>
      <c r="L97" s="241">
        <f t="shared" si="37"/>
        <v>5700</v>
      </c>
      <c r="M97" s="241">
        <f t="shared" si="38"/>
        <v>5200</v>
      </c>
      <c r="N97" s="242"/>
      <c r="O97" s="242"/>
      <c r="P97" s="242"/>
      <c r="Q97" s="242"/>
      <c r="R97" s="242"/>
      <c r="S97" s="242"/>
      <c r="T97" s="242"/>
      <c r="U97" s="242"/>
      <c r="V97" s="242"/>
      <c r="W97" s="242"/>
      <c r="X97" s="242"/>
      <c r="Y97" s="242"/>
      <c r="Z97" s="242"/>
      <c r="AA97" s="242"/>
      <c r="AB97" s="242"/>
    </row>
    <row r="98">
      <c r="A98" s="231" t="s">
        <v>571</v>
      </c>
      <c r="B98" s="319" t="s">
        <v>572</v>
      </c>
      <c r="C98" s="34"/>
      <c r="D98" s="320"/>
      <c r="E98" s="234">
        <v>8.0</v>
      </c>
      <c r="F98" s="235">
        <v>2377.08</v>
      </c>
      <c r="G98" s="236">
        <f t="shared" si="34"/>
        <v>4754.16</v>
      </c>
      <c r="H98" s="237"/>
      <c r="I98" s="238">
        <f t="shared" si="35"/>
        <v>4321.963636</v>
      </c>
      <c r="J98" s="273"/>
      <c r="K98" s="240">
        <f t="shared" si="36"/>
        <v>8</v>
      </c>
      <c r="L98" s="241">
        <f t="shared" si="37"/>
        <v>4800</v>
      </c>
      <c r="M98" s="241">
        <f t="shared" si="38"/>
        <v>4400</v>
      </c>
      <c r="N98" s="242"/>
      <c r="O98" s="242"/>
      <c r="P98" s="242"/>
      <c r="Q98" s="242"/>
      <c r="R98" s="242"/>
      <c r="S98" s="242"/>
      <c r="T98" s="242"/>
      <c r="U98" s="242"/>
      <c r="V98" s="242"/>
      <c r="W98" s="242"/>
      <c r="X98" s="242"/>
      <c r="Y98" s="242"/>
      <c r="Z98" s="242"/>
      <c r="AA98" s="242"/>
      <c r="AB98" s="242"/>
    </row>
    <row r="99" ht="18.0" customHeight="1">
      <c r="A99" s="231" t="s">
        <v>573</v>
      </c>
      <c r="B99" s="319" t="s">
        <v>574</v>
      </c>
      <c r="C99" s="34"/>
      <c r="D99" s="320"/>
      <c r="E99" s="234">
        <v>8.0</v>
      </c>
      <c r="F99" s="235">
        <v>5030.21</v>
      </c>
      <c r="G99" s="236">
        <f t="shared" si="34"/>
        <v>10060.42</v>
      </c>
      <c r="H99" s="237"/>
      <c r="I99" s="238">
        <f t="shared" si="35"/>
        <v>9145.836364</v>
      </c>
      <c r="J99" s="273"/>
      <c r="K99" s="240">
        <f t="shared" si="36"/>
        <v>8</v>
      </c>
      <c r="L99" s="241">
        <f t="shared" si="37"/>
        <v>10100</v>
      </c>
      <c r="M99" s="241">
        <f t="shared" si="38"/>
        <v>9200</v>
      </c>
      <c r="N99" s="242"/>
      <c r="O99" s="242"/>
      <c r="P99" s="242"/>
      <c r="Q99" s="242"/>
      <c r="R99" s="242"/>
      <c r="S99" s="242"/>
      <c r="T99" s="242"/>
      <c r="U99" s="242"/>
      <c r="V99" s="242"/>
      <c r="W99" s="242"/>
      <c r="X99" s="242"/>
      <c r="Y99" s="242"/>
      <c r="Z99" s="242"/>
      <c r="AA99" s="242"/>
      <c r="AB99" s="242"/>
    </row>
    <row r="100" ht="21.75" customHeight="1">
      <c r="A100" s="231" t="s">
        <v>575</v>
      </c>
      <c r="B100" s="319" t="s">
        <v>576</v>
      </c>
      <c r="C100" s="34"/>
      <c r="D100" s="320"/>
      <c r="E100" s="234">
        <v>8.0</v>
      </c>
      <c r="F100" s="235">
        <v>4922.86</v>
      </c>
      <c r="G100" s="236">
        <f t="shared" si="34"/>
        <v>9845.72</v>
      </c>
      <c r="H100" s="237"/>
      <c r="I100" s="238">
        <f t="shared" si="35"/>
        <v>8950.654545</v>
      </c>
      <c r="J100" s="271">
        <v>1.0</v>
      </c>
      <c r="K100" s="240">
        <f t="shared" si="36"/>
        <v>7</v>
      </c>
      <c r="L100" s="241">
        <f t="shared" si="37"/>
        <v>9900</v>
      </c>
      <c r="M100" s="241">
        <f t="shared" si="38"/>
        <v>9000</v>
      </c>
      <c r="N100" s="242"/>
      <c r="O100" s="242"/>
      <c r="P100" s="242"/>
      <c r="Q100" s="242"/>
      <c r="R100" s="242"/>
      <c r="S100" s="242"/>
      <c r="T100" s="242"/>
      <c r="U100" s="242"/>
      <c r="V100" s="242"/>
      <c r="W100" s="242"/>
      <c r="X100" s="242"/>
      <c r="Y100" s="242"/>
      <c r="Z100" s="242"/>
      <c r="AA100" s="242"/>
      <c r="AB100" s="242"/>
    </row>
    <row r="101" ht="21.75" customHeight="1">
      <c r="A101" s="231" t="s">
        <v>577</v>
      </c>
      <c r="B101" s="319" t="s">
        <v>578</v>
      </c>
      <c r="C101" s="34"/>
      <c r="D101" s="320"/>
      <c r="E101" s="234">
        <v>8.0</v>
      </c>
      <c r="F101" s="235">
        <v>4922.86</v>
      </c>
      <c r="G101" s="236">
        <f t="shared" si="34"/>
        <v>9845.72</v>
      </c>
      <c r="H101" s="237"/>
      <c r="I101" s="238">
        <f t="shared" si="35"/>
        <v>8950.654545</v>
      </c>
      <c r="J101" s="273"/>
      <c r="K101" s="240">
        <f t="shared" si="36"/>
        <v>8</v>
      </c>
      <c r="L101" s="241">
        <f t="shared" si="37"/>
        <v>9900</v>
      </c>
      <c r="M101" s="241">
        <f t="shared" si="38"/>
        <v>9000</v>
      </c>
      <c r="N101" s="242"/>
      <c r="O101" s="242"/>
      <c r="P101" s="242"/>
      <c r="Q101" s="242"/>
      <c r="R101" s="242"/>
      <c r="S101" s="242"/>
      <c r="T101" s="242"/>
      <c r="U101" s="242"/>
      <c r="V101" s="242"/>
      <c r="W101" s="242"/>
      <c r="X101" s="242"/>
      <c r="Y101" s="242"/>
      <c r="Z101" s="242"/>
      <c r="AA101" s="242"/>
      <c r="AB101" s="242"/>
    </row>
    <row r="102" ht="18.0" customHeight="1">
      <c r="A102" s="274" t="s">
        <v>579</v>
      </c>
      <c r="B102" s="332" t="s">
        <v>580</v>
      </c>
      <c r="C102" s="3"/>
      <c r="D102" s="333"/>
      <c r="E102" s="234">
        <v>6.0</v>
      </c>
      <c r="F102" s="235">
        <v>4462.78</v>
      </c>
      <c r="G102" s="236">
        <f t="shared" si="34"/>
        <v>8925.56</v>
      </c>
      <c r="H102" s="237"/>
      <c r="I102" s="238">
        <f t="shared" si="35"/>
        <v>8114.145455</v>
      </c>
      <c r="J102" s="271">
        <v>1.0</v>
      </c>
      <c r="K102" s="240">
        <f t="shared" si="36"/>
        <v>5</v>
      </c>
      <c r="L102" s="241">
        <f t="shared" si="37"/>
        <v>9000</v>
      </c>
      <c r="M102" s="241">
        <f t="shared" si="38"/>
        <v>8200</v>
      </c>
      <c r="N102" s="242"/>
      <c r="O102" s="242"/>
      <c r="P102" s="242"/>
      <c r="Q102" s="242"/>
      <c r="R102" s="242"/>
      <c r="S102" s="242"/>
      <c r="T102" s="242"/>
      <c r="U102" s="242"/>
      <c r="V102" s="242"/>
      <c r="W102" s="242"/>
      <c r="X102" s="242"/>
      <c r="Y102" s="242"/>
      <c r="Z102" s="242"/>
      <c r="AA102" s="242"/>
      <c r="AB102" s="242"/>
    </row>
    <row r="103" ht="25.5" customHeight="1">
      <c r="A103" s="334" t="s">
        <v>581</v>
      </c>
      <c r="B103" s="335"/>
      <c r="C103" s="335"/>
      <c r="D103" s="336"/>
      <c r="E103" s="337"/>
      <c r="F103" s="235"/>
      <c r="G103" s="236"/>
      <c r="H103" s="237"/>
      <c r="I103" s="238"/>
      <c r="J103" s="273"/>
      <c r="K103" s="240"/>
      <c r="L103" s="241"/>
      <c r="M103" s="241"/>
      <c r="N103" s="242"/>
      <c r="O103" s="242"/>
      <c r="P103" s="242"/>
      <c r="Q103" s="242"/>
      <c r="R103" s="242"/>
      <c r="S103" s="242"/>
      <c r="T103" s="242"/>
      <c r="U103" s="242"/>
      <c r="V103" s="242"/>
      <c r="W103" s="242"/>
      <c r="X103" s="242"/>
      <c r="Y103" s="242"/>
      <c r="Z103" s="242"/>
      <c r="AA103" s="242"/>
      <c r="AB103" s="242"/>
    </row>
    <row r="104" ht="21.0" customHeight="1">
      <c r="A104" s="285" t="s">
        <v>582</v>
      </c>
      <c r="B104" s="330" t="s">
        <v>583</v>
      </c>
      <c r="C104" s="19"/>
      <c r="D104" s="331"/>
      <c r="E104" s="234">
        <v>8.0</v>
      </c>
      <c r="F104" s="235">
        <v>1341.34</v>
      </c>
      <c r="G104" s="236">
        <f t="shared" ref="G104:G106" si="39">F104/(1-0.5)</f>
        <v>2682.68</v>
      </c>
      <c r="H104" s="237"/>
      <c r="I104" s="238">
        <f t="shared" ref="I104:I111" si="40">F104/(1-0.45)</f>
        <v>2438.8</v>
      </c>
      <c r="J104" s="273"/>
      <c r="K104" s="240">
        <f t="shared" ref="K104:K111" si="41">E104-J104</f>
        <v>8</v>
      </c>
      <c r="L104" s="241">
        <f t="shared" ref="L104:L111" si="42">ROUNDUP(G104,-2)</f>
        <v>2700</v>
      </c>
      <c r="M104" s="241">
        <f t="shared" ref="M104:M111" si="43">ROUNDUP(I104,-2)</f>
        <v>2500</v>
      </c>
      <c r="N104" s="242"/>
      <c r="O104" s="242"/>
      <c r="P104" s="242"/>
      <c r="Q104" s="242"/>
      <c r="R104" s="242"/>
      <c r="S104" s="242"/>
      <c r="T104" s="242"/>
      <c r="U104" s="242"/>
      <c r="V104" s="242"/>
      <c r="W104" s="242"/>
      <c r="X104" s="242"/>
      <c r="Y104" s="242"/>
      <c r="Z104" s="242"/>
      <c r="AA104" s="242"/>
      <c r="AB104" s="242"/>
    </row>
    <row r="105">
      <c r="A105" s="231" t="s">
        <v>584</v>
      </c>
      <c r="B105" s="319" t="s">
        <v>585</v>
      </c>
      <c r="C105" s="34"/>
      <c r="D105" s="320"/>
      <c r="E105" s="234">
        <v>8.0</v>
      </c>
      <c r="F105" s="235">
        <v>2215.55</v>
      </c>
      <c r="G105" s="236">
        <f t="shared" si="39"/>
        <v>4431.1</v>
      </c>
      <c r="H105" s="237"/>
      <c r="I105" s="238">
        <f t="shared" si="40"/>
        <v>4028.272727</v>
      </c>
      <c r="J105" s="273"/>
      <c r="K105" s="240">
        <f t="shared" si="41"/>
        <v>8</v>
      </c>
      <c r="L105" s="241">
        <f t="shared" si="42"/>
        <v>4500</v>
      </c>
      <c r="M105" s="241">
        <f t="shared" si="43"/>
        <v>4100</v>
      </c>
      <c r="N105" s="242"/>
      <c r="O105" s="242"/>
      <c r="P105" s="242"/>
      <c r="Q105" s="242"/>
      <c r="R105" s="242"/>
      <c r="S105" s="242"/>
      <c r="T105" s="242"/>
      <c r="U105" s="242"/>
      <c r="V105" s="242"/>
      <c r="W105" s="242"/>
      <c r="X105" s="242"/>
      <c r="Y105" s="242"/>
      <c r="Z105" s="242"/>
      <c r="AA105" s="242"/>
      <c r="AB105" s="242"/>
    </row>
    <row r="106">
      <c r="A106" s="231" t="s">
        <v>586</v>
      </c>
      <c r="B106" s="319" t="s">
        <v>587</v>
      </c>
      <c r="C106" s="34"/>
      <c r="D106" s="320"/>
      <c r="E106" s="234">
        <v>8.0</v>
      </c>
      <c r="F106" s="235">
        <v>2076.16</v>
      </c>
      <c r="G106" s="236">
        <f t="shared" si="39"/>
        <v>4152.32</v>
      </c>
      <c r="H106" s="237"/>
      <c r="I106" s="238">
        <f t="shared" si="40"/>
        <v>3774.836364</v>
      </c>
      <c r="J106" s="273"/>
      <c r="K106" s="240">
        <f t="shared" si="41"/>
        <v>8</v>
      </c>
      <c r="L106" s="241">
        <f t="shared" si="42"/>
        <v>4200</v>
      </c>
      <c r="M106" s="241">
        <f t="shared" si="43"/>
        <v>3800</v>
      </c>
      <c r="N106" s="242"/>
      <c r="O106" s="242"/>
      <c r="P106" s="242"/>
      <c r="Q106" s="242"/>
      <c r="R106" s="242"/>
      <c r="S106" s="242"/>
      <c r="T106" s="242"/>
      <c r="U106" s="242"/>
      <c r="V106" s="242"/>
      <c r="W106" s="242"/>
      <c r="X106" s="242"/>
      <c r="Y106" s="242"/>
      <c r="Z106" s="242"/>
      <c r="AA106" s="242"/>
      <c r="AB106" s="242"/>
    </row>
    <row r="107" ht="19.5" customHeight="1">
      <c r="A107" s="231" t="s">
        <v>588</v>
      </c>
      <c r="B107" s="319" t="s">
        <v>589</v>
      </c>
      <c r="C107" s="34"/>
      <c r="D107" s="320"/>
      <c r="E107" s="234">
        <v>8.0</v>
      </c>
      <c r="F107" s="235">
        <v>2990.49</v>
      </c>
      <c r="G107" s="264">
        <v>5900.0</v>
      </c>
      <c r="H107" s="237"/>
      <c r="I107" s="238">
        <f t="shared" si="40"/>
        <v>5437.254545</v>
      </c>
      <c r="J107" s="271">
        <v>2.0</v>
      </c>
      <c r="K107" s="240">
        <f t="shared" si="41"/>
        <v>6</v>
      </c>
      <c r="L107" s="241">
        <f t="shared" si="42"/>
        <v>5900</v>
      </c>
      <c r="M107" s="241">
        <f t="shared" si="43"/>
        <v>5500</v>
      </c>
      <c r="N107" s="24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  <c r="Y107" s="242"/>
      <c r="Z107" s="242"/>
      <c r="AA107" s="242"/>
      <c r="AB107" s="242"/>
    </row>
    <row r="108">
      <c r="A108" s="231" t="s">
        <v>590</v>
      </c>
      <c r="B108" s="319" t="s">
        <v>591</v>
      </c>
      <c r="C108" s="34"/>
      <c r="D108" s="320"/>
      <c r="E108" s="234">
        <v>8.0</v>
      </c>
      <c r="F108" s="235">
        <v>2990.49</v>
      </c>
      <c r="G108" s="264">
        <v>5900.0</v>
      </c>
      <c r="H108" s="237"/>
      <c r="I108" s="238">
        <f t="shared" si="40"/>
        <v>5437.254545</v>
      </c>
      <c r="J108" s="271">
        <v>6.0</v>
      </c>
      <c r="K108" s="240">
        <f t="shared" si="41"/>
        <v>2</v>
      </c>
      <c r="L108" s="241">
        <f t="shared" si="42"/>
        <v>5900</v>
      </c>
      <c r="M108" s="241">
        <f t="shared" si="43"/>
        <v>5500</v>
      </c>
      <c r="N108" s="242"/>
      <c r="O108" s="242"/>
      <c r="P108" s="242"/>
      <c r="Q108" s="242"/>
      <c r="R108" s="242"/>
      <c r="S108" s="242"/>
      <c r="T108" s="242"/>
      <c r="U108" s="242"/>
      <c r="V108" s="242"/>
      <c r="W108" s="242"/>
      <c r="X108" s="242"/>
      <c r="Y108" s="242"/>
      <c r="Z108" s="242"/>
      <c r="AA108" s="242"/>
      <c r="AB108" s="242"/>
    </row>
    <row r="109">
      <c r="A109" s="231" t="s">
        <v>592</v>
      </c>
      <c r="B109" s="319" t="s">
        <v>593</v>
      </c>
      <c r="C109" s="34"/>
      <c r="D109" s="320"/>
      <c r="E109" s="234">
        <v>8.0</v>
      </c>
      <c r="F109" s="235">
        <v>2504.14</v>
      </c>
      <c r="G109" s="236">
        <f t="shared" ref="G109:G111" si="44">F109/(1-0.5)</f>
        <v>5008.28</v>
      </c>
      <c r="H109" s="237"/>
      <c r="I109" s="238">
        <f t="shared" si="40"/>
        <v>4552.981818</v>
      </c>
      <c r="J109" s="273"/>
      <c r="K109" s="240">
        <f t="shared" si="41"/>
        <v>8</v>
      </c>
      <c r="L109" s="241">
        <f t="shared" si="42"/>
        <v>5100</v>
      </c>
      <c r="M109" s="241">
        <f t="shared" si="43"/>
        <v>4600</v>
      </c>
      <c r="N109" s="242"/>
      <c r="O109" s="242"/>
      <c r="P109" s="242"/>
      <c r="Q109" s="242"/>
      <c r="R109" s="242"/>
      <c r="S109" s="242"/>
      <c r="T109" s="242"/>
      <c r="U109" s="242"/>
      <c r="V109" s="242"/>
      <c r="W109" s="242"/>
      <c r="X109" s="242"/>
      <c r="Y109" s="242"/>
      <c r="Z109" s="242"/>
      <c r="AA109" s="242"/>
      <c r="AB109" s="242"/>
    </row>
    <row r="110">
      <c r="A110" s="274" t="s">
        <v>594</v>
      </c>
      <c r="B110" s="332" t="s">
        <v>595</v>
      </c>
      <c r="C110" s="3"/>
      <c r="D110" s="333"/>
      <c r="E110" s="234">
        <v>8.0</v>
      </c>
      <c r="F110" s="235">
        <v>4536.44</v>
      </c>
      <c r="G110" s="236">
        <f t="shared" si="44"/>
        <v>9072.88</v>
      </c>
      <c r="H110" s="237"/>
      <c r="I110" s="238">
        <f t="shared" si="40"/>
        <v>8248.072727</v>
      </c>
      <c r="J110" s="273"/>
      <c r="K110" s="240">
        <f t="shared" si="41"/>
        <v>8</v>
      </c>
      <c r="L110" s="241">
        <f t="shared" si="42"/>
        <v>9100</v>
      </c>
      <c r="M110" s="241">
        <f t="shared" si="43"/>
        <v>8300</v>
      </c>
      <c r="N110" s="242"/>
      <c r="O110" s="242"/>
      <c r="P110" s="242"/>
      <c r="Q110" s="242"/>
      <c r="R110" s="242"/>
      <c r="S110" s="242"/>
      <c r="T110" s="242"/>
      <c r="U110" s="242"/>
      <c r="V110" s="242"/>
      <c r="W110" s="242"/>
      <c r="X110" s="242"/>
      <c r="Y110" s="242"/>
      <c r="Z110" s="242"/>
      <c r="AA110" s="242"/>
      <c r="AB110" s="242"/>
    </row>
    <row r="111" ht="18.75" customHeight="1">
      <c r="A111" s="231" t="s">
        <v>596</v>
      </c>
      <c r="B111" s="319" t="s">
        <v>597</v>
      </c>
      <c r="C111" s="34"/>
      <c r="D111" s="320"/>
      <c r="E111" s="234">
        <v>6.0</v>
      </c>
      <c r="F111" s="235">
        <v>4383.03</v>
      </c>
      <c r="G111" s="236">
        <f t="shared" si="44"/>
        <v>8766.06</v>
      </c>
      <c r="H111" s="237"/>
      <c r="I111" s="238">
        <f t="shared" si="40"/>
        <v>7969.145455</v>
      </c>
      <c r="J111" s="273"/>
      <c r="K111" s="240">
        <f t="shared" si="41"/>
        <v>6</v>
      </c>
      <c r="L111" s="241">
        <f t="shared" si="42"/>
        <v>8800</v>
      </c>
      <c r="M111" s="241">
        <f t="shared" si="43"/>
        <v>8000</v>
      </c>
      <c r="N111" s="242"/>
      <c r="O111" s="242"/>
      <c r="P111" s="242"/>
      <c r="Q111" s="242"/>
      <c r="R111" s="242"/>
      <c r="S111" s="242"/>
      <c r="T111" s="242"/>
      <c r="U111" s="242"/>
      <c r="V111" s="242"/>
      <c r="W111" s="242"/>
      <c r="X111" s="242"/>
      <c r="Y111" s="242"/>
      <c r="Z111" s="242"/>
      <c r="AA111" s="242"/>
      <c r="AB111" s="242"/>
    </row>
    <row r="112" ht="22.5" customHeight="1">
      <c r="A112" s="338" t="s">
        <v>598</v>
      </c>
      <c r="B112" s="335"/>
      <c r="C112" s="335"/>
      <c r="D112" s="336"/>
      <c r="H112" s="339"/>
      <c r="K112" s="340"/>
    </row>
    <row r="113">
      <c r="A113" s="285" t="s">
        <v>599</v>
      </c>
      <c r="B113" s="330" t="s">
        <v>600</v>
      </c>
      <c r="C113" s="19"/>
      <c r="D113" s="331"/>
      <c r="E113" s="234">
        <v>8.0</v>
      </c>
      <c r="F113" s="235">
        <v>3864.67</v>
      </c>
      <c r="G113" s="236">
        <f t="shared" ref="G113:G131" si="45">F113/(1-0.5)</f>
        <v>7729.34</v>
      </c>
      <c r="H113" s="237"/>
      <c r="I113" s="238">
        <f t="shared" ref="I113:I131" si="46">F113/(1-0.45)</f>
        <v>7026.672727</v>
      </c>
      <c r="J113" s="273"/>
      <c r="K113" s="240">
        <f t="shared" ref="K113:K131" si="47">E113-J113</f>
        <v>8</v>
      </c>
      <c r="L113" s="241">
        <f t="shared" ref="L113:L131" si="48">ROUNDUP(G113,-2)</f>
        <v>7800</v>
      </c>
      <c r="M113" s="241">
        <f t="shared" ref="M113:M131" si="49">ROUNDUP(I113,-2)</f>
        <v>7100</v>
      </c>
      <c r="N113" s="242"/>
      <c r="O113" s="242"/>
      <c r="P113" s="242"/>
      <c r="Q113" s="242"/>
      <c r="R113" s="242"/>
      <c r="S113" s="242"/>
      <c r="T113" s="242"/>
      <c r="U113" s="242"/>
      <c r="V113" s="242"/>
      <c r="W113" s="242"/>
      <c r="X113" s="242"/>
      <c r="Y113" s="242"/>
      <c r="Z113" s="242"/>
      <c r="AA113" s="242"/>
      <c r="AB113" s="242"/>
    </row>
    <row r="114" ht="20.25" customHeight="1">
      <c r="A114" s="231" t="s">
        <v>601</v>
      </c>
      <c r="B114" s="319" t="s">
        <v>602</v>
      </c>
      <c r="C114" s="34"/>
      <c r="D114" s="320"/>
      <c r="E114" s="234">
        <v>8.0</v>
      </c>
      <c r="F114" s="235">
        <v>3864.67</v>
      </c>
      <c r="G114" s="236">
        <f t="shared" si="45"/>
        <v>7729.34</v>
      </c>
      <c r="H114" s="237"/>
      <c r="I114" s="238">
        <f t="shared" si="46"/>
        <v>7026.672727</v>
      </c>
      <c r="J114" s="271">
        <v>4.0</v>
      </c>
      <c r="K114" s="240">
        <f t="shared" si="47"/>
        <v>4</v>
      </c>
      <c r="L114" s="241">
        <f t="shared" si="48"/>
        <v>7800</v>
      </c>
      <c r="M114" s="241">
        <f t="shared" si="49"/>
        <v>7100</v>
      </c>
      <c r="N114" s="242"/>
      <c r="O114" s="242"/>
      <c r="P114" s="242"/>
      <c r="Q114" s="242"/>
      <c r="R114" s="242"/>
      <c r="S114" s="242"/>
      <c r="T114" s="242"/>
      <c r="U114" s="242"/>
      <c r="V114" s="242"/>
      <c r="W114" s="242"/>
      <c r="X114" s="242"/>
      <c r="Y114" s="242"/>
      <c r="Z114" s="242"/>
      <c r="AA114" s="242"/>
      <c r="AB114" s="242"/>
    </row>
    <row r="115">
      <c r="A115" s="231" t="s">
        <v>603</v>
      </c>
      <c r="B115" s="319" t="s">
        <v>604</v>
      </c>
      <c r="C115" s="34"/>
      <c r="D115" s="320"/>
      <c r="E115" s="234">
        <v>8.0</v>
      </c>
      <c r="F115" s="235">
        <v>3419.93</v>
      </c>
      <c r="G115" s="236">
        <f t="shared" si="45"/>
        <v>6839.86</v>
      </c>
      <c r="H115" s="237"/>
      <c r="I115" s="238">
        <f t="shared" si="46"/>
        <v>6218.054545</v>
      </c>
      <c r="J115" s="273"/>
      <c r="K115" s="240">
        <f t="shared" si="47"/>
        <v>8</v>
      </c>
      <c r="L115" s="241">
        <f t="shared" si="48"/>
        <v>6900</v>
      </c>
      <c r="M115" s="241">
        <f t="shared" si="49"/>
        <v>6300</v>
      </c>
      <c r="N115" s="242"/>
      <c r="O115" s="242"/>
      <c r="P115" s="242"/>
      <c r="Q115" s="242"/>
      <c r="R115" s="242"/>
      <c r="S115" s="242"/>
      <c r="T115" s="242"/>
      <c r="U115" s="242"/>
      <c r="V115" s="242"/>
      <c r="W115" s="242"/>
      <c r="X115" s="242"/>
      <c r="Y115" s="242"/>
      <c r="Z115" s="242"/>
      <c r="AA115" s="242"/>
      <c r="AB115" s="242"/>
    </row>
    <row r="116">
      <c r="A116" s="231" t="s">
        <v>605</v>
      </c>
      <c r="B116" s="319" t="s">
        <v>606</v>
      </c>
      <c r="C116" s="34"/>
      <c r="D116" s="320"/>
      <c r="E116" s="234">
        <v>8.0</v>
      </c>
      <c r="F116" s="235">
        <v>3327.91</v>
      </c>
      <c r="G116" s="236">
        <f t="shared" si="45"/>
        <v>6655.82</v>
      </c>
      <c r="H116" s="237"/>
      <c r="I116" s="238">
        <f t="shared" si="46"/>
        <v>6050.745455</v>
      </c>
      <c r="J116" s="273"/>
      <c r="K116" s="240">
        <f t="shared" si="47"/>
        <v>8</v>
      </c>
      <c r="L116" s="241">
        <f t="shared" si="48"/>
        <v>6700</v>
      </c>
      <c r="M116" s="241">
        <f t="shared" si="49"/>
        <v>6100</v>
      </c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  <c r="Y116" s="242"/>
      <c r="Z116" s="242"/>
      <c r="AA116" s="242"/>
      <c r="AB116" s="242"/>
    </row>
    <row r="117">
      <c r="A117" s="231" t="s">
        <v>607</v>
      </c>
      <c r="B117" s="319" t="s">
        <v>608</v>
      </c>
      <c r="C117" s="34"/>
      <c r="D117" s="320"/>
      <c r="E117" s="234">
        <v>8.0</v>
      </c>
      <c r="F117" s="235">
        <v>3327.91</v>
      </c>
      <c r="G117" s="236">
        <f t="shared" si="45"/>
        <v>6655.82</v>
      </c>
      <c r="H117" s="237"/>
      <c r="I117" s="238">
        <f t="shared" si="46"/>
        <v>6050.745455</v>
      </c>
      <c r="J117" s="273"/>
      <c r="K117" s="240">
        <f t="shared" si="47"/>
        <v>8</v>
      </c>
      <c r="L117" s="241">
        <f t="shared" si="48"/>
        <v>6700</v>
      </c>
      <c r="M117" s="241">
        <f t="shared" si="49"/>
        <v>6100</v>
      </c>
      <c r="N117" s="242"/>
      <c r="O117" s="242"/>
      <c r="P117" s="242"/>
      <c r="Q117" s="242"/>
      <c r="R117" s="242"/>
      <c r="S117" s="242"/>
      <c r="T117" s="242"/>
      <c r="U117" s="242"/>
      <c r="V117" s="242"/>
      <c r="W117" s="242"/>
      <c r="X117" s="242"/>
      <c r="Y117" s="242"/>
      <c r="Z117" s="242"/>
      <c r="AA117" s="242"/>
      <c r="AB117" s="242"/>
    </row>
    <row r="118">
      <c r="A118" s="231" t="s">
        <v>609</v>
      </c>
      <c r="B118" s="319" t="s">
        <v>610</v>
      </c>
      <c r="C118" s="34"/>
      <c r="D118" s="320"/>
      <c r="E118" s="234">
        <v>8.0</v>
      </c>
      <c r="F118" s="235">
        <v>3419.93</v>
      </c>
      <c r="G118" s="236">
        <f t="shared" si="45"/>
        <v>6839.86</v>
      </c>
      <c r="H118" s="237"/>
      <c r="I118" s="238">
        <f t="shared" si="46"/>
        <v>6218.054545</v>
      </c>
      <c r="J118" s="273"/>
      <c r="K118" s="240">
        <f t="shared" si="47"/>
        <v>8</v>
      </c>
      <c r="L118" s="241">
        <f t="shared" si="48"/>
        <v>6900</v>
      </c>
      <c r="M118" s="241">
        <f t="shared" si="49"/>
        <v>6300</v>
      </c>
      <c r="N118" s="242"/>
      <c r="O118" s="242"/>
      <c r="P118" s="242"/>
      <c r="Q118" s="242"/>
      <c r="R118" s="242"/>
      <c r="S118" s="242"/>
      <c r="T118" s="242"/>
      <c r="U118" s="242"/>
      <c r="V118" s="242"/>
      <c r="W118" s="242"/>
      <c r="X118" s="242"/>
      <c r="Y118" s="242"/>
      <c r="Z118" s="242"/>
      <c r="AA118" s="242"/>
      <c r="AB118" s="242"/>
    </row>
    <row r="119">
      <c r="A119" s="231" t="s">
        <v>611</v>
      </c>
      <c r="B119" s="319" t="s">
        <v>612</v>
      </c>
      <c r="C119" s="34"/>
      <c r="D119" s="320"/>
      <c r="E119" s="234">
        <v>4.0</v>
      </c>
      <c r="F119" s="235">
        <v>5812.34</v>
      </c>
      <c r="G119" s="236">
        <f t="shared" si="45"/>
        <v>11624.68</v>
      </c>
      <c r="H119" s="237"/>
      <c r="I119" s="238">
        <f t="shared" si="46"/>
        <v>10567.89091</v>
      </c>
      <c r="J119" s="239"/>
      <c r="K119" s="240">
        <f t="shared" si="47"/>
        <v>4</v>
      </c>
      <c r="L119" s="241">
        <f t="shared" si="48"/>
        <v>11700</v>
      </c>
      <c r="M119" s="241">
        <f t="shared" si="49"/>
        <v>10600</v>
      </c>
      <c r="N119" s="242"/>
      <c r="O119" s="242"/>
      <c r="P119" s="242"/>
      <c r="Q119" s="242"/>
      <c r="R119" s="242"/>
      <c r="S119" s="242"/>
      <c r="T119" s="242"/>
      <c r="U119" s="242"/>
      <c r="V119" s="242"/>
      <c r="W119" s="242"/>
      <c r="X119" s="242"/>
      <c r="Y119" s="242"/>
      <c r="Z119" s="242"/>
      <c r="AA119" s="242"/>
      <c r="AB119" s="242"/>
    </row>
    <row r="120" ht="16.5" customHeight="1">
      <c r="A120" s="231" t="s">
        <v>613</v>
      </c>
      <c r="B120" s="319" t="s">
        <v>614</v>
      </c>
      <c r="C120" s="34"/>
      <c r="D120" s="320"/>
      <c r="E120" s="234">
        <v>8.0</v>
      </c>
      <c r="F120" s="235">
        <v>5873.69</v>
      </c>
      <c r="G120" s="236">
        <f t="shared" si="45"/>
        <v>11747.38</v>
      </c>
      <c r="H120" s="237"/>
      <c r="I120" s="238">
        <f t="shared" si="46"/>
        <v>10679.43636</v>
      </c>
      <c r="J120" s="273"/>
      <c r="K120" s="240">
        <f t="shared" si="47"/>
        <v>8</v>
      </c>
      <c r="L120" s="241">
        <f t="shared" si="48"/>
        <v>11800</v>
      </c>
      <c r="M120" s="241">
        <f t="shared" si="49"/>
        <v>10700</v>
      </c>
      <c r="N120" s="242"/>
      <c r="O120" s="242"/>
      <c r="P120" s="242"/>
      <c r="Q120" s="242"/>
      <c r="R120" s="242"/>
      <c r="S120" s="242"/>
      <c r="T120" s="242"/>
      <c r="U120" s="242"/>
      <c r="V120" s="242"/>
      <c r="W120" s="242"/>
      <c r="X120" s="242"/>
      <c r="Y120" s="242"/>
      <c r="Z120" s="242"/>
      <c r="AA120" s="242"/>
      <c r="AB120" s="242"/>
    </row>
    <row r="121">
      <c r="A121" s="231" t="s">
        <v>615</v>
      </c>
      <c r="B121" s="319" t="s">
        <v>616</v>
      </c>
      <c r="C121" s="34"/>
      <c r="D121" s="320"/>
      <c r="E121" s="234">
        <v>8.0</v>
      </c>
      <c r="F121" s="235">
        <v>5014.87</v>
      </c>
      <c r="G121" s="236">
        <f t="shared" si="45"/>
        <v>10029.74</v>
      </c>
      <c r="H121" s="237"/>
      <c r="I121" s="238">
        <f t="shared" si="46"/>
        <v>9117.945455</v>
      </c>
      <c r="J121" s="273"/>
      <c r="K121" s="240">
        <f t="shared" si="47"/>
        <v>8</v>
      </c>
      <c r="L121" s="241">
        <f t="shared" si="48"/>
        <v>10100</v>
      </c>
      <c r="M121" s="241">
        <f t="shared" si="49"/>
        <v>9200</v>
      </c>
      <c r="N121" s="242"/>
      <c r="O121" s="242"/>
      <c r="P121" s="242"/>
      <c r="Q121" s="242"/>
      <c r="R121" s="242"/>
      <c r="S121" s="242"/>
      <c r="T121" s="242"/>
      <c r="U121" s="242"/>
      <c r="V121" s="242"/>
      <c r="W121" s="242"/>
      <c r="X121" s="242"/>
      <c r="Y121" s="242"/>
      <c r="Z121" s="242"/>
      <c r="AA121" s="242"/>
      <c r="AB121" s="242"/>
    </row>
    <row r="122">
      <c r="A122" s="231" t="s">
        <v>617</v>
      </c>
      <c r="B122" s="319" t="s">
        <v>618</v>
      </c>
      <c r="C122" s="34"/>
      <c r="D122" s="320"/>
      <c r="E122" s="234">
        <v>8.0</v>
      </c>
      <c r="F122" s="235">
        <v>5014.87</v>
      </c>
      <c r="G122" s="236">
        <f t="shared" si="45"/>
        <v>10029.74</v>
      </c>
      <c r="H122" s="237"/>
      <c r="I122" s="238">
        <f t="shared" si="46"/>
        <v>9117.945455</v>
      </c>
      <c r="J122" s="273"/>
      <c r="K122" s="240">
        <f t="shared" si="47"/>
        <v>8</v>
      </c>
      <c r="L122" s="241">
        <f t="shared" si="48"/>
        <v>10100</v>
      </c>
      <c r="M122" s="241">
        <f t="shared" si="49"/>
        <v>9200</v>
      </c>
      <c r="N122" s="242"/>
      <c r="O122" s="242"/>
      <c r="P122" s="242"/>
      <c r="Q122" s="242"/>
      <c r="R122" s="242"/>
      <c r="S122" s="242"/>
      <c r="T122" s="242"/>
      <c r="U122" s="242"/>
      <c r="V122" s="242"/>
      <c r="W122" s="242"/>
      <c r="X122" s="242"/>
      <c r="Y122" s="242"/>
      <c r="Z122" s="242"/>
      <c r="AA122" s="242"/>
      <c r="AB122" s="242"/>
    </row>
    <row r="123" ht="21.0" customHeight="1">
      <c r="A123" s="231" t="s">
        <v>619</v>
      </c>
      <c r="B123" s="319" t="s">
        <v>620</v>
      </c>
      <c r="C123" s="34"/>
      <c r="D123" s="320"/>
      <c r="E123" s="234">
        <v>8.0</v>
      </c>
      <c r="F123" s="235">
        <v>7928.71</v>
      </c>
      <c r="G123" s="236">
        <f t="shared" si="45"/>
        <v>15857.42</v>
      </c>
      <c r="H123" s="237"/>
      <c r="I123" s="238">
        <f t="shared" si="46"/>
        <v>14415.83636</v>
      </c>
      <c r="J123" s="273"/>
      <c r="K123" s="240">
        <f t="shared" si="47"/>
        <v>8</v>
      </c>
      <c r="L123" s="241">
        <f t="shared" si="48"/>
        <v>15900</v>
      </c>
      <c r="M123" s="241">
        <f t="shared" si="49"/>
        <v>14500</v>
      </c>
      <c r="N123" s="242"/>
      <c r="O123" s="242"/>
      <c r="P123" s="242"/>
      <c r="Q123" s="242"/>
      <c r="R123" s="242"/>
      <c r="S123" s="242"/>
      <c r="T123" s="242"/>
      <c r="U123" s="242"/>
      <c r="V123" s="242"/>
      <c r="W123" s="242"/>
      <c r="X123" s="242"/>
      <c r="Y123" s="242"/>
      <c r="Z123" s="242"/>
      <c r="AA123" s="242"/>
      <c r="AB123" s="242"/>
    </row>
    <row r="124">
      <c r="A124" s="231" t="s">
        <v>621</v>
      </c>
      <c r="B124" s="319" t="s">
        <v>622</v>
      </c>
      <c r="C124" s="34"/>
      <c r="D124" s="320"/>
      <c r="E124" s="234">
        <v>8.0</v>
      </c>
      <c r="F124" s="235">
        <v>7928.71</v>
      </c>
      <c r="G124" s="236">
        <f t="shared" si="45"/>
        <v>15857.42</v>
      </c>
      <c r="H124" s="237"/>
      <c r="I124" s="238">
        <f t="shared" si="46"/>
        <v>14415.83636</v>
      </c>
      <c r="J124" s="273"/>
      <c r="K124" s="240">
        <f t="shared" si="47"/>
        <v>8</v>
      </c>
      <c r="L124" s="241">
        <f t="shared" si="48"/>
        <v>15900</v>
      </c>
      <c r="M124" s="241">
        <f t="shared" si="49"/>
        <v>14500</v>
      </c>
      <c r="N124" s="242"/>
      <c r="O124" s="242"/>
      <c r="P124" s="242"/>
      <c r="Q124" s="242"/>
      <c r="R124" s="242"/>
      <c r="S124" s="242"/>
      <c r="T124" s="242"/>
      <c r="U124" s="242"/>
      <c r="V124" s="242"/>
      <c r="W124" s="242"/>
      <c r="X124" s="242"/>
      <c r="Y124" s="242"/>
      <c r="Z124" s="242"/>
      <c r="AA124" s="242"/>
      <c r="AB124" s="242"/>
    </row>
    <row r="125">
      <c r="A125" s="231" t="s">
        <v>623</v>
      </c>
      <c r="B125" s="319" t="s">
        <v>624</v>
      </c>
      <c r="C125" s="34"/>
      <c r="D125" s="320"/>
      <c r="E125" s="234">
        <v>8.0</v>
      </c>
      <c r="F125" s="235">
        <v>7545.31</v>
      </c>
      <c r="G125" s="236">
        <f t="shared" si="45"/>
        <v>15090.62</v>
      </c>
      <c r="H125" s="237"/>
      <c r="I125" s="238">
        <f t="shared" si="46"/>
        <v>13718.74545</v>
      </c>
      <c r="J125" s="273"/>
      <c r="K125" s="240">
        <f t="shared" si="47"/>
        <v>8</v>
      </c>
      <c r="L125" s="241">
        <f t="shared" si="48"/>
        <v>15100</v>
      </c>
      <c r="M125" s="241">
        <f t="shared" si="49"/>
        <v>13800</v>
      </c>
      <c r="N125" s="242"/>
      <c r="O125" s="242"/>
      <c r="P125" s="242"/>
      <c r="Q125" s="242"/>
      <c r="R125" s="242"/>
      <c r="S125" s="242"/>
      <c r="T125" s="242"/>
      <c r="U125" s="242"/>
      <c r="V125" s="242"/>
      <c r="W125" s="242"/>
      <c r="X125" s="242"/>
      <c r="Y125" s="242"/>
      <c r="Z125" s="242"/>
      <c r="AA125" s="242"/>
      <c r="AB125" s="242"/>
    </row>
    <row r="126" ht="20.25" customHeight="1">
      <c r="A126" s="231" t="s">
        <v>625</v>
      </c>
      <c r="B126" s="319" t="s">
        <v>626</v>
      </c>
      <c r="C126" s="34"/>
      <c r="D126" s="320"/>
      <c r="E126" s="234">
        <v>8.0</v>
      </c>
      <c r="F126" s="235">
        <v>12176.78</v>
      </c>
      <c r="G126" s="236">
        <f t="shared" si="45"/>
        <v>24353.56</v>
      </c>
      <c r="H126" s="237"/>
      <c r="I126" s="238">
        <f t="shared" si="46"/>
        <v>22139.6</v>
      </c>
      <c r="J126" s="273"/>
      <c r="K126" s="240">
        <f t="shared" si="47"/>
        <v>8</v>
      </c>
      <c r="L126" s="241">
        <f t="shared" si="48"/>
        <v>24400</v>
      </c>
      <c r="M126" s="241">
        <f t="shared" si="49"/>
        <v>22200</v>
      </c>
      <c r="N126" s="242"/>
      <c r="O126" s="242"/>
      <c r="P126" s="242"/>
      <c r="Q126" s="242"/>
      <c r="R126" s="242"/>
      <c r="S126" s="242"/>
      <c r="T126" s="242"/>
      <c r="U126" s="242"/>
      <c r="V126" s="242"/>
      <c r="W126" s="242"/>
      <c r="X126" s="242"/>
      <c r="Y126" s="242"/>
      <c r="Z126" s="242"/>
      <c r="AA126" s="242"/>
      <c r="AB126" s="242"/>
    </row>
    <row r="127" ht="21.75" customHeight="1">
      <c r="A127" s="231" t="s">
        <v>627</v>
      </c>
      <c r="B127" s="319" t="s">
        <v>628</v>
      </c>
      <c r="C127" s="34"/>
      <c r="D127" s="320"/>
      <c r="E127" s="234">
        <v>6.0</v>
      </c>
      <c r="F127" s="235">
        <v>12176.78</v>
      </c>
      <c r="G127" s="236">
        <f t="shared" si="45"/>
        <v>24353.56</v>
      </c>
      <c r="H127" s="237"/>
      <c r="I127" s="238">
        <f t="shared" si="46"/>
        <v>22139.6</v>
      </c>
      <c r="J127" s="273"/>
      <c r="K127" s="240">
        <f t="shared" si="47"/>
        <v>6</v>
      </c>
      <c r="L127" s="241">
        <f t="shared" si="48"/>
        <v>24400</v>
      </c>
      <c r="M127" s="241">
        <f t="shared" si="49"/>
        <v>22200</v>
      </c>
      <c r="N127" s="242"/>
      <c r="O127" s="242"/>
      <c r="P127" s="242"/>
      <c r="Q127" s="242"/>
      <c r="R127" s="242"/>
      <c r="S127" s="242"/>
      <c r="T127" s="242"/>
      <c r="U127" s="242"/>
      <c r="V127" s="242"/>
      <c r="W127" s="242"/>
      <c r="X127" s="242"/>
      <c r="Y127" s="242"/>
      <c r="Z127" s="242"/>
      <c r="AA127" s="242"/>
      <c r="AB127" s="242"/>
    </row>
    <row r="128" ht="18.75" customHeight="1">
      <c r="A128" s="231" t="s">
        <v>629</v>
      </c>
      <c r="B128" s="319" t="s">
        <v>630</v>
      </c>
      <c r="C128" s="34"/>
      <c r="D128" s="320"/>
      <c r="E128" s="234">
        <v>6.0</v>
      </c>
      <c r="F128" s="235">
        <v>10873.22</v>
      </c>
      <c r="G128" s="236">
        <f t="shared" si="45"/>
        <v>21746.44</v>
      </c>
      <c r="H128" s="237"/>
      <c r="I128" s="238">
        <f t="shared" si="46"/>
        <v>19769.49091</v>
      </c>
      <c r="J128" s="273"/>
      <c r="K128" s="240">
        <f t="shared" si="47"/>
        <v>6</v>
      </c>
      <c r="L128" s="241">
        <f t="shared" si="48"/>
        <v>21800</v>
      </c>
      <c r="M128" s="241">
        <f t="shared" si="49"/>
        <v>19800</v>
      </c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  <c r="Y128" s="242"/>
      <c r="Z128" s="242"/>
      <c r="AA128" s="242"/>
      <c r="AB128" s="242"/>
    </row>
    <row r="129">
      <c r="A129" s="231" t="s">
        <v>631</v>
      </c>
      <c r="B129" s="319" t="s">
        <v>632</v>
      </c>
      <c r="C129" s="34"/>
      <c r="D129" s="320"/>
      <c r="E129" s="234">
        <v>6.0</v>
      </c>
      <c r="F129" s="235">
        <v>11992.75</v>
      </c>
      <c r="G129" s="236">
        <f t="shared" si="45"/>
        <v>23985.5</v>
      </c>
      <c r="H129" s="237"/>
      <c r="I129" s="238">
        <f t="shared" si="46"/>
        <v>21805</v>
      </c>
      <c r="J129" s="273"/>
      <c r="K129" s="240">
        <f t="shared" si="47"/>
        <v>6</v>
      </c>
      <c r="L129" s="241">
        <f t="shared" si="48"/>
        <v>24000</v>
      </c>
      <c r="M129" s="241">
        <f t="shared" si="49"/>
        <v>21900</v>
      </c>
      <c r="N129" s="242"/>
      <c r="O129" s="242"/>
      <c r="P129" s="242"/>
      <c r="Q129" s="242"/>
      <c r="R129" s="242"/>
      <c r="S129" s="242"/>
      <c r="T129" s="242"/>
      <c r="U129" s="242"/>
      <c r="V129" s="242"/>
      <c r="W129" s="242"/>
      <c r="X129" s="242"/>
      <c r="Y129" s="242"/>
      <c r="Z129" s="242"/>
      <c r="AA129" s="242"/>
      <c r="AB129" s="242"/>
    </row>
    <row r="130" ht="19.5" customHeight="1">
      <c r="A130" s="231" t="s">
        <v>633</v>
      </c>
      <c r="B130" s="319" t="s">
        <v>634</v>
      </c>
      <c r="C130" s="34"/>
      <c r="D130" s="320"/>
      <c r="E130" s="341">
        <v>6.0</v>
      </c>
      <c r="F130" s="235">
        <v>11992.75</v>
      </c>
      <c r="G130" s="236">
        <f t="shared" si="45"/>
        <v>23985.5</v>
      </c>
      <c r="H130" s="237"/>
      <c r="I130" s="238">
        <f t="shared" si="46"/>
        <v>21805</v>
      </c>
      <c r="J130" s="273"/>
      <c r="K130" s="240">
        <f t="shared" si="47"/>
        <v>6</v>
      </c>
      <c r="L130" s="241">
        <f t="shared" si="48"/>
        <v>24000</v>
      </c>
      <c r="M130" s="241">
        <f t="shared" si="49"/>
        <v>21900</v>
      </c>
      <c r="N130" s="242"/>
      <c r="O130" s="242"/>
      <c r="P130" s="242"/>
      <c r="Q130" s="242"/>
      <c r="R130" s="242"/>
      <c r="S130" s="242"/>
      <c r="T130" s="242"/>
      <c r="U130" s="242"/>
      <c r="V130" s="242"/>
      <c r="W130" s="242"/>
      <c r="X130" s="242"/>
      <c r="Y130" s="242"/>
      <c r="Z130" s="242"/>
      <c r="AA130" s="242"/>
      <c r="AB130" s="242"/>
    </row>
    <row r="131">
      <c r="A131" s="342" t="s">
        <v>635</v>
      </c>
      <c r="B131" s="319" t="s">
        <v>636</v>
      </c>
      <c r="C131" s="34"/>
      <c r="D131" s="320"/>
      <c r="E131" s="234">
        <v>2.0</v>
      </c>
      <c r="F131" s="235">
        <v>12667.54</v>
      </c>
      <c r="G131" s="236">
        <f t="shared" si="45"/>
        <v>25335.08</v>
      </c>
      <c r="H131" s="237"/>
      <c r="I131" s="238">
        <f t="shared" si="46"/>
        <v>23031.89091</v>
      </c>
      <c r="J131" s="239"/>
      <c r="K131" s="240">
        <f t="shared" si="47"/>
        <v>2</v>
      </c>
      <c r="L131" s="241">
        <f t="shared" si="48"/>
        <v>25400</v>
      </c>
      <c r="M131" s="241">
        <f t="shared" si="49"/>
        <v>23100</v>
      </c>
      <c r="N131" s="242"/>
      <c r="O131" s="242"/>
      <c r="P131" s="242"/>
      <c r="Q131" s="242"/>
      <c r="R131" s="242"/>
      <c r="S131" s="242"/>
      <c r="T131" s="242"/>
      <c r="U131" s="242"/>
      <c r="V131" s="242"/>
      <c r="W131" s="242"/>
      <c r="X131" s="242"/>
      <c r="Y131" s="242"/>
      <c r="Z131" s="242"/>
      <c r="AA131" s="242"/>
      <c r="AB131" s="242"/>
    </row>
    <row r="132">
      <c r="A132" s="343" t="s">
        <v>637</v>
      </c>
      <c r="B132" s="335"/>
      <c r="C132" s="335"/>
      <c r="D132" s="336"/>
      <c r="E132" s="337"/>
      <c r="F132" s="235"/>
      <c r="G132" s="236"/>
      <c r="H132" s="237"/>
      <c r="I132" s="238"/>
      <c r="J132" s="273"/>
      <c r="K132" s="240"/>
      <c r="L132" s="241"/>
      <c r="M132" s="241"/>
      <c r="N132" s="242"/>
      <c r="O132" s="242"/>
      <c r="P132" s="242"/>
      <c r="Q132" s="242"/>
      <c r="R132" s="242"/>
      <c r="S132" s="242"/>
      <c r="T132" s="242"/>
      <c r="U132" s="242"/>
      <c r="V132" s="242"/>
      <c r="W132" s="242"/>
      <c r="X132" s="242"/>
      <c r="Y132" s="242"/>
      <c r="Z132" s="242"/>
      <c r="AA132" s="242"/>
      <c r="AB132" s="242"/>
    </row>
    <row r="133" ht="20.25" customHeight="1">
      <c r="A133" s="231" t="s">
        <v>638</v>
      </c>
      <c r="B133" s="247" t="s">
        <v>639</v>
      </c>
      <c r="C133" s="34"/>
      <c r="D133" s="248"/>
      <c r="E133" s="234">
        <v>2.0</v>
      </c>
      <c r="F133" s="235">
        <v>21246.85</v>
      </c>
      <c r="G133" s="236">
        <f t="shared" ref="G133:G137" si="50">F133/(1-0.5)</f>
        <v>42493.7</v>
      </c>
      <c r="H133" s="237"/>
      <c r="I133" s="238">
        <f t="shared" ref="I133:I137" si="51">F133/(1-0.45)</f>
        <v>38630.63636</v>
      </c>
      <c r="J133" s="239"/>
      <c r="K133" s="240">
        <f t="shared" ref="K133:K137" si="52">E133-J133</f>
        <v>2</v>
      </c>
      <c r="L133" s="241">
        <f t="shared" ref="L133:L137" si="53">ROUNDUP(G133,-2)</f>
        <v>42500</v>
      </c>
      <c r="M133" s="241">
        <f t="shared" ref="M133:M137" si="54">ROUNDUP(I133,-2)</f>
        <v>38700</v>
      </c>
      <c r="N133" s="242"/>
      <c r="O133" s="242"/>
      <c r="P133" s="242"/>
      <c r="Q133" s="242"/>
      <c r="R133" s="242"/>
      <c r="S133" s="242"/>
      <c r="T133" s="242"/>
      <c r="U133" s="242"/>
      <c r="V133" s="242"/>
      <c r="W133" s="242"/>
      <c r="X133" s="242"/>
      <c r="Y133" s="242"/>
      <c r="Z133" s="242"/>
      <c r="AA133" s="242"/>
      <c r="AB133" s="242"/>
    </row>
    <row r="134" ht="21.0" customHeight="1">
      <c r="A134" s="231" t="s">
        <v>640</v>
      </c>
      <c r="B134" s="247" t="s">
        <v>641</v>
      </c>
      <c r="C134" s="34"/>
      <c r="D134" s="248"/>
      <c r="E134" s="234">
        <v>2.0</v>
      </c>
      <c r="F134" s="235">
        <v>8722.95</v>
      </c>
      <c r="G134" s="236">
        <f t="shared" si="50"/>
        <v>17445.9</v>
      </c>
      <c r="H134" s="237"/>
      <c r="I134" s="238">
        <f t="shared" si="51"/>
        <v>15859.90909</v>
      </c>
      <c r="J134" s="239"/>
      <c r="K134" s="240">
        <f t="shared" si="52"/>
        <v>2</v>
      </c>
      <c r="L134" s="241">
        <f t="shared" si="53"/>
        <v>17500</v>
      </c>
      <c r="M134" s="241">
        <f t="shared" si="54"/>
        <v>15900</v>
      </c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  <c r="Y134" s="242"/>
      <c r="Z134" s="242"/>
      <c r="AA134" s="242"/>
      <c r="AB134" s="242"/>
    </row>
    <row r="135" ht="21.75" customHeight="1">
      <c r="A135" s="231" t="s">
        <v>642</v>
      </c>
      <c r="B135" s="247" t="s">
        <v>643</v>
      </c>
      <c r="C135" s="34"/>
      <c r="D135" s="248"/>
      <c r="E135" s="251">
        <v>2.0</v>
      </c>
      <c r="F135" s="235">
        <v>8722.95</v>
      </c>
      <c r="G135" s="236">
        <f t="shared" si="50"/>
        <v>17445.9</v>
      </c>
      <c r="H135" s="237"/>
      <c r="I135" s="238">
        <f t="shared" si="51"/>
        <v>15859.90909</v>
      </c>
      <c r="J135" s="239"/>
      <c r="K135" s="240">
        <f t="shared" si="52"/>
        <v>2</v>
      </c>
      <c r="L135" s="241">
        <f t="shared" si="53"/>
        <v>17500</v>
      </c>
      <c r="M135" s="241">
        <f t="shared" si="54"/>
        <v>15900</v>
      </c>
      <c r="N135" s="242"/>
      <c r="O135" s="242"/>
      <c r="P135" s="242"/>
      <c r="Q135" s="242"/>
      <c r="R135" s="242"/>
      <c r="S135" s="242"/>
      <c r="T135" s="242"/>
      <c r="U135" s="242"/>
      <c r="V135" s="242"/>
      <c r="W135" s="242"/>
      <c r="X135" s="242"/>
      <c r="Y135" s="242"/>
      <c r="Z135" s="242"/>
      <c r="AA135" s="242"/>
      <c r="AB135" s="242"/>
    </row>
    <row r="136">
      <c r="A136" s="231" t="s">
        <v>644</v>
      </c>
      <c r="B136" s="247" t="s">
        <v>645</v>
      </c>
      <c r="C136" s="34"/>
      <c r="D136" s="248"/>
      <c r="E136" s="234">
        <v>2.0</v>
      </c>
      <c r="F136" s="235">
        <v>24463.01</v>
      </c>
      <c r="G136" s="236">
        <f t="shared" si="50"/>
        <v>48926.02</v>
      </c>
      <c r="H136" s="237"/>
      <c r="I136" s="238">
        <f t="shared" si="51"/>
        <v>44478.2</v>
      </c>
      <c r="J136" s="239"/>
      <c r="K136" s="240">
        <f t="shared" si="52"/>
        <v>2</v>
      </c>
      <c r="L136" s="241">
        <f t="shared" si="53"/>
        <v>49000</v>
      </c>
      <c r="M136" s="241">
        <f t="shared" si="54"/>
        <v>44500</v>
      </c>
      <c r="N136" s="242"/>
      <c r="O136" s="242"/>
      <c r="P136" s="242"/>
      <c r="Q136" s="242"/>
      <c r="R136" s="242"/>
      <c r="S136" s="242"/>
      <c r="T136" s="242"/>
      <c r="U136" s="242"/>
      <c r="V136" s="242"/>
      <c r="W136" s="242"/>
      <c r="X136" s="242"/>
      <c r="Y136" s="242"/>
      <c r="Z136" s="242"/>
      <c r="AA136" s="242"/>
      <c r="AB136" s="242"/>
    </row>
    <row r="137" ht="16.5" customHeight="1">
      <c r="A137" s="231" t="s">
        <v>646</v>
      </c>
      <c r="B137" s="247" t="s">
        <v>647</v>
      </c>
      <c r="C137" s="34"/>
      <c r="D137" s="248"/>
      <c r="E137" s="234">
        <v>2.0</v>
      </c>
      <c r="F137" s="235">
        <v>8415.88</v>
      </c>
      <c r="G137" s="236">
        <f t="shared" si="50"/>
        <v>16831.76</v>
      </c>
      <c r="H137" s="237"/>
      <c r="I137" s="238">
        <f t="shared" si="51"/>
        <v>15301.6</v>
      </c>
      <c r="J137" s="273"/>
      <c r="K137" s="240">
        <f t="shared" si="52"/>
        <v>2</v>
      </c>
      <c r="L137" s="241">
        <f t="shared" si="53"/>
        <v>16900</v>
      </c>
      <c r="M137" s="241">
        <f t="shared" si="54"/>
        <v>15400</v>
      </c>
      <c r="N137" s="242"/>
      <c r="O137" s="242"/>
      <c r="P137" s="242"/>
      <c r="Q137" s="242"/>
      <c r="R137" s="242"/>
      <c r="S137" s="242"/>
      <c r="T137" s="242"/>
      <c r="U137" s="242"/>
      <c r="V137" s="242"/>
      <c r="W137" s="242"/>
      <c r="X137" s="242"/>
      <c r="Y137" s="242"/>
      <c r="Z137" s="242"/>
      <c r="AA137" s="242"/>
      <c r="AB137" s="242"/>
    </row>
    <row r="138">
      <c r="F138" s="344">
        <f>SUM(F3:F137)</f>
        <v>651617.79</v>
      </c>
      <c r="H138" s="339"/>
    </row>
    <row r="139">
      <c r="H139" s="339"/>
    </row>
    <row r="140">
      <c r="H140" s="339"/>
    </row>
    <row r="141">
      <c r="H141" s="339"/>
    </row>
    <row r="142">
      <c r="H142" s="339"/>
    </row>
    <row r="143">
      <c r="H143" s="339"/>
    </row>
    <row r="144">
      <c r="H144" s="339"/>
    </row>
    <row r="145">
      <c r="H145" s="339"/>
    </row>
    <row r="146">
      <c r="H146" s="339"/>
    </row>
    <row r="147">
      <c r="H147" s="339"/>
    </row>
    <row r="148">
      <c r="H148" s="339"/>
    </row>
    <row r="149">
      <c r="H149" s="339"/>
    </row>
    <row r="150">
      <c r="H150" s="339"/>
    </row>
    <row r="151">
      <c r="H151" s="339"/>
    </row>
    <row r="152">
      <c r="H152" s="339"/>
    </row>
    <row r="153">
      <c r="H153" s="339"/>
    </row>
    <row r="154" ht="12.75" customHeight="1">
      <c r="A154" s="345" t="s">
        <v>648</v>
      </c>
      <c r="B154" s="346" t="s">
        <v>649</v>
      </c>
      <c r="E154" s="341">
        <v>26.0</v>
      </c>
      <c r="F154" s="347" t="s">
        <v>650</v>
      </c>
      <c r="G154" s="348">
        <v>3000.0</v>
      </c>
      <c r="H154" s="349"/>
      <c r="I154" s="350">
        <v>2900.0</v>
      </c>
      <c r="J154" s="351">
        <v>1.0</v>
      </c>
      <c r="K154" s="352">
        <f>E154-J154</f>
        <v>25</v>
      </c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</row>
    <row r="155" ht="12.75" customHeight="1">
      <c r="A155" s="353"/>
      <c r="B155" s="54"/>
      <c r="E155" s="354"/>
      <c r="F155" s="242"/>
      <c r="G155" s="355"/>
      <c r="H155" s="217"/>
      <c r="I155" s="356"/>
      <c r="J155" s="357"/>
      <c r="K155" s="357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</row>
    <row r="156" ht="12.75" customHeight="1">
      <c r="A156" s="353"/>
      <c r="B156" s="54"/>
      <c r="E156" s="354"/>
      <c r="F156" s="242"/>
      <c r="G156" s="358"/>
      <c r="H156" s="217"/>
      <c r="I156" s="54"/>
      <c r="J156" s="218"/>
      <c r="K156" s="218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</row>
    <row r="157" ht="12.75" customHeight="1">
      <c r="A157" s="353"/>
      <c r="B157" s="54"/>
      <c r="E157" s="354"/>
      <c r="F157" s="242"/>
      <c r="G157" s="358"/>
      <c r="H157" s="217"/>
      <c r="I157" s="54"/>
      <c r="J157" s="218"/>
      <c r="K157" s="218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</row>
    <row r="158" ht="12.75" customHeight="1">
      <c r="A158" s="353"/>
      <c r="B158" s="54"/>
      <c r="E158" s="354"/>
      <c r="F158" s="242"/>
      <c r="G158" s="358"/>
      <c r="H158" s="217"/>
      <c r="I158" s="54"/>
      <c r="J158" s="218"/>
      <c r="K158" s="218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</row>
    <row r="159" ht="12.75" customHeight="1">
      <c r="A159" s="353"/>
      <c r="B159" s="54"/>
      <c r="E159" s="354"/>
      <c r="F159" s="242"/>
      <c r="G159" s="358"/>
      <c r="H159" s="217"/>
      <c r="I159" s="54"/>
      <c r="J159" s="218"/>
      <c r="K159" s="218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</row>
    <row r="160" ht="12.75" customHeight="1">
      <c r="A160" s="353"/>
      <c r="B160" s="54"/>
      <c r="E160" s="354"/>
      <c r="F160" s="242"/>
      <c r="G160" s="358"/>
      <c r="H160" s="217"/>
      <c r="I160" s="54"/>
      <c r="J160" s="218"/>
      <c r="K160" s="218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</row>
    <row r="161" ht="12.75" customHeight="1">
      <c r="A161" s="353"/>
      <c r="B161" s="54"/>
      <c r="E161" s="354"/>
      <c r="F161" s="242"/>
      <c r="G161" s="358"/>
      <c r="H161" s="217"/>
      <c r="I161" s="54"/>
      <c r="J161" s="218"/>
      <c r="K161" s="218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</row>
    <row r="162" ht="12.75" customHeight="1">
      <c r="A162" s="353"/>
      <c r="B162" s="54"/>
      <c r="E162" s="354"/>
      <c r="F162" s="242"/>
      <c r="G162" s="358"/>
      <c r="H162" s="217"/>
      <c r="I162" s="54"/>
      <c r="J162" s="218"/>
      <c r="K162" s="218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</row>
    <row r="163" ht="12.75" customHeight="1">
      <c r="A163" s="353"/>
      <c r="B163" s="54"/>
      <c r="E163" s="354"/>
      <c r="F163" s="242"/>
      <c r="G163" s="358"/>
      <c r="H163" s="217"/>
      <c r="I163" s="54"/>
      <c r="J163" s="218"/>
      <c r="K163" s="218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</row>
    <row r="164" ht="12.75" customHeight="1">
      <c r="A164" s="353"/>
      <c r="B164" s="54"/>
      <c r="E164" s="354"/>
      <c r="F164" s="242"/>
      <c r="G164" s="358"/>
      <c r="H164" s="217"/>
      <c r="I164" s="54"/>
      <c r="J164" s="218"/>
      <c r="K164" s="218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</row>
    <row r="165" ht="12.75" customHeight="1">
      <c r="A165" s="353"/>
      <c r="B165" s="54"/>
      <c r="E165" s="354"/>
      <c r="F165" s="242"/>
      <c r="G165" s="358"/>
      <c r="H165" s="217"/>
      <c r="I165" s="54"/>
      <c r="J165" s="218"/>
      <c r="K165" s="218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</row>
    <row r="166" ht="12.75" customHeight="1">
      <c r="A166" s="353"/>
      <c r="B166" s="54"/>
      <c r="E166" s="354"/>
      <c r="F166" s="242"/>
      <c r="G166" s="358"/>
      <c r="H166" s="217"/>
      <c r="I166" s="54"/>
      <c r="J166" s="218"/>
      <c r="K166" s="218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</row>
    <row r="167" ht="12.75" customHeight="1">
      <c r="A167" s="353"/>
      <c r="B167" s="54"/>
      <c r="E167" s="354"/>
      <c r="F167" s="242"/>
      <c r="G167" s="358"/>
      <c r="H167" s="217"/>
      <c r="I167" s="54"/>
      <c r="J167" s="218"/>
      <c r="K167" s="218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</row>
    <row r="168" ht="12.75" customHeight="1">
      <c r="A168" s="353"/>
      <c r="B168" s="54"/>
      <c r="E168" s="354"/>
      <c r="F168" s="242"/>
      <c r="G168" s="358"/>
      <c r="H168" s="217"/>
      <c r="I168" s="54"/>
      <c r="J168" s="218"/>
      <c r="K168" s="218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</row>
    <row r="169" ht="12.75" customHeight="1">
      <c r="A169" s="353"/>
      <c r="B169" s="54"/>
      <c r="E169" s="354"/>
      <c r="F169" s="242"/>
      <c r="G169" s="358"/>
      <c r="H169" s="217"/>
      <c r="I169" s="54"/>
      <c r="J169" s="218"/>
      <c r="K169" s="218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</row>
    <row r="170" ht="12.75" customHeight="1">
      <c r="A170" s="353"/>
      <c r="B170" s="54"/>
      <c r="E170" s="354"/>
      <c r="F170" s="242"/>
      <c r="G170" s="358"/>
      <c r="H170" s="217"/>
      <c r="I170" s="54"/>
      <c r="J170" s="218"/>
      <c r="K170" s="218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</row>
    <row r="171" ht="12.75" customHeight="1">
      <c r="A171" s="353"/>
      <c r="B171" s="54"/>
      <c r="E171" s="354"/>
      <c r="F171" s="242"/>
      <c r="G171" s="355"/>
      <c r="H171" s="217"/>
      <c r="I171" s="54"/>
      <c r="J171" s="218"/>
      <c r="K171" s="218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</row>
    <row r="172" ht="12.75" customHeight="1">
      <c r="A172" s="353"/>
      <c r="B172" s="54"/>
      <c r="E172" s="354"/>
      <c r="F172" s="242"/>
      <c r="G172" s="358"/>
      <c r="H172" s="217"/>
      <c r="I172" s="54"/>
      <c r="J172" s="218"/>
      <c r="K172" s="218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</row>
    <row r="173" ht="12.75" customHeight="1">
      <c r="A173" s="353"/>
      <c r="B173" s="54"/>
      <c r="E173" s="354"/>
      <c r="F173" s="242"/>
      <c r="G173" s="358"/>
      <c r="H173" s="217"/>
      <c r="I173" s="54"/>
      <c r="J173" s="218"/>
      <c r="K173" s="218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</row>
    <row r="174" ht="12.75" customHeight="1">
      <c r="A174" s="353"/>
      <c r="B174" s="54"/>
      <c r="E174" s="354"/>
      <c r="F174" s="242"/>
      <c r="G174" s="358"/>
      <c r="H174" s="217"/>
      <c r="I174" s="54"/>
      <c r="J174" s="218"/>
      <c r="K174" s="218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</row>
    <row r="175" ht="12.75" customHeight="1">
      <c r="A175" s="353"/>
      <c r="B175" s="54"/>
      <c r="E175" s="354"/>
      <c r="F175" s="242"/>
      <c r="G175" s="358"/>
      <c r="H175" s="217"/>
      <c r="I175" s="54"/>
      <c r="J175" s="218"/>
      <c r="K175" s="218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</row>
    <row r="176" ht="12.75" customHeight="1">
      <c r="A176" s="353"/>
      <c r="B176" s="54"/>
      <c r="E176" s="354"/>
      <c r="F176" s="242"/>
      <c r="G176" s="358"/>
      <c r="H176" s="217"/>
      <c r="I176" s="54"/>
      <c r="J176" s="218"/>
      <c r="K176" s="218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</row>
    <row r="177" ht="12.75" customHeight="1">
      <c r="A177" s="353"/>
      <c r="B177" s="54"/>
      <c r="E177" s="354"/>
      <c r="F177" s="242"/>
      <c r="G177" s="358"/>
      <c r="H177" s="217"/>
      <c r="I177" s="54"/>
      <c r="J177" s="218"/>
      <c r="K177" s="218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</row>
    <row r="178" ht="12.75" customHeight="1">
      <c r="A178" s="353"/>
      <c r="B178" s="54"/>
      <c r="E178" s="354"/>
      <c r="F178" s="242"/>
      <c r="G178" s="358"/>
      <c r="H178" s="217"/>
      <c r="I178" s="54"/>
      <c r="J178" s="218"/>
      <c r="K178" s="218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</row>
    <row r="179" ht="12.75" customHeight="1">
      <c r="A179" s="353"/>
      <c r="B179" s="54"/>
      <c r="E179" s="354"/>
      <c r="F179" s="242"/>
      <c r="G179" s="358"/>
      <c r="H179" s="217"/>
      <c r="I179" s="54"/>
      <c r="J179" s="218"/>
      <c r="K179" s="218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</row>
    <row r="180" ht="12.75" customHeight="1">
      <c r="A180" s="353"/>
      <c r="B180" s="54"/>
      <c r="E180" s="354"/>
      <c r="F180" s="242"/>
      <c r="G180" s="358"/>
      <c r="H180" s="217"/>
      <c r="I180" s="54"/>
      <c r="J180" s="218"/>
      <c r="K180" s="218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</row>
    <row r="181" ht="12.75" customHeight="1">
      <c r="A181" s="353"/>
      <c r="B181" s="54"/>
      <c r="E181" s="354"/>
      <c r="F181" s="347"/>
      <c r="G181" s="359"/>
      <c r="H181" s="217"/>
      <c r="I181" s="54"/>
      <c r="J181" s="218"/>
      <c r="K181" s="218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</row>
    <row r="182" ht="12.75" customHeight="1">
      <c r="A182" s="353"/>
      <c r="B182" s="54"/>
      <c r="E182" s="354"/>
      <c r="F182" s="347"/>
      <c r="G182" s="358"/>
      <c r="H182" s="217"/>
      <c r="I182" s="54"/>
      <c r="J182" s="218"/>
      <c r="K182" s="218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</row>
    <row r="183" ht="12.75" customHeight="1">
      <c r="A183" s="353"/>
      <c r="B183" s="54"/>
      <c r="E183" s="354"/>
      <c r="F183" s="242"/>
      <c r="G183" s="358"/>
      <c r="H183" s="217"/>
      <c r="I183" s="54"/>
      <c r="J183" s="218"/>
      <c r="K183" s="218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</row>
    <row r="184" ht="12.75" customHeight="1">
      <c r="A184" s="353"/>
      <c r="B184" s="54"/>
      <c r="E184" s="354"/>
      <c r="F184" s="242"/>
      <c r="G184" s="358"/>
      <c r="H184" s="217"/>
      <c r="I184" s="54"/>
      <c r="J184" s="218"/>
      <c r="K184" s="218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</row>
    <row r="185" ht="12.75" customHeight="1">
      <c r="A185" s="353"/>
      <c r="B185" s="54"/>
      <c r="E185" s="354"/>
      <c r="F185" s="242"/>
      <c r="G185" s="358"/>
      <c r="H185" s="217"/>
      <c r="I185" s="54"/>
      <c r="J185" s="218"/>
      <c r="K185" s="218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</row>
    <row r="186" ht="12.75" customHeight="1">
      <c r="A186" s="353"/>
      <c r="B186" s="54"/>
      <c r="E186" s="354"/>
      <c r="F186" s="242"/>
      <c r="G186" s="358"/>
      <c r="H186" s="217"/>
      <c r="I186" s="54"/>
      <c r="J186" s="218"/>
      <c r="K186" s="218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</row>
    <row r="187" ht="12.75" customHeight="1">
      <c r="A187" s="353"/>
      <c r="B187" s="54"/>
      <c r="E187" s="354"/>
      <c r="F187" s="242"/>
      <c r="G187" s="358"/>
      <c r="H187" s="217"/>
      <c r="I187" s="54"/>
      <c r="J187" s="218"/>
      <c r="K187" s="218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</row>
    <row r="188" ht="12.75" customHeight="1">
      <c r="A188" s="353"/>
      <c r="B188" s="54"/>
      <c r="E188" s="354"/>
      <c r="F188" s="242"/>
      <c r="G188" s="358"/>
      <c r="H188" s="217"/>
      <c r="I188" s="54"/>
      <c r="J188" s="218"/>
      <c r="K188" s="218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</row>
    <row r="189" ht="12.75" customHeight="1">
      <c r="A189" s="353"/>
      <c r="B189" s="54"/>
      <c r="E189" s="354"/>
      <c r="F189" s="242"/>
      <c r="G189" s="358"/>
      <c r="H189" s="217"/>
      <c r="I189" s="54"/>
      <c r="J189" s="218"/>
      <c r="K189" s="218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</row>
    <row r="190" ht="12.75" customHeight="1">
      <c r="A190" s="353"/>
      <c r="B190" s="54"/>
      <c r="E190" s="354"/>
      <c r="F190" s="242"/>
      <c r="G190" s="358"/>
      <c r="H190" s="217"/>
      <c r="I190" s="54"/>
      <c r="J190" s="218"/>
      <c r="K190" s="218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</row>
    <row r="191" ht="12.75" customHeight="1">
      <c r="A191" s="353"/>
      <c r="B191" s="54"/>
      <c r="E191" s="354"/>
      <c r="F191" s="242"/>
      <c r="G191" s="358"/>
      <c r="H191" s="217"/>
      <c r="I191" s="54"/>
      <c r="J191" s="218"/>
      <c r="K191" s="218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</row>
    <row r="192" ht="12.75" customHeight="1">
      <c r="A192" s="353"/>
      <c r="B192" s="54"/>
      <c r="E192" s="354"/>
      <c r="F192" s="242"/>
      <c r="G192" s="358"/>
      <c r="H192" s="217"/>
      <c r="I192" s="54"/>
      <c r="J192" s="218"/>
      <c r="K192" s="218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</row>
    <row r="193" ht="12.75" customHeight="1">
      <c r="A193" s="353"/>
      <c r="B193" s="54"/>
      <c r="E193" s="354"/>
      <c r="F193" s="242"/>
      <c r="G193" s="358"/>
      <c r="H193" s="217"/>
      <c r="I193" s="54"/>
      <c r="J193" s="218"/>
      <c r="K193" s="218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</row>
    <row r="194" ht="12.75" customHeight="1">
      <c r="A194" s="353"/>
      <c r="B194" s="54"/>
      <c r="E194" s="354"/>
      <c r="F194" s="242"/>
      <c r="G194" s="358"/>
      <c r="H194" s="217"/>
      <c r="I194" s="54"/>
      <c r="J194" s="218"/>
      <c r="K194" s="218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</row>
    <row r="195" ht="12.75" customHeight="1">
      <c r="A195" s="353"/>
      <c r="B195" s="54"/>
      <c r="E195" s="354"/>
      <c r="F195" s="242"/>
      <c r="G195" s="358"/>
      <c r="H195" s="217"/>
      <c r="I195" s="54"/>
      <c r="J195" s="218"/>
      <c r="K195" s="218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</row>
    <row r="196" ht="12.75" customHeight="1">
      <c r="A196" s="353"/>
      <c r="B196" s="54"/>
      <c r="E196" s="354"/>
      <c r="F196" s="242"/>
      <c r="G196" s="358"/>
      <c r="H196" s="217"/>
      <c r="I196" s="54"/>
      <c r="J196" s="218"/>
      <c r="K196" s="218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</row>
    <row r="197" ht="12.75" customHeight="1">
      <c r="A197" s="353"/>
      <c r="B197" s="54"/>
      <c r="E197" s="354"/>
      <c r="F197" s="242"/>
      <c r="G197" s="358"/>
      <c r="H197" s="217"/>
      <c r="I197" s="54"/>
      <c r="J197" s="218"/>
      <c r="K197" s="218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</row>
    <row r="198" ht="12.75" customHeight="1">
      <c r="A198" s="353"/>
      <c r="B198" s="54"/>
      <c r="E198" s="354"/>
      <c r="F198" s="242"/>
      <c r="G198" s="358"/>
      <c r="H198" s="217"/>
      <c r="I198" s="54"/>
      <c r="J198" s="218"/>
      <c r="K198" s="218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</row>
    <row r="199" ht="12.75" customHeight="1">
      <c r="A199" s="353"/>
      <c r="B199" s="54"/>
      <c r="E199" s="354"/>
      <c r="F199" s="242"/>
      <c r="G199" s="358"/>
      <c r="H199" s="217"/>
      <c r="I199" s="54"/>
      <c r="J199" s="218"/>
      <c r="K199" s="218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</row>
    <row r="200" ht="12.75" customHeight="1">
      <c r="A200" s="353"/>
      <c r="B200" s="54"/>
      <c r="E200" s="354"/>
      <c r="F200" s="242"/>
      <c r="G200" s="358"/>
      <c r="H200" s="217"/>
      <c r="I200" s="54"/>
      <c r="J200" s="218"/>
      <c r="K200" s="218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</row>
    <row r="201" ht="12.75" customHeight="1">
      <c r="A201" s="353"/>
      <c r="B201" s="54"/>
      <c r="E201" s="354"/>
      <c r="F201" s="242"/>
      <c r="G201" s="358"/>
      <c r="H201" s="217"/>
      <c r="I201" s="54"/>
      <c r="J201" s="218"/>
      <c r="K201" s="218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</row>
    <row r="202" ht="12.75" customHeight="1">
      <c r="A202" s="353"/>
      <c r="B202" s="54"/>
      <c r="E202" s="354"/>
      <c r="F202" s="242"/>
      <c r="G202" s="358"/>
      <c r="H202" s="217"/>
      <c r="I202" s="54"/>
      <c r="J202" s="218"/>
      <c r="K202" s="218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</row>
    <row r="203" ht="12.75" customHeight="1">
      <c r="A203" s="353"/>
      <c r="B203" s="54"/>
      <c r="E203" s="354"/>
      <c r="F203" s="242"/>
      <c r="G203" s="358"/>
      <c r="H203" s="217"/>
      <c r="I203" s="54"/>
      <c r="J203" s="218"/>
      <c r="K203" s="218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</row>
    <row r="204" ht="12.75" customHeight="1">
      <c r="A204" s="353"/>
      <c r="B204" s="54"/>
      <c r="E204" s="354"/>
      <c r="F204" s="242"/>
      <c r="G204" s="358"/>
      <c r="H204" s="217"/>
      <c r="I204" s="54"/>
      <c r="J204" s="218"/>
      <c r="K204" s="218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</row>
    <row r="205" ht="12.75" customHeight="1">
      <c r="A205" s="353"/>
      <c r="B205" s="54"/>
      <c r="E205" s="354"/>
      <c r="F205" s="242"/>
      <c r="G205" s="358"/>
      <c r="H205" s="217"/>
      <c r="I205" s="54"/>
      <c r="J205" s="218"/>
      <c r="K205" s="218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</row>
    <row r="206" ht="12.75" customHeight="1">
      <c r="A206" s="353"/>
      <c r="B206" s="54"/>
      <c r="E206" s="354"/>
      <c r="F206" s="242"/>
      <c r="G206" s="358"/>
      <c r="H206" s="217"/>
      <c r="I206" s="54"/>
      <c r="J206" s="218"/>
      <c r="K206" s="218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</row>
    <row r="207" ht="12.75" customHeight="1">
      <c r="A207" s="353"/>
      <c r="B207" s="54"/>
      <c r="E207" s="354"/>
      <c r="F207" s="242"/>
      <c r="G207" s="358"/>
      <c r="H207" s="217"/>
      <c r="I207" s="54"/>
      <c r="J207" s="218"/>
      <c r="K207" s="218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</row>
    <row r="208" ht="12.75" customHeight="1">
      <c r="A208" s="353"/>
      <c r="B208" s="54"/>
      <c r="E208" s="354"/>
      <c r="F208" s="242"/>
      <c r="G208" s="358"/>
      <c r="H208" s="217"/>
      <c r="I208" s="54"/>
      <c r="J208" s="218"/>
      <c r="K208" s="218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</row>
    <row r="209" ht="12.75" customHeight="1">
      <c r="A209" s="353"/>
      <c r="B209" s="54"/>
      <c r="E209" s="354"/>
      <c r="F209" s="242"/>
      <c r="G209" s="358"/>
      <c r="H209" s="217"/>
      <c r="I209" s="54"/>
      <c r="J209" s="218"/>
      <c r="K209" s="218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</row>
    <row r="210" ht="12.75" customHeight="1">
      <c r="A210" s="353"/>
      <c r="B210" s="54"/>
      <c r="E210" s="354"/>
      <c r="F210" s="242"/>
      <c r="G210" s="358"/>
      <c r="H210" s="217"/>
      <c r="I210" s="54"/>
      <c r="J210" s="218"/>
      <c r="K210" s="218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</row>
    <row r="211" ht="12.75" customHeight="1">
      <c r="A211" s="353"/>
      <c r="B211" s="54"/>
      <c r="E211" s="354"/>
      <c r="F211" s="242"/>
      <c r="G211" s="358"/>
      <c r="H211" s="217"/>
      <c r="I211" s="54"/>
      <c r="J211" s="218"/>
      <c r="K211" s="218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</row>
    <row r="212" ht="12.75" customHeight="1">
      <c r="A212" s="353"/>
      <c r="B212" s="54"/>
      <c r="E212" s="354"/>
      <c r="F212" s="242"/>
      <c r="G212" s="358"/>
      <c r="H212" s="217"/>
      <c r="I212" s="54"/>
      <c r="J212" s="218"/>
      <c r="K212" s="218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</row>
    <row r="213" ht="12.75" customHeight="1">
      <c r="A213" s="353"/>
      <c r="B213" s="54"/>
      <c r="E213" s="354"/>
      <c r="F213" s="242"/>
      <c r="G213" s="358"/>
      <c r="H213" s="217"/>
      <c r="I213" s="54"/>
      <c r="J213" s="218"/>
      <c r="K213" s="218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</row>
    <row r="214" ht="12.75" customHeight="1">
      <c r="A214" s="353"/>
      <c r="B214" s="54"/>
      <c r="E214" s="354"/>
      <c r="F214" s="242"/>
      <c r="G214" s="358"/>
      <c r="H214" s="217"/>
      <c r="I214" s="54"/>
      <c r="J214" s="218"/>
      <c r="K214" s="218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</row>
    <row r="215" ht="12.75" customHeight="1">
      <c r="A215" s="353"/>
      <c r="B215" s="54"/>
      <c r="E215" s="354"/>
      <c r="F215" s="242"/>
      <c r="G215" s="358"/>
      <c r="H215" s="217"/>
      <c r="I215" s="54"/>
      <c r="J215" s="218"/>
      <c r="K215" s="218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</row>
    <row r="216" ht="12.75" customHeight="1">
      <c r="A216" s="353"/>
      <c r="B216" s="54"/>
      <c r="E216" s="354"/>
      <c r="F216" s="242"/>
      <c r="G216" s="358"/>
      <c r="H216" s="217"/>
      <c r="I216" s="54"/>
      <c r="J216" s="218"/>
      <c r="K216" s="218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</row>
    <row r="217" ht="12.75" customHeight="1">
      <c r="A217" s="353"/>
      <c r="B217" s="54"/>
      <c r="E217" s="354"/>
      <c r="F217" s="242"/>
      <c r="G217" s="358"/>
      <c r="H217" s="217"/>
      <c r="I217" s="54"/>
      <c r="J217" s="218"/>
      <c r="K217" s="218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</row>
    <row r="218" ht="12.75" customHeight="1">
      <c r="A218" s="353"/>
      <c r="B218" s="54"/>
      <c r="E218" s="354"/>
      <c r="F218" s="242"/>
      <c r="G218" s="358"/>
      <c r="H218" s="217"/>
      <c r="I218" s="54"/>
      <c r="J218" s="218"/>
      <c r="K218" s="218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</row>
    <row r="219" ht="12.75" customHeight="1">
      <c r="A219" s="353"/>
      <c r="B219" s="54"/>
      <c r="E219" s="354"/>
      <c r="F219" s="242"/>
      <c r="G219" s="358"/>
      <c r="H219" s="217"/>
      <c r="I219" s="54"/>
      <c r="J219" s="218"/>
      <c r="K219" s="218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</row>
    <row r="220" ht="12.75" customHeight="1">
      <c r="A220" s="353"/>
      <c r="B220" s="54"/>
      <c r="E220" s="354"/>
      <c r="F220" s="242"/>
      <c r="G220" s="358"/>
      <c r="H220" s="217"/>
      <c r="I220" s="54"/>
      <c r="J220" s="218"/>
      <c r="K220" s="218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</row>
    <row r="221" ht="12.75" customHeight="1">
      <c r="A221" s="353"/>
      <c r="B221" s="54"/>
      <c r="E221" s="354"/>
      <c r="F221" s="242"/>
      <c r="G221" s="358"/>
      <c r="H221" s="217"/>
      <c r="I221" s="54"/>
      <c r="J221" s="218"/>
      <c r="K221" s="218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</row>
    <row r="222" ht="12.75" customHeight="1">
      <c r="A222" s="353"/>
      <c r="B222" s="54"/>
      <c r="E222" s="354"/>
      <c r="F222" s="242"/>
      <c r="G222" s="358"/>
      <c r="H222" s="217"/>
      <c r="I222" s="54"/>
      <c r="J222" s="218"/>
      <c r="K222" s="218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</row>
    <row r="223" ht="12.75" customHeight="1">
      <c r="A223" s="353"/>
      <c r="B223" s="54"/>
      <c r="E223" s="354"/>
      <c r="F223" s="242"/>
      <c r="G223" s="358"/>
      <c r="H223" s="217"/>
      <c r="I223" s="54"/>
      <c r="J223" s="218"/>
      <c r="K223" s="218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</row>
    <row r="224" ht="12.75" customHeight="1">
      <c r="A224" s="353"/>
      <c r="B224" s="54"/>
      <c r="E224" s="354"/>
      <c r="F224" s="242"/>
      <c r="G224" s="358"/>
      <c r="H224" s="217"/>
      <c r="I224" s="54"/>
      <c r="J224" s="218"/>
      <c r="K224" s="218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</row>
    <row r="225" ht="12.75" customHeight="1">
      <c r="A225" s="353"/>
      <c r="B225" s="54"/>
      <c r="E225" s="354"/>
      <c r="F225" s="242"/>
      <c r="G225" s="358"/>
      <c r="H225" s="217"/>
      <c r="I225" s="54"/>
      <c r="J225" s="218"/>
      <c r="K225" s="218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</row>
    <row r="226" ht="12.75" customHeight="1">
      <c r="A226" s="353"/>
      <c r="B226" s="54"/>
      <c r="E226" s="354"/>
      <c r="F226" s="242"/>
      <c r="G226" s="358"/>
      <c r="H226" s="217"/>
      <c r="I226" s="54"/>
      <c r="J226" s="218"/>
      <c r="K226" s="218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</row>
    <row r="227" ht="12.75" customHeight="1">
      <c r="A227" s="353"/>
      <c r="B227" s="54"/>
      <c r="E227" s="354"/>
      <c r="F227" s="242"/>
      <c r="G227" s="358"/>
      <c r="H227" s="217"/>
      <c r="I227" s="54"/>
      <c r="J227" s="218"/>
      <c r="K227" s="218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</row>
    <row r="228" ht="12.75" customHeight="1">
      <c r="A228" s="353"/>
      <c r="B228" s="54"/>
      <c r="E228" s="354"/>
      <c r="F228" s="242"/>
      <c r="G228" s="358"/>
      <c r="H228" s="217"/>
      <c r="I228" s="54"/>
      <c r="J228" s="218"/>
      <c r="K228" s="218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</row>
    <row r="229" ht="12.75" customHeight="1">
      <c r="A229" s="353"/>
      <c r="B229" s="54"/>
      <c r="E229" s="354"/>
      <c r="F229" s="242"/>
      <c r="G229" s="358"/>
      <c r="H229" s="217"/>
      <c r="I229" s="54"/>
      <c r="J229" s="218"/>
      <c r="K229" s="218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</row>
    <row r="230" ht="12.75" customHeight="1">
      <c r="A230" s="353"/>
      <c r="B230" s="54"/>
      <c r="E230" s="354"/>
      <c r="F230" s="242"/>
      <c r="G230" s="358"/>
      <c r="H230" s="217"/>
      <c r="I230" s="54"/>
      <c r="J230" s="218"/>
      <c r="K230" s="218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</row>
    <row r="231" ht="12.75" customHeight="1">
      <c r="A231" s="353"/>
      <c r="B231" s="54"/>
      <c r="E231" s="354"/>
      <c r="F231" s="242"/>
      <c r="G231" s="358"/>
      <c r="H231" s="217"/>
      <c r="I231" s="54"/>
      <c r="J231" s="218"/>
      <c r="K231" s="218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</row>
    <row r="232" ht="12.75" customHeight="1">
      <c r="A232" s="353"/>
      <c r="B232" s="54"/>
      <c r="E232" s="354"/>
      <c r="F232" s="242"/>
      <c r="G232" s="358"/>
      <c r="H232" s="217"/>
      <c r="I232" s="54"/>
      <c r="J232" s="218"/>
      <c r="K232" s="218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</row>
    <row r="233" ht="12.75" customHeight="1">
      <c r="A233" s="353"/>
      <c r="B233" s="54"/>
      <c r="E233" s="354"/>
      <c r="F233" s="242"/>
      <c r="G233" s="358"/>
      <c r="H233" s="217"/>
      <c r="I233" s="54"/>
      <c r="J233" s="218"/>
      <c r="K233" s="218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</row>
    <row r="234" ht="12.75" customHeight="1">
      <c r="A234" s="353"/>
      <c r="B234" s="54"/>
      <c r="E234" s="354"/>
      <c r="F234" s="242"/>
      <c r="G234" s="358"/>
      <c r="H234" s="217"/>
      <c r="I234" s="54"/>
      <c r="J234" s="218"/>
      <c r="K234" s="218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</row>
    <row r="235" ht="12.75" customHeight="1">
      <c r="A235" s="353"/>
      <c r="B235" s="54"/>
      <c r="E235" s="354"/>
      <c r="F235" s="242"/>
      <c r="G235" s="358"/>
      <c r="H235" s="217"/>
      <c r="I235" s="54"/>
      <c r="J235" s="218"/>
      <c r="K235" s="218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</row>
    <row r="236" ht="12.75" customHeight="1">
      <c r="A236" s="353"/>
      <c r="B236" s="54"/>
      <c r="E236" s="354"/>
      <c r="F236" s="242"/>
      <c r="G236" s="358"/>
      <c r="H236" s="217"/>
      <c r="I236" s="54"/>
      <c r="J236" s="218"/>
      <c r="K236" s="218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</row>
    <row r="237" ht="12.75" customHeight="1">
      <c r="A237" s="353"/>
      <c r="B237" s="54"/>
      <c r="E237" s="354"/>
      <c r="F237" s="242"/>
      <c r="G237" s="358"/>
      <c r="H237" s="217"/>
      <c r="I237" s="54"/>
      <c r="J237" s="218"/>
      <c r="K237" s="218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</row>
    <row r="238" ht="12.75" customHeight="1">
      <c r="A238" s="353"/>
      <c r="B238" s="54"/>
      <c r="E238" s="354"/>
      <c r="F238" s="242"/>
      <c r="G238" s="358"/>
      <c r="H238" s="217"/>
      <c r="I238" s="54"/>
      <c r="J238" s="218"/>
      <c r="K238" s="218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</row>
    <row r="239" ht="12.75" customHeight="1">
      <c r="A239" s="353"/>
      <c r="B239" s="54"/>
      <c r="E239" s="354"/>
      <c r="F239" s="242"/>
      <c r="G239" s="358"/>
      <c r="H239" s="217"/>
      <c r="I239" s="54"/>
      <c r="J239" s="218"/>
      <c r="K239" s="218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</row>
    <row r="240" ht="12.75" customHeight="1">
      <c r="A240" s="353"/>
      <c r="B240" s="54"/>
      <c r="E240" s="354"/>
      <c r="F240" s="242"/>
      <c r="G240" s="358"/>
      <c r="H240" s="217"/>
      <c r="I240" s="54"/>
      <c r="J240" s="218"/>
      <c r="K240" s="218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</row>
    <row r="241" ht="12.75" customHeight="1">
      <c r="A241" s="353"/>
      <c r="B241" s="54"/>
      <c r="E241" s="354"/>
      <c r="F241" s="242"/>
      <c r="G241" s="358"/>
      <c r="H241" s="217"/>
      <c r="I241" s="54"/>
      <c r="J241" s="218"/>
      <c r="K241" s="218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</row>
    <row r="242" ht="12.75" customHeight="1">
      <c r="A242" s="353"/>
      <c r="B242" s="54"/>
      <c r="E242" s="354"/>
      <c r="F242" s="242"/>
      <c r="G242" s="358"/>
      <c r="H242" s="217"/>
      <c r="I242" s="54"/>
      <c r="J242" s="218"/>
      <c r="K242" s="218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</row>
    <row r="243" ht="12.75" customHeight="1">
      <c r="A243" s="353"/>
      <c r="B243" s="54"/>
      <c r="E243" s="354"/>
      <c r="F243" s="242"/>
      <c r="G243" s="358"/>
      <c r="H243" s="217"/>
      <c r="I243" s="54"/>
      <c r="J243" s="218"/>
      <c r="K243" s="218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</row>
    <row r="244" ht="12.75" customHeight="1">
      <c r="A244" s="353"/>
      <c r="B244" s="54"/>
      <c r="E244" s="354"/>
      <c r="F244" s="242"/>
      <c r="G244" s="358"/>
      <c r="H244" s="217"/>
      <c r="I244" s="54"/>
      <c r="J244" s="218"/>
      <c r="K244" s="218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</row>
    <row r="245" ht="12.75" customHeight="1">
      <c r="A245" s="353"/>
      <c r="B245" s="54"/>
      <c r="E245" s="354"/>
      <c r="F245" s="242"/>
      <c r="G245" s="358"/>
      <c r="H245" s="217"/>
      <c r="I245" s="54"/>
      <c r="J245" s="218"/>
      <c r="K245" s="218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</row>
    <row r="246" ht="12.75" customHeight="1">
      <c r="A246" s="353"/>
      <c r="B246" s="54"/>
      <c r="E246" s="354"/>
      <c r="F246" s="242"/>
      <c r="G246" s="358"/>
      <c r="H246" s="217"/>
      <c r="I246" s="54"/>
      <c r="J246" s="218"/>
      <c r="K246" s="218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</row>
    <row r="247" ht="12.75" customHeight="1">
      <c r="A247" s="353"/>
      <c r="B247" s="54"/>
      <c r="E247" s="354"/>
      <c r="F247" s="242"/>
      <c r="G247" s="358"/>
      <c r="H247" s="217"/>
      <c r="I247" s="54"/>
      <c r="J247" s="218"/>
      <c r="K247" s="218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</row>
    <row r="248" ht="12.75" customHeight="1">
      <c r="A248" s="353"/>
      <c r="B248" s="54"/>
      <c r="E248" s="354"/>
      <c r="F248" s="242"/>
      <c r="G248" s="358"/>
      <c r="H248" s="217"/>
      <c r="I248" s="54"/>
      <c r="J248" s="218"/>
      <c r="K248" s="218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</row>
    <row r="249" ht="12.75" customHeight="1">
      <c r="A249" s="353"/>
      <c r="B249" s="54"/>
      <c r="E249" s="354"/>
      <c r="F249" s="242"/>
      <c r="G249" s="358"/>
      <c r="H249" s="217"/>
      <c r="I249" s="54"/>
      <c r="J249" s="218"/>
      <c r="K249" s="218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</row>
    <row r="250" ht="12.75" customHeight="1">
      <c r="A250" s="353"/>
      <c r="B250" s="54"/>
      <c r="E250" s="354"/>
      <c r="F250" s="242"/>
      <c r="G250" s="358"/>
      <c r="H250" s="217"/>
      <c r="I250" s="54"/>
      <c r="J250" s="218"/>
      <c r="K250" s="218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</row>
    <row r="251" ht="12.75" customHeight="1">
      <c r="A251" s="353"/>
      <c r="B251" s="54"/>
      <c r="E251" s="354"/>
      <c r="F251" s="242"/>
      <c r="G251" s="358"/>
      <c r="H251" s="217"/>
      <c r="I251" s="54"/>
      <c r="J251" s="218"/>
      <c r="K251" s="218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</row>
    <row r="252" ht="12.75" customHeight="1">
      <c r="A252" s="353"/>
      <c r="B252" s="54"/>
      <c r="E252" s="354"/>
      <c r="F252" s="242"/>
      <c r="G252" s="358"/>
      <c r="H252" s="217"/>
      <c r="I252" s="54"/>
      <c r="J252" s="218"/>
      <c r="K252" s="218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</row>
    <row r="253" ht="12.75" customHeight="1">
      <c r="A253" s="353"/>
      <c r="B253" s="54"/>
      <c r="E253" s="354"/>
      <c r="F253" s="242"/>
      <c r="G253" s="358"/>
      <c r="H253" s="217"/>
      <c r="I253" s="54"/>
      <c r="J253" s="218"/>
      <c r="K253" s="218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</row>
    <row r="254" ht="12.75" customHeight="1">
      <c r="A254" s="353"/>
      <c r="B254" s="54"/>
      <c r="E254" s="354"/>
      <c r="F254" s="242"/>
      <c r="G254" s="358"/>
      <c r="H254" s="217"/>
      <c r="I254" s="54"/>
      <c r="J254" s="218"/>
      <c r="K254" s="218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</row>
    <row r="255" ht="12.75" customHeight="1">
      <c r="A255" s="353"/>
      <c r="B255" s="54"/>
      <c r="E255" s="354"/>
      <c r="F255" s="242"/>
      <c r="G255" s="358"/>
      <c r="H255" s="217"/>
      <c r="I255" s="54"/>
      <c r="J255" s="218"/>
      <c r="K255" s="218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</row>
    <row r="256" ht="12.75" customHeight="1">
      <c r="A256" s="353"/>
      <c r="B256" s="54"/>
      <c r="E256" s="354"/>
      <c r="F256" s="242"/>
      <c r="G256" s="358"/>
      <c r="H256" s="217"/>
      <c r="I256" s="54"/>
      <c r="J256" s="218"/>
      <c r="K256" s="218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</row>
    <row r="257" ht="12.75" customHeight="1">
      <c r="A257" s="353"/>
      <c r="B257" s="54"/>
      <c r="E257" s="354"/>
      <c r="F257" s="242"/>
      <c r="G257" s="358"/>
      <c r="H257" s="217"/>
      <c r="I257" s="54"/>
      <c r="J257" s="218"/>
      <c r="K257" s="218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</row>
    <row r="258" ht="12.75" customHeight="1">
      <c r="A258" s="353"/>
      <c r="B258" s="54"/>
      <c r="E258" s="354"/>
      <c r="F258" s="242"/>
      <c r="G258" s="358"/>
      <c r="H258" s="217"/>
      <c r="I258" s="54"/>
      <c r="J258" s="218"/>
      <c r="K258" s="218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</row>
    <row r="259" ht="12.75" customHeight="1">
      <c r="A259" s="353"/>
      <c r="B259" s="54"/>
      <c r="E259" s="354"/>
      <c r="F259" s="242"/>
      <c r="G259" s="358"/>
      <c r="H259" s="217"/>
      <c r="I259" s="54"/>
      <c r="J259" s="218"/>
      <c r="K259" s="218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</row>
    <row r="260" ht="12.75" customHeight="1">
      <c r="A260" s="353"/>
      <c r="B260" s="54"/>
      <c r="E260" s="354"/>
      <c r="F260" s="242"/>
      <c r="G260" s="358"/>
      <c r="H260" s="217"/>
      <c r="I260" s="54"/>
      <c r="J260" s="218"/>
      <c r="K260" s="218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</row>
    <row r="261" ht="12.75" customHeight="1">
      <c r="A261" s="353"/>
      <c r="B261" s="54"/>
      <c r="E261" s="354"/>
      <c r="F261" s="242"/>
      <c r="G261" s="358"/>
      <c r="H261" s="217"/>
      <c r="I261" s="54"/>
      <c r="J261" s="218"/>
      <c r="K261" s="218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</row>
    <row r="262" ht="12.75" customHeight="1">
      <c r="A262" s="353"/>
      <c r="B262" s="54"/>
      <c r="E262" s="354"/>
      <c r="F262" s="242"/>
      <c r="G262" s="358"/>
      <c r="H262" s="217"/>
      <c r="I262" s="54"/>
      <c r="J262" s="218"/>
      <c r="K262" s="218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</row>
    <row r="263" ht="12.75" customHeight="1">
      <c r="A263" s="353"/>
      <c r="B263" s="54"/>
      <c r="E263" s="354"/>
      <c r="F263" s="242"/>
      <c r="G263" s="358"/>
      <c r="H263" s="217"/>
      <c r="I263" s="54"/>
      <c r="J263" s="218"/>
      <c r="K263" s="218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</row>
    <row r="264" ht="12.75" customHeight="1">
      <c r="A264" s="353"/>
      <c r="B264" s="54"/>
      <c r="E264" s="354"/>
      <c r="F264" s="242"/>
      <c r="G264" s="358"/>
      <c r="H264" s="217"/>
      <c r="I264" s="54"/>
      <c r="J264" s="218"/>
      <c r="K264" s="218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</row>
    <row r="265" ht="12.75" customHeight="1">
      <c r="A265" s="353"/>
      <c r="B265" s="54"/>
      <c r="E265" s="354"/>
      <c r="F265" s="242"/>
      <c r="G265" s="358"/>
      <c r="H265" s="217"/>
      <c r="I265" s="54"/>
      <c r="J265" s="218"/>
      <c r="K265" s="218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</row>
    <row r="266" ht="12.75" customHeight="1">
      <c r="A266" s="353"/>
      <c r="B266" s="54"/>
      <c r="E266" s="354"/>
      <c r="F266" s="242"/>
      <c r="G266" s="358"/>
      <c r="H266" s="217"/>
      <c r="I266" s="54"/>
      <c r="J266" s="218"/>
      <c r="K266" s="218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</row>
    <row r="267" ht="12.75" customHeight="1">
      <c r="A267" s="353"/>
      <c r="B267" s="54"/>
      <c r="E267" s="354"/>
      <c r="F267" s="242"/>
      <c r="G267" s="358"/>
      <c r="H267" s="217"/>
      <c r="I267" s="54"/>
      <c r="J267" s="218"/>
      <c r="K267" s="218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</row>
    <row r="268" ht="12.75" customHeight="1">
      <c r="A268" s="353"/>
      <c r="B268" s="54"/>
      <c r="E268" s="354"/>
      <c r="F268" s="242"/>
      <c r="G268" s="358"/>
      <c r="H268" s="217"/>
      <c r="I268" s="54"/>
      <c r="J268" s="218"/>
      <c r="K268" s="218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</row>
    <row r="269" ht="12.75" customHeight="1">
      <c r="A269" s="353"/>
      <c r="B269" s="54"/>
      <c r="E269" s="354"/>
      <c r="F269" s="242"/>
      <c r="G269" s="358"/>
      <c r="H269" s="217"/>
      <c r="I269" s="54"/>
      <c r="J269" s="218"/>
      <c r="K269" s="218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</row>
    <row r="270" ht="12.75" customHeight="1">
      <c r="A270" s="353"/>
      <c r="B270" s="54"/>
      <c r="E270" s="354"/>
      <c r="F270" s="242"/>
      <c r="G270" s="358"/>
      <c r="H270" s="217"/>
      <c r="I270" s="54"/>
      <c r="J270" s="218"/>
      <c r="K270" s="218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</row>
    <row r="271" ht="12.75" customHeight="1">
      <c r="A271" s="353"/>
      <c r="B271" s="54"/>
      <c r="E271" s="354"/>
      <c r="F271" s="242"/>
      <c r="G271" s="358"/>
      <c r="H271" s="217"/>
      <c r="I271" s="54"/>
      <c r="J271" s="218"/>
      <c r="K271" s="218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</row>
    <row r="272" ht="12.75" customHeight="1">
      <c r="A272" s="353"/>
      <c r="B272" s="54"/>
      <c r="E272" s="354"/>
      <c r="F272" s="242"/>
      <c r="G272" s="358"/>
      <c r="H272" s="217"/>
      <c r="I272" s="54"/>
      <c r="J272" s="218"/>
      <c r="K272" s="218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</row>
    <row r="273" ht="12.75" customHeight="1">
      <c r="A273" s="353"/>
      <c r="B273" s="54"/>
      <c r="E273" s="354"/>
      <c r="F273" s="242"/>
      <c r="G273" s="358"/>
      <c r="H273" s="217"/>
      <c r="I273" s="54"/>
      <c r="J273" s="218"/>
      <c r="K273" s="218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</row>
    <row r="274" ht="12.75" customHeight="1">
      <c r="A274" s="353"/>
      <c r="B274" s="54"/>
      <c r="E274" s="354"/>
      <c r="F274" s="242"/>
      <c r="G274" s="358"/>
      <c r="H274" s="217"/>
      <c r="I274" s="54"/>
      <c r="J274" s="218"/>
      <c r="K274" s="218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</row>
    <row r="275" ht="12.75" customHeight="1">
      <c r="A275" s="353"/>
      <c r="B275" s="54"/>
      <c r="E275" s="354"/>
      <c r="F275" s="242"/>
      <c r="G275" s="358"/>
      <c r="H275" s="217"/>
      <c r="I275" s="54"/>
      <c r="J275" s="218"/>
      <c r="K275" s="218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</row>
    <row r="276" ht="12.75" customHeight="1">
      <c r="A276" s="353"/>
      <c r="B276" s="54"/>
      <c r="E276" s="354"/>
      <c r="F276" s="242"/>
      <c r="G276" s="358"/>
      <c r="H276" s="217"/>
      <c r="I276" s="54"/>
      <c r="J276" s="218"/>
      <c r="K276" s="218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</row>
    <row r="277" ht="12.75" customHeight="1">
      <c r="A277" s="353"/>
      <c r="B277" s="54"/>
      <c r="E277" s="354"/>
      <c r="F277" s="242"/>
      <c r="G277" s="358"/>
      <c r="H277" s="217"/>
      <c r="I277" s="54"/>
      <c r="J277" s="218"/>
      <c r="K277" s="218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</row>
    <row r="278" ht="12.75" customHeight="1">
      <c r="A278" s="353"/>
      <c r="B278" s="54"/>
      <c r="E278" s="354"/>
      <c r="F278" s="242"/>
      <c r="G278" s="358"/>
      <c r="H278" s="217"/>
      <c r="I278" s="54"/>
      <c r="J278" s="218"/>
      <c r="K278" s="218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</row>
    <row r="279" ht="12.75" customHeight="1">
      <c r="A279" s="353"/>
      <c r="B279" s="54"/>
      <c r="E279" s="354"/>
      <c r="F279" s="242"/>
      <c r="G279" s="358"/>
      <c r="H279" s="217"/>
      <c r="I279" s="54"/>
      <c r="J279" s="218"/>
      <c r="K279" s="218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</row>
    <row r="280" ht="12.75" customHeight="1">
      <c r="A280" s="353"/>
      <c r="B280" s="54"/>
      <c r="E280" s="354"/>
      <c r="F280" s="242"/>
      <c r="G280" s="358"/>
      <c r="H280" s="217"/>
      <c r="I280" s="54"/>
      <c r="J280" s="218"/>
      <c r="K280" s="218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</row>
    <row r="281" ht="12.75" customHeight="1">
      <c r="A281" s="353"/>
      <c r="B281" s="54"/>
      <c r="E281" s="354"/>
      <c r="F281" s="242"/>
      <c r="G281" s="358"/>
      <c r="H281" s="217"/>
      <c r="I281" s="54"/>
      <c r="J281" s="218"/>
      <c r="K281" s="218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</row>
    <row r="282" ht="12.75" customHeight="1">
      <c r="A282" s="353"/>
      <c r="B282" s="54"/>
      <c r="E282" s="354"/>
      <c r="F282" s="242"/>
      <c r="G282" s="358"/>
      <c r="H282" s="217"/>
      <c r="I282" s="54"/>
      <c r="J282" s="218"/>
      <c r="K282" s="218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</row>
    <row r="283" ht="12.75" customHeight="1">
      <c r="A283" s="353"/>
      <c r="B283" s="54"/>
      <c r="E283" s="354"/>
      <c r="F283" s="242"/>
      <c r="G283" s="358"/>
      <c r="H283" s="217"/>
      <c r="I283" s="54"/>
      <c r="J283" s="218"/>
      <c r="K283" s="218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</row>
    <row r="284" ht="12.75" customHeight="1">
      <c r="A284" s="353"/>
      <c r="B284" s="54"/>
      <c r="E284" s="354"/>
      <c r="F284" s="242"/>
      <c r="G284" s="358"/>
      <c r="H284" s="217"/>
      <c r="I284" s="54"/>
      <c r="J284" s="218"/>
      <c r="K284" s="218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</row>
    <row r="285" ht="12.75" customHeight="1">
      <c r="A285" s="353"/>
      <c r="B285" s="54"/>
      <c r="E285" s="354"/>
      <c r="F285" s="242"/>
      <c r="G285" s="358"/>
      <c r="H285" s="217"/>
      <c r="I285" s="54"/>
      <c r="J285" s="218"/>
      <c r="K285" s="218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</row>
    <row r="286" ht="12.75" customHeight="1">
      <c r="A286" s="353"/>
      <c r="B286" s="54"/>
      <c r="E286" s="354"/>
      <c r="F286" s="242"/>
      <c r="G286" s="358"/>
      <c r="H286" s="217"/>
      <c r="I286" s="54"/>
      <c r="J286" s="218"/>
      <c r="K286" s="218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</row>
    <row r="287" ht="12.75" customHeight="1">
      <c r="A287" s="353"/>
      <c r="B287" s="54"/>
      <c r="E287" s="354"/>
      <c r="F287" s="242"/>
      <c r="G287" s="358"/>
      <c r="H287" s="217"/>
      <c r="I287" s="54"/>
      <c r="J287" s="218"/>
      <c r="K287" s="218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</row>
    <row r="288" ht="12.75" customHeight="1">
      <c r="A288" s="353"/>
      <c r="B288" s="54"/>
      <c r="E288" s="354"/>
      <c r="F288" s="242"/>
      <c r="G288" s="358"/>
      <c r="H288" s="217"/>
      <c r="I288" s="54"/>
      <c r="J288" s="218"/>
      <c r="K288" s="218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</row>
    <row r="289" ht="12.75" customHeight="1">
      <c r="A289" s="353"/>
      <c r="B289" s="54"/>
      <c r="E289" s="354"/>
      <c r="F289" s="242"/>
      <c r="G289" s="358"/>
      <c r="H289" s="217"/>
      <c r="I289" s="54"/>
      <c r="J289" s="218"/>
      <c r="K289" s="218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</row>
    <row r="290" ht="12.75" customHeight="1">
      <c r="A290" s="353"/>
      <c r="B290" s="54"/>
      <c r="E290" s="354"/>
      <c r="F290" s="242"/>
      <c r="G290" s="358"/>
      <c r="H290" s="217"/>
      <c r="I290" s="54"/>
      <c r="J290" s="218"/>
      <c r="K290" s="218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</row>
    <row r="291" ht="12.75" customHeight="1">
      <c r="A291" s="353"/>
      <c r="B291" s="54"/>
      <c r="E291" s="354"/>
      <c r="F291" s="242"/>
      <c r="G291" s="358"/>
      <c r="H291" s="217"/>
      <c r="I291" s="54"/>
      <c r="J291" s="218"/>
      <c r="K291" s="218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</row>
    <row r="292" ht="12.75" customHeight="1">
      <c r="A292" s="353"/>
      <c r="B292" s="54"/>
      <c r="E292" s="354"/>
      <c r="F292" s="242"/>
      <c r="G292" s="358"/>
      <c r="H292" s="217"/>
      <c r="I292" s="54"/>
      <c r="J292" s="218"/>
      <c r="K292" s="218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</row>
    <row r="293" ht="12.75" customHeight="1">
      <c r="A293" s="353"/>
      <c r="B293" s="54"/>
      <c r="E293" s="354"/>
      <c r="F293" s="242"/>
      <c r="G293" s="358"/>
      <c r="H293" s="217"/>
      <c r="I293" s="54"/>
      <c r="J293" s="218"/>
      <c r="K293" s="218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</row>
    <row r="294" ht="12.75" customHeight="1">
      <c r="A294" s="353"/>
      <c r="B294" s="54"/>
      <c r="E294" s="354"/>
      <c r="F294" s="242"/>
      <c r="G294" s="358"/>
      <c r="H294" s="217"/>
      <c r="I294" s="54"/>
      <c r="J294" s="218"/>
      <c r="K294" s="218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</row>
    <row r="295" ht="12.75" customHeight="1">
      <c r="A295" s="353"/>
      <c r="B295" s="54"/>
      <c r="E295" s="354"/>
      <c r="F295" s="242"/>
      <c r="G295" s="358"/>
      <c r="H295" s="217"/>
      <c r="I295" s="54"/>
      <c r="J295" s="218"/>
      <c r="K295" s="218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</row>
    <row r="296" ht="12.75" customHeight="1">
      <c r="A296" s="353"/>
      <c r="B296" s="54"/>
      <c r="E296" s="354"/>
      <c r="F296" s="242"/>
      <c r="G296" s="358"/>
      <c r="H296" s="217"/>
      <c r="I296" s="54"/>
      <c r="J296" s="218"/>
      <c r="K296" s="218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</row>
    <row r="297" ht="12.75" customHeight="1">
      <c r="A297" s="353"/>
      <c r="B297" s="54"/>
      <c r="E297" s="354"/>
      <c r="F297" s="242"/>
      <c r="G297" s="358"/>
      <c r="H297" s="217"/>
      <c r="I297" s="54"/>
      <c r="J297" s="218"/>
      <c r="K297" s="218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</row>
    <row r="298" ht="12.75" customHeight="1">
      <c r="A298" s="353"/>
      <c r="B298" s="54"/>
      <c r="E298" s="354"/>
      <c r="F298" s="242"/>
      <c r="G298" s="358"/>
      <c r="H298" s="217"/>
      <c r="I298" s="54"/>
      <c r="J298" s="218"/>
      <c r="K298" s="218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</row>
    <row r="299" ht="12.75" customHeight="1">
      <c r="A299" s="353"/>
      <c r="B299" s="54"/>
      <c r="E299" s="354"/>
      <c r="F299" s="242"/>
      <c r="G299" s="358"/>
      <c r="H299" s="217"/>
      <c r="I299" s="54"/>
      <c r="J299" s="218"/>
      <c r="K299" s="218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</row>
    <row r="300" ht="12.75" customHeight="1">
      <c r="A300" s="353"/>
      <c r="B300" s="54"/>
      <c r="E300" s="354"/>
      <c r="F300" s="242"/>
      <c r="G300" s="358"/>
      <c r="H300" s="217"/>
      <c r="I300" s="54"/>
      <c r="J300" s="218"/>
      <c r="K300" s="218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</row>
    <row r="301" ht="12.75" customHeight="1">
      <c r="A301" s="353"/>
      <c r="B301" s="54"/>
      <c r="E301" s="354"/>
      <c r="F301" s="242"/>
      <c r="G301" s="358"/>
      <c r="H301" s="217"/>
      <c r="I301" s="54"/>
      <c r="J301" s="218"/>
      <c r="K301" s="218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</row>
    <row r="302" ht="12.75" customHeight="1">
      <c r="A302" s="353"/>
      <c r="B302" s="54"/>
      <c r="E302" s="354"/>
      <c r="F302" s="242"/>
      <c r="G302" s="358"/>
      <c r="H302" s="217"/>
      <c r="I302" s="54"/>
      <c r="J302" s="218"/>
      <c r="K302" s="218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</row>
    <row r="303" ht="12.75" customHeight="1">
      <c r="A303" s="353"/>
      <c r="B303" s="54"/>
      <c r="E303" s="354"/>
      <c r="F303" s="242"/>
      <c r="G303" s="358"/>
      <c r="H303" s="217"/>
      <c r="I303" s="54"/>
      <c r="J303" s="218"/>
      <c r="K303" s="218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</row>
    <row r="304" ht="12.75" customHeight="1">
      <c r="A304" s="353"/>
      <c r="B304" s="54"/>
      <c r="E304" s="354"/>
      <c r="F304" s="242"/>
      <c r="G304" s="358"/>
      <c r="H304" s="217"/>
      <c r="I304" s="54"/>
      <c r="J304" s="218"/>
      <c r="K304" s="218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</row>
    <row r="305" ht="12.75" customHeight="1">
      <c r="A305" s="353"/>
      <c r="B305" s="54"/>
      <c r="E305" s="354"/>
      <c r="F305" s="242"/>
      <c r="G305" s="358"/>
      <c r="H305" s="217"/>
      <c r="I305" s="54"/>
      <c r="J305" s="218"/>
      <c r="K305" s="218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</row>
    <row r="306" ht="12.75" customHeight="1">
      <c r="A306" s="353"/>
      <c r="B306" s="54"/>
      <c r="E306" s="354"/>
      <c r="F306" s="242"/>
      <c r="G306" s="358"/>
      <c r="H306" s="217"/>
      <c r="I306" s="54"/>
      <c r="J306" s="218"/>
      <c r="K306" s="218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</row>
    <row r="307" ht="12.75" customHeight="1">
      <c r="A307" s="353"/>
      <c r="B307" s="54"/>
      <c r="E307" s="354"/>
      <c r="F307" s="242"/>
      <c r="G307" s="358"/>
      <c r="H307" s="217"/>
      <c r="I307" s="54"/>
      <c r="J307" s="218"/>
      <c r="K307" s="218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</row>
    <row r="308" ht="12.75" customHeight="1">
      <c r="A308" s="353"/>
      <c r="B308" s="54"/>
      <c r="E308" s="354"/>
      <c r="F308" s="242"/>
      <c r="G308" s="358"/>
      <c r="H308" s="217"/>
      <c r="I308" s="54"/>
      <c r="J308" s="218"/>
      <c r="K308" s="218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</row>
    <row r="309" ht="12.75" customHeight="1">
      <c r="A309" s="353"/>
      <c r="B309" s="54"/>
      <c r="E309" s="354"/>
      <c r="F309" s="242"/>
      <c r="G309" s="358"/>
      <c r="H309" s="217"/>
      <c r="I309" s="54"/>
      <c r="J309" s="218"/>
      <c r="K309" s="218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</row>
    <row r="310" ht="12.75" customHeight="1">
      <c r="A310" s="353"/>
      <c r="B310" s="54"/>
      <c r="E310" s="354"/>
      <c r="F310" s="242"/>
      <c r="G310" s="358"/>
      <c r="H310" s="217"/>
      <c r="I310" s="54"/>
      <c r="J310" s="218"/>
      <c r="K310" s="218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</row>
    <row r="311" ht="12.75" customHeight="1">
      <c r="A311" s="353"/>
      <c r="B311" s="54"/>
      <c r="E311" s="354"/>
      <c r="F311" s="242"/>
      <c r="G311" s="358"/>
      <c r="H311" s="217"/>
      <c r="I311" s="54"/>
      <c r="J311" s="218"/>
      <c r="K311" s="218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</row>
    <row r="312" ht="12.75" customHeight="1">
      <c r="A312" s="353"/>
      <c r="B312" s="54"/>
      <c r="E312" s="354"/>
      <c r="F312" s="242"/>
      <c r="G312" s="358"/>
      <c r="H312" s="217"/>
      <c r="I312" s="54"/>
      <c r="J312" s="218"/>
      <c r="K312" s="218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</row>
    <row r="313" ht="12.75" customHeight="1">
      <c r="A313" s="353"/>
      <c r="B313" s="54"/>
      <c r="E313" s="354"/>
      <c r="F313" s="242"/>
      <c r="G313" s="358"/>
      <c r="H313" s="217"/>
      <c r="I313" s="54"/>
      <c r="J313" s="218"/>
      <c r="K313" s="218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</row>
    <row r="314" ht="12.75" customHeight="1">
      <c r="A314" s="353"/>
      <c r="B314" s="54"/>
      <c r="E314" s="354"/>
      <c r="F314" s="242"/>
      <c r="G314" s="358"/>
      <c r="H314" s="217"/>
      <c r="I314" s="54"/>
      <c r="J314" s="218"/>
      <c r="K314" s="218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</row>
    <row r="315" ht="12.75" customHeight="1">
      <c r="A315" s="353"/>
      <c r="B315" s="54"/>
      <c r="E315" s="354"/>
      <c r="F315" s="242"/>
      <c r="G315" s="358"/>
      <c r="H315" s="217"/>
      <c r="I315" s="54"/>
      <c r="J315" s="218"/>
      <c r="K315" s="218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</row>
    <row r="316" ht="12.75" customHeight="1">
      <c r="A316" s="353"/>
      <c r="B316" s="54"/>
      <c r="E316" s="354"/>
      <c r="F316" s="242"/>
      <c r="G316" s="358"/>
      <c r="H316" s="217"/>
      <c r="I316" s="54"/>
      <c r="J316" s="218"/>
      <c r="K316" s="218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</row>
    <row r="317" ht="12.75" customHeight="1">
      <c r="A317" s="353"/>
      <c r="B317" s="54"/>
      <c r="E317" s="354"/>
      <c r="F317" s="242"/>
      <c r="G317" s="358"/>
      <c r="H317" s="217"/>
      <c r="I317" s="54"/>
      <c r="J317" s="218"/>
      <c r="K317" s="218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</row>
    <row r="318" ht="12.75" customHeight="1">
      <c r="A318" s="353"/>
      <c r="B318" s="54"/>
      <c r="E318" s="354"/>
      <c r="F318" s="242"/>
      <c r="G318" s="358"/>
      <c r="H318" s="217"/>
      <c r="I318" s="54"/>
      <c r="J318" s="218"/>
      <c r="K318" s="218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</row>
    <row r="319" ht="12.75" customHeight="1">
      <c r="A319" s="353"/>
      <c r="B319" s="54"/>
      <c r="E319" s="354"/>
      <c r="F319" s="242"/>
      <c r="G319" s="358"/>
      <c r="H319" s="217"/>
      <c r="I319" s="54"/>
      <c r="J319" s="218"/>
      <c r="K319" s="218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</row>
    <row r="320" ht="12.75" customHeight="1">
      <c r="A320" s="353"/>
      <c r="B320" s="54"/>
      <c r="E320" s="354"/>
      <c r="F320" s="242"/>
      <c r="G320" s="358"/>
      <c r="H320" s="217"/>
      <c r="I320" s="54"/>
      <c r="J320" s="218"/>
      <c r="K320" s="218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</row>
    <row r="321" ht="12.75" customHeight="1">
      <c r="A321" s="353"/>
      <c r="B321" s="54"/>
      <c r="E321" s="354"/>
      <c r="F321" s="242"/>
      <c r="G321" s="358"/>
      <c r="H321" s="217"/>
      <c r="I321" s="54"/>
      <c r="J321" s="218"/>
      <c r="K321" s="218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</row>
    <row r="322" ht="12.75" customHeight="1">
      <c r="A322" s="353"/>
      <c r="B322" s="54"/>
      <c r="E322" s="354"/>
      <c r="F322" s="242"/>
      <c r="G322" s="358"/>
      <c r="H322" s="217"/>
      <c r="I322" s="54"/>
      <c r="J322" s="218"/>
      <c r="K322" s="218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</row>
    <row r="323" ht="12.75" customHeight="1">
      <c r="A323" s="353"/>
      <c r="B323" s="54"/>
      <c r="E323" s="354"/>
      <c r="F323" s="242"/>
      <c r="G323" s="358"/>
      <c r="H323" s="217"/>
      <c r="I323" s="54"/>
      <c r="J323" s="218"/>
      <c r="K323" s="218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</row>
    <row r="324" ht="12.75" customHeight="1">
      <c r="A324" s="353"/>
      <c r="B324" s="54"/>
      <c r="E324" s="354"/>
      <c r="F324" s="242"/>
      <c r="G324" s="358"/>
      <c r="H324" s="217"/>
      <c r="I324" s="54"/>
      <c r="J324" s="218"/>
      <c r="K324" s="218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</row>
    <row r="325" ht="12.75" customHeight="1">
      <c r="A325" s="353"/>
      <c r="B325" s="54"/>
      <c r="E325" s="354"/>
      <c r="F325" s="242"/>
      <c r="G325" s="358"/>
      <c r="H325" s="217"/>
      <c r="I325" s="54"/>
      <c r="J325" s="218"/>
      <c r="K325" s="218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</row>
    <row r="326" ht="12.75" customHeight="1">
      <c r="A326" s="353"/>
      <c r="B326" s="54"/>
      <c r="E326" s="354"/>
      <c r="F326" s="242"/>
      <c r="G326" s="358"/>
      <c r="H326" s="217"/>
      <c r="I326" s="54"/>
      <c r="J326" s="218"/>
      <c r="K326" s="218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</row>
    <row r="327" ht="12.75" customHeight="1">
      <c r="A327" s="353"/>
      <c r="B327" s="54"/>
      <c r="E327" s="354"/>
      <c r="F327" s="242"/>
      <c r="G327" s="358"/>
      <c r="H327" s="217"/>
      <c r="I327" s="54"/>
      <c r="J327" s="218"/>
      <c r="K327" s="218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</row>
    <row r="328" ht="12.75" customHeight="1">
      <c r="A328" s="353"/>
      <c r="B328" s="54"/>
      <c r="E328" s="354"/>
      <c r="F328" s="242"/>
      <c r="G328" s="358"/>
      <c r="H328" s="217"/>
      <c r="I328" s="54"/>
      <c r="J328" s="218"/>
      <c r="K328" s="218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</row>
    <row r="329" ht="12.75" customHeight="1">
      <c r="A329" s="353"/>
      <c r="B329" s="54"/>
      <c r="E329" s="354"/>
      <c r="F329" s="242"/>
      <c r="G329" s="358"/>
      <c r="H329" s="217"/>
      <c r="I329" s="54"/>
      <c r="J329" s="218"/>
      <c r="K329" s="218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</row>
    <row r="330" ht="12.75" customHeight="1">
      <c r="A330" s="353"/>
      <c r="B330" s="54"/>
      <c r="E330" s="354"/>
      <c r="F330" s="242"/>
      <c r="G330" s="358"/>
      <c r="H330" s="217"/>
      <c r="I330" s="54"/>
      <c r="J330" s="218"/>
      <c r="K330" s="218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</row>
    <row r="331" ht="12.75" customHeight="1">
      <c r="A331" s="353"/>
      <c r="B331" s="54"/>
      <c r="E331" s="354"/>
      <c r="F331" s="242"/>
      <c r="G331" s="358"/>
      <c r="H331" s="217"/>
      <c r="I331" s="54"/>
      <c r="J331" s="218"/>
      <c r="K331" s="218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</row>
    <row r="332" ht="12.75" customHeight="1">
      <c r="A332" s="353"/>
      <c r="B332" s="54"/>
      <c r="E332" s="354"/>
      <c r="F332" s="242"/>
      <c r="G332" s="358"/>
      <c r="H332" s="217"/>
      <c r="I332" s="54"/>
      <c r="J332" s="218"/>
      <c r="K332" s="218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</row>
    <row r="333" ht="12.75" customHeight="1">
      <c r="A333" s="353"/>
      <c r="B333" s="54"/>
      <c r="E333" s="354"/>
      <c r="F333" s="242"/>
      <c r="G333" s="358"/>
      <c r="H333" s="217"/>
      <c r="I333" s="54"/>
      <c r="J333" s="218"/>
      <c r="K333" s="218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</row>
    <row r="334" ht="12.75" customHeight="1">
      <c r="A334" s="353"/>
      <c r="B334" s="54"/>
      <c r="E334" s="354"/>
      <c r="F334" s="242"/>
      <c r="G334" s="358"/>
      <c r="H334" s="217"/>
      <c r="I334" s="54"/>
      <c r="J334" s="218"/>
      <c r="K334" s="218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</row>
    <row r="335" ht="12.75" customHeight="1">
      <c r="A335" s="353"/>
      <c r="B335" s="54"/>
      <c r="E335" s="354"/>
      <c r="F335" s="242"/>
      <c r="G335" s="358"/>
      <c r="H335" s="217"/>
      <c r="I335" s="54"/>
      <c r="J335" s="218"/>
      <c r="K335" s="218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</row>
    <row r="336" ht="12.75" customHeight="1">
      <c r="A336" s="353"/>
      <c r="B336" s="54"/>
      <c r="E336" s="354"/>
      <c r="F336" s="242"/>
      <c r="G336" s="358"/>
      <c r="H336" s="217"/>
      <c r="I336" s="54"/>
      <c r="J336" s="218"/>
      <c r="K336" s="218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</row>
    <row r="337" ht="12.75" customHeight="1">
      <c r="A337" s="353"/>
      <c r="B337" s="54"/>
      <c r="E337" s="354"/>
      <c r="F337" s="242"/>
      <c r="G337" s="358"/>
      <c r="H337" s="217"/>
      <c r="I337" s="54"/>
      <c r="J337" s="218"/>
      <c r="K337" s="218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</row>
    <row r="338" ht="12.75" customHeight="1">
      <c r="A338" s="353"/>
      <c r="B338" s="54"/>
      <c r="E338" s="354"/>
      <c r="F338" s="242"/>
      <c r="G338" s="358"/>
      <c r="H338" s="217"/>
      <c r="I338" s="54"/>
      <c r="J338" s="218"/>
      <c r="K338" s="218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</row>
    <row r="339" ht="12.75" customHeight="1">
      <c r="A339" s="353"/>
      <c r="B339" s="54"/>
      <c r="E339" s="354"/>
      <c r="F339" s="242"/>
      <c r="G339" s="358"/>
      <c r="H339" s="217"/>
      <c r="I339" s="54"/>
      <c r="J339" s="218"/>
      <c r="K339" s="218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</row>
    <row r="340" ht="12.75" customHeight="1">
      <c r="A340" s="353"/>
      <c r="B340" s="54"/>
      <c r="E340" s="354"/>
      <c r="F340" s="242"/>
      <c r="G340" s="358"/>
      <c r="H340" s="217"/>
      <c r="I340" s="54"/>
      <c r="J340" s="218"/>
      <c r="K340" s="218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</row>
    <row r="341" ht="12.75" customHeight="1">
      <c r="A341" s="353"/>
      <c r="B341" s="54"/>
      <c r="E341" s="354"/>
      <c r="F341" s="242"/>
      <c r="G341" s="358"/>
      <c r="H341" s="217"/>
      <c r="I341" s="54"/>
      <c r="J341" s="218"/>
      <c r="K341" s="218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</row>
    <row r="342" ht="12.75" customHeight="1">
      <c r="A342" s="353"/>
      <c r="B342" s="54"/>
      <c r="E342" s="354"/>
      <c r="F342" s="242"/>
      <c r="G342" s="358"/>
      <c r="H342" s="217"/>
      <c r="I342" s="54"/>
      <c r="J342" s="218"/>
      <c r="K342" s="218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</row>
    <row r="343" ht="12.75" customHeight="1">
      <c r="A343" s="353"/>
      <c r="B343" s="54"/>
      <c r="E343" s="354"/>
      <c r="F343" s="242"/>
      <c r="G343" s="358"/>
      <c r="H343" s="217"/>
      <c r="I343" s="54"/>
      <c r="J343" s="218"/>
      <c r="K343" s="218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</row>
    <row r="344" ht="12.75" customHeight="1">
      <c r="A344" s="353"/>
      <c r="B344" s="54"/>
      <c r="E344" s="354"/>
      <c r="F344" s="242"/>
      <c r="G344" s="358"/>
      <c r="H344" s="217"/>
      <c r="I344" s="54"/>
      <c r="J344" s="218"/>
      <c r="K344" s="218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</row>
    <row r="345" ht="12.75" customHeight="1">
      <c r="A345" s="353"/>
      <c r="B345" s="54"/>
      <c r="E345" s="354"/>
      <c r="F345" s="242"/>
      <c r="G345" s="358"/>
      <c r="H345" s="217"/>
      <c r="I345" s="54"/>
      <c r="J345" s="218"/>
      <c r="K345" s="218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</row>
    <row r="346" ht="12.75" customHeight="1">
      <c r="A346" s="353"/>
      <c r="B346" s="54"/>
      <c r="E346" s="354"/>
      <c r="F346" s="242"/>
      <c r="G346" s="358"/>
      <c r="H346" s="217"/>
      <c r="I346" s="54"/>
      <c r="J346" s="218"/>
      <c r="K346" s="218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</row>
    <row r="347" ht="12.75" customHeight="1">
      <c r="A347" s="353"/>
      <c r="B347" s="54"/>
      <c r="E347" s="354"/>
      <c r="F347" s="242"/>
      <c r="G347" s="358"/>
      <c r="H347" s="217"/>
      <c r="I347" s="54"/>
      <c r="J347" s="218"/>
      <c r="K347" s="218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</row>
    <row r="348" ht="12.75" customHeight="1">
      <c r="A348" s="353"/>
      <c r="B348" s="54"/>
      <c r="E348" s="354"/>
      <c r="F348" s="242"/>
      <c r="G348" s="358"/>
      <c r="H348" s="217"/>
      <c r="I348" s="54"/>
      <c r="J348" s="218"/>
      <c r="K348" s="218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</row>
    <row r="349" ht="12.75" customHeight="1">
      <c r="A349" s="353"/>
      <c r="B349" s="54"/>
      <c r="E349" s="354"/>
      <c r="F349" s="242"/>
      <c r="G349" s="358"/>
      <c r="H349" s="217"/>
      <c r="I349" s="54"/>
      <c r="J349" s="218"/>
      <c r="K349" s="218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</row>
    <row r="350" ht="12.75" customHeight="1">
      <c r="A350" s="353"/>
      <c r="B350" s="54"/>
      <c r="E350" s="354"/>
      <c r="F350" s="242"/>
      <c r="G350" s="358"/>
      <c r="H350" s="217"/>
      <c r="I350" s="54"/>
      <c r="J350" s="218"/>
      <c r="K350" s="218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</row>
    <row r="351" ht="12.75" customHeight="1">
      <c r="A351" s="353"/>
      <c r="B351" s="54"/>
      <c r="E351" s="354"/>
      <c r="F351" s="242"/>
      <c r="G351" s="358"/>
      <c r="H351" s="217"/>
      <c r="I351" s="54"/>
      <c r="J351" s="218"/>
      <c r="K351" s="218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</row>
    <row r="352" ht="12.75" customHeight="1">
      <c r="A352" s="353"/>
      <c r="B352" s="54"/>
      <c r="E352" s="354"/>
      <c r="F352" s="242"/>
      <c r="G352" s="358"/>
      <c r="H352" s="217"/>
      <c r="I352" s="54"/>
      <c r="J352" s="218"/>
      <c r="K352" s="218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</row>
    <row r="353" ht="12.75" customHeight="1">
      <c r="A353" s="353"/>
      <c r="B353" s="54"/>
      <c r="E353" s="354"/>
      <c r="F353" s="242"/>
      <c r="G353" s="358"/>
      <c r="H353" s="217"/>
      <c r="I353" s="54"/>
      <c r="J353" s="218"/>
      <c r="K353" s="218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</row>
    <row r="354" ht="12.75" customHeight="1">
      <c r="A354" s="353"/>
      <c r="B354" s="54"/>
      <c r="E354" s="354"/>
      <c r="F354" s="242"/>
      <c r="G354" s="358"/>
      <c r="H354" s="217"/>
      <c r="I354" s="54"/>
      <c r="J354" s="218"/>
      <c r="K354" s="218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</row>
    <row r="355" ht="12.75" customHeight="1">
      <c r="A355" s="353"/>
      <c r="B355" s="54"/>
      <c r="E355" s="354"/>
      <c r="F355" s="242"/>
      <c r="G355" s="358"/>
      <c r="H355" s="217"/>
      <c r="I355" s="54"/>
      <c r="J355" s="218"/>
      <c r="K355" s="218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</row>
    <row r="356" ht="12.75" customHeight="1">
      <c r="A356" s="353"/>
      <c r="B356" s="54"/>
      <c r="E356" s="354"/>
      <c r="F356" s="242"/>
      <c r="G356" s="358"/>
      <c r="H356" s="217"/>
      <c r="I356" s="54"/>
      <c r="J356" s="218"/>
      <c r="K356" s="218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</row>
    <row r="357" ht="12.75" customHeight="1">
      <c r="A357" s="353"/>
      <c r="B357" s="54"/>
      <c r="E357" s="354"/>
      <c r="F357" s="242"/>
      <c r="G357" s="358"/>
      <c r="H357" s="217"/>
      <c r="I357" s="54"/>
      <c r="J357" s="218"/>
      <c r="K357" s="218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</row>
    <row r="358" ht="12.75" customHeight="1">
      <c r="A358" s="353"/>
      <c r="B358" s="54"/>
      <c r="E358" s="354"/>
      <c r="F358" s="242"/>
      <c r="G358" s="358"/>
      <c r="H358" s="217"/>
      <c r="I358" s="54"/>
      <c r="J358" s="218"/>
      <c r="K358" s="218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</row>
    <row r="359" ht="12.75" customHeight="1">
      <c r="A359" s="353"/>
      <c r="B359" s="54"/>
      <c r="E359" s="354"/>
      <c r="F359" s="242"/>
      <c r="G359" s="358"/>
      <c r="H359" s="217"/>
      <c r="I359" s="54"/>
      <c r="J359" s="218"/>
      <c r="K359" s="218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</row>
    <row r="360" ht="12.75" customHeight="1">
      <c r="A360" s="353"/>
      <c r="B360" s="54"/>
      <c r="E360" s="354"/>
      <c r="F360" s="242"/>
      <c r="G360" s="358"/>
      <c r="H360" s="217"/>
      <c r="I360" s="54"/>
      <c r="J360" s="218"/>
      <c r="K360" s="218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</row>
    <row r="361" ht="12.75" customHeight="1">
      <c r="A361" s="353"/>
      <c r="B361" s="54"/>
      <c r="E361" s="354"/>
      <c r="F361" s="242"/>
      <c r="G361" s="358"/>
      <c r="H361" s="217"/>
      <c r="I361" s="54"/>
      <c r="J361" s="218"/>
      <c r="K361" s="218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</row>
    <row r="362" ht="12.75" customHeight="1">
      <c r="A362" s="353"/>
      <c r="B362" s="54"/>
      <c r="E362" s="354"/>
      <c r="F362" s="242"/>
      <c r="G362" s="358"/>
      <c r="H362" s="217"/>
      <c r="I362" s="54"/>
      <c r="J362" s="218"/>
      <c r="K362" s="218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</row>
    <row r="363" ht="12.75" customHeight="1">
      <c r="A363" s="353"/>
      <c r="B363" s="54"/>
      <c r="E363" s="354"/>
      <c r="F363" s="242"/>
      <c r="G363" s="358"/>
      <c r="H363" s="217"/>
      <c r="I363" s="54"/>
      <c r="J363" s="218"/>
      <c r="K363" s="218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</row>
    <row r="364" ht="12.75" customHeight="1">
      <c r="A364" s="353"/>
      <c r="B364" s="54"/>
      <c r="E364" s="354"/>
      <c r="F364" s="242"/>
      <c r="G364" s="358"/>
      <c r="H364" s="217"/>
      <c r="I364" s="54"/>
      <c r="J364" s="218"/>
      <c r="K364" s="218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</row>
    <row r="365" ht="12.75" customHeight="1">
      <c r="A365" s="353"/>
      <c r="B365" s="54"/>
      <c r="E365" s="354"/>
      <c r="F365" s="242"/>
      <c r="G365" s="358"/>
      <c r="H365" s="217"/>
      <c r="I365" s="54"/>
      <c r="J365" s="218"/>
      <c r="K365" s="218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</row>
    <row r="366" ht="12.75" customHeight="1">
      <c r="A366" s="353"/>
      <c r="B366" s="54"/>
      <c r="E366" s="354"/>
      <c r="F366" s="242"/>
      <c r="G366" s="358"/>
      <c r="H366" s="217"/>
      <c r="I366" s="54"/>
      <c r="J366" s="218"/>
      <c r="K366" s="218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</row>
    <row r="367" ht="12.75" customHeight="1">
      <c r="A367" s="353"/>
      <c r="B367" s="54"/>
      <c r="E367" s="354"/>
      <c r="F367" s="242"/>
      <c r="G367" s="358"/>
      <c r="H367" s="217"/>
      <c r="I367" s="54"/>
      <c r="J367" s="218"/>
      <c r="K367" s="218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</row>
    <row r="368" ht="12.75" customHeight="1">
      <c r="A368" s="353"/>
      <c r="B368" s="54"/>
      <c r="E368" s="354"/>
      <c r="F368" s="242"/>
      <c r="G368" s="358"/>
      <c r="H368" s="217"/>
      <c r="I368" s="54"/>
      <c r="J368" s="218"/>
      <c r="K368" s="218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</row>
    <row r="369" ht="12.75" customHeight="1">
      <c r="A369" s="353"/>
      <c r="B369" s="54"/>
      <c r="E369" s="354"/>
      <c r="F369" s="242"/>
      <c r="G369" s="358"/>
      <c r="H369" s="217"/>
      <c r="I369" s="54"/>
      <c r="J369" s="218"/>
      <c r="K369" s="218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</row>
    <row r="370" ht="12.75" customHeight="1">
      <c r="A370" s="353"/>
      <c r="B370" s="54"/>
      <c r="E370" s="354"/>
      <c r="F370" s="242"/>
      <c r="G370" s="358"/>
      <c r="H370" s="217"/>
      <c r="I370" s="54"/>
      <c r="J370" s="218"/>
      <c r="K370" s="218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</row>
    <row r="371" ht="12.75" customHeight="1">
      <c r="A371" s="353"/>
      <c r="B371" s="54"/>
      <c r="E371" s="354"/>
      <c r="F371" s="242"/>
      <c r="G371" s="358"/>
      <c r="H371" s="217"/>
      <c r="I371" s="54"/>
      <c r="J371" s="218"/>
      <c r="K371" s="218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</row>
    <row r="372" ht="12.75" customHeight="1">
      <c r="A372" s="353"/>
      <c r="B372" s="54"/>
      <c r="E372" s="354"/>
      <c r="F372" s="242"/>
      <c r="G372" s="358"/>
      <c r="H372" s="217"/>
      <c r="I372" s="54"/>
      <c r="J372" s="218"/>
      <c r="K372" s="218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</row>
    <row r="373" ht="12.75" customHeight="1">
      <c r="A373" s="353"/>
      <c r="B373" s="54"/>
      <c r="E373" s="354"/>
      <c r="F373" s="242"/>
      <c r="G373" s="358"/>
      <c r="H373" s="217"/>
      <c r="I373" s="54"/>
      <c r="J373" s="218"/>
      <c r="K373" s="218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</row>
    <row r="374" ht="12.75" customHeight="1">
      <c r="A374" s="353"/>
      <c r="B374" s="54"/>
      <c r="E374" s="354"/>
      <c r="F374" s="242"/>
      <c r="G374" s="358"/>
      <c r="H374" s="217"/>
      <c r="I374" s="54"/>
      <c r="J374" s="218"/>
      <c r="K374" s="218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</row>
    <row r="375" ht="12.75" customHeight="1">
      <c r="A375" s="353"/>
      <c r="B375" s="54"/>
      <c r="E375" s="354"/>
      <c r="F375" s="242"/>
      <c r="G375" s="358"/>
      <c r="H375" s="217"/>
      <c r="I375" s="54"/>
      <c r="J375" s="218"/>
      <c r="K375" s="218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</row>
    <row r="376" ht="12.75" customHeight="1">
      <c r="A376" s="353"/>
      <c r="B376" s="54"/>
      <c r="E376" s="354"/>
      <c r="F376" s="242"/>
      <c r="G376" s="358"/>
      <c r="H376" s="217"/>
      <c r="I376" s="54"/>
      <c r="J376" s="218"/>
      <c r="K376" s="218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</row>
    <row r="377" ht="12.75" customHeight="1">
      <c r="A377" s="353"/>
      <c r="B377" s="54"/>
      <c r="E377" s="354"/>
      <c r="F377" s="242"/>
      <c r="G377" s="358"/>
      <c r="H377" s="217"/>
      <c r="I377" s="54"/>
      <c r="J377" s="218"/>
      <c r="K377" s="218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</row>
    <row r="378" ht="12.75" customHeight="1">
      <c r="A378" s="353"/>
      <c r="B378" s="54"/>
      <c r="E378" s="354"/>
      <c r="F378" s="242"/>
      <c r="G378" s="358"/>
      <c r="H378" s="217"/>
      <c r="I378" s="54"/>
      <c r="J378" s="218"/>
      <c r="K378" s="218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</row>
    <row r="379" ht="12.75" customHeight="1">
      <c r="A379" s="353"/>
      <c r="B379" s="54"/>
      <c r="E379" s="354"/>
      <c r="F379" s="242"/>
      <c r="G379" s="358"/>
      <c r="H379" s="217"/>
      <c r="I379" s="54"/>
      <c r="J379" s="218"/>
      <c r="K379" s="218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</row>
    <row r="380" ht="12.75" customHeight="1">
      <c r="A380" s="353"/>
      <c r="B380" s="54"/>
      <c r="E380" s="354"/>
      <c r="F380" s="242"/>
      <c r="G380" s="358"/>
      <c r="H380" s="217"/>
      <c r="I380" s="54"/>
      <c r="J380" s="218"/>
      <c r="K380" s="218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</row>
    <row r="381" ht="12.75" customHeight="1">
      <c r="A381" s="353"/>
      <c r="B381" s="54"/>
      <c r="E381" s="354"/>
      <c r="F381" s="242"/>
      <c r="G381" s="358"/>
      <c r="H381" s="217"/>
      <c r="I381" s="54"/>
      <c r="J381" s="218"/>
      <c r="K381" s="218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</row>
    <row r="382" ht="12.75" customHeight="1">
      <c r="A382" s="353"/>
      <c r="B382" s="54"/>
      <c r="E382" s="354"/>
      <c r="F382" s="242"/>
      <c r="G382" s="358"/>
      <c r="H382" s="217"/>
      <c r="I382" s="54"/>
      <c r="J382" s="218"/>
      <c r="K382" s="218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</row>
    <row r="383" ht="12.75" customHeight="1">
      <c r="A383" s="353"/>
      <c r="B383" s="54"/>
      <c r="E383" s="354"/>
      <c r="F383" s="242"/>
      <c r="G383" s="358"/>
      <c r="H383" s="217"/>
      <c r="I383" s="54"/>
      <c r="J383" s="218"/>
      <c r="K383" s="218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</row>
    <row r="384" ht="12.75" customHeight="1">
      <c r="A384" s="353"/>
      <c r="B384" s="54"/>
      <c r="E384" s="354"/>
      <c r="F384" s="242"/>
      <c r="G384" s="358"/>
      <c r="H384" s="217"/>
      <c r="I384" s="54"/>
      <c r="J384" s="218"/>
      <c r="K384" s="218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</row>
    <row r="385" ht="12.75" customHeight="1">
      <c r="A385" s="353"/>
      <c r="B385" s="54"/>
      <c r="E385" s="354"/>
      <c r="F385" s="242"/>
      <c r="G385" s="358"/>
      <c r="H385" s="217"/>
      <c r="I385" s="54"/>
      <c r="J385" s="218"/>
      <c r="K385" s="218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</row>
    <row r="386" ht="12.75" customHeight="1">
      <c r="A386" s="353"/>
      <c r="B386" s="54"/>
      <c r="E386" s="354"/>
      <c r="F386" s="242"/>
      <c r="G386" s="358"/>
      <c r="H386" s="217"/>
      <c r="I386" s="54"/>
      <c r="J386" s="218"/>
      <c r="K386" s="218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</row>
    <row r="387" ht="12.75" customHeight="1">
      <c r="A387" s="353"/>
      <c r="B387" s="54"/>
      <c r="E387" s="354"/>
      <c r="F387" s="242"/>
      <c r="G387" s="358"/>
      <c r="H387" s="217"/>
      <c r="I387" s="54"/>
      <c r="J387" s="218"/>
      <c r="K387" s="218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</row>
    <row r="388" ht="12.75" customHeight="1">
      <c r="A388" s="353"/>
      <c r="B388" s="54"/>
      <c r="E388" s="354"/>
      <c r="F388" s="242"/>
      <c r="G388" s="358"/>
      <c r="H388" s="217"/>
      <c r="I388" s="54"/>
      <c r="J388" s="218"/>
      <c r="K388" s="218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</row>
    <row r="389" ht="12.75" customHeight="1">
      <c r="A389" s="353"/>
      <c r="B389" s="54"/>
      <c r="E389" s="354"/>
      <c r="F389" s="242"/>
      <c r="G389" s="358"/>
      <c r="H389" s="217"/>
      <c r="I389" s="54"/>
      <c r="J389" s="218"/>
      <c r="K389" s="218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</row>
    <row r="390" ht="12.75" customHeight="1">
      <c r="A390" s="353"/>
      <c r="B390" s="54"/>
      <c r="E390" s="354"/>
      <c r="F390" s="242"/>
      <c r="G390" s="358"/>
      <c r="H390" s="217"/>
      <c r="I390" s="54"/>
      <c r="J390" s="218"/>
      <c r="K390" s="218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</row>
    <row r="391" ht="12.75" customHeight="1">
      <c r="A391" s="353"/>
      <c r="B391" s="54"/>
      <c r="E391" s="354"/>
      <c r="F391" s="242"/>
      <c r="G391" s="358"/>
      <c r="H391" s="217"/>
      <c r="I391" s="54"/>
      <c r="J391" s="218"/>
      <c r="K391" s="218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</row>
    <row r="392" ht="12.75" customHeight="1">
      <c r="A392" s="353"/>
      <c r="B392" s="54"/>
      <c r="E392" s="354"/>
      <c r="F392" s="242"/>
      <c r="G392" s="358"/>
      <c r="H392" s="217"/>
      <c r="I392" s="54"/>
      <c r="J392" s="218"/>
      <c r="K392" s="218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</row>
    <row r="393" ht="12.75" customHeight="1">
      <c r="A393" s="353"/>
      <c r="B393" s="54"/>
      <c r="E393" s="354"/>
      <c r="F393" s="242"/>
      <c r="G393" s="358"/>
      <c r="H393" s="217"/>
      <c r="I393" s="54"/>
      <c r="J393" s="218"/>
      <c r="K393" s="218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</row>
    <row r="394" ht="12.75" customHeight="1">
      <c r="A394" s="353"/>
      <c r="B394" s="54"/>
      <c r="E394" s="354"/>
      <c r="F394" s="242"/>
      <c r="G394" s="358"/>
      <c r="H394" s="217"/>
      <c r="I394" s="54"/>
      <c r="J394" s="218"/>
      <c r="K394" s="218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</row>
    <row r="395" ht="12.75" customHeight="1">
      <c r="A395" s="353"/>
      <c r="B395" s="54"/>
      <c r="E395" s="354"/>
      <c r="F395" s="242"/>
      <c r="G395" s="358"/>
      <c r="H395" s="217"/>
      <c r="I395" s="54"/>
      <c r="J395" s="218"/>
      <c r="K395" s="218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</row>
    <row r="396" ht="12.75" customHeight="1">
      <c r="A396" s="353"/>
      <c r="B396" s="54"/>
      <c r="E396" s="354"/>
      <c r="F396" s="242"/>
      <c r="G396" s="358"/>
      <c r="H396" s="217"/>
      <c r="I396" s="54"/>
      <c r="J396" s="218"/>
      <c r="K396" s="218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</row>
    <row r="397" ht="12.75" customHeight="1">
      <c r="A397" s="353"/>
      <c r="B397" s="54"/>
      <c r="E397" s="354"/>
      <c r="F397" s="242"/>
      <c r="G397" s="358"/>
      <c r="H397" s="217"/>
      <c r="I397" s="54"/>
      <c r="J397" s="218"/>
      <c r="K397" s="218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</row>
    <row r="398" ht="12.75" customHeight="1">
      <c r="A398" s="353"/>
      <c r="B398" s="54"/>
      <c r="E398" s="354"/>
      <c r="F398" s="242"/>
      <c r="G398" s="358"/>
      <c r="H398" s="217"/>
      <c r="I398" s="54"/>
      <c r="J398" s="218"/>
      <c r="K398" s="218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</row>
    <row r="399" ht="12.75" customHeight="1">
      <c r="A399" s="353"/>
      <c r="B399" s="54"/>
      <c r="E399" s="354"/>
      <c r="F399" s="242"/>
      <c r="G399" s="358"/>
      <c r="H399" s="217"/>
      <c r="I399" s="54"/>
      <c r="J399" s="218"/>
      <c r="K399" s="218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</row>
    <row r="400" ht="12.75" customHeight="1">
      <c r="A400" s="353"/>
      <c r="B400" s="54"/>
      <c r="E400" s="354"/>
      <c r="F400" s="242"/>
      <c r="G400" s="358"/>
      <c r="H400" s="217"/>
      <c r="I400" s="54"/>
      <c r="J400" s="218"/>
      <c r="K400" s="218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</row>
    <row r="401" ht="12.75" customHeight="1">
      <c r="A401" s="353"/>
      <c r="B401" s="54"/>
      <c r="E401" s="354"/>
      <c r="F401" s="242"/>
      <c r="G401" s="358"/>
      <c r="H401" s="217"/>
      <c r="I401" s="54"/>
      <c r="J401" s="218"/>
      <c r="K401" s="218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</row>
    <row r="402" ht="12.75" customHeight="1">
      <c r="A402" s="353"/>
      <c r="B402" s="54"/>
      <c r="E402" s="354"/>
      <c r="F402" s="242"/>
      <c r="G402" s="358"/>
      <c r="H402" s="217"/>
      <c r="I402" s="54"/>
      <c r="J402" s="218"/>
      <c r="K402" s="218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</row>
    <row r="403" ht="12.75" customHeight="1">
      <c r="A403" s="353"/>
      <c r="B403" s="54"/>
      <c r="E403" s="354"/>
      <c r="F403" s="242"/>
      <c r="G403" s="358"/>
      <c r="H403" s="217"/>
      <c r="I403" s="54"/>
      <c r="J403" s="218"/>
      <c r="K403" s="218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</row>
    <row r="404" ht="12.75" customHeight="1">
      <c r="A404" s="353"/>
      <c r="B404" s="54"/>
      <c r="E404" s="354"/>
      <c r="F404" s="242"/>
      <c r="G404" s="358"/>
      <c r="H404" s="217"/>
      <c r="I404" s="54"/>
      <c r="J404" s="218"/>
      <c r="K404" s="218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</row>
    <row r="405" ht="12.75" customHeight="1">
      <c r="A405" s="353"/>
      <c r="B405" s="54"/>
      <c r="E405" s="354"/>
      <c r="F405" s="242"/>
      <c r="G405" s="358"/>
      <c r="H405" s="217"/>
      <c r="I405" s="54"/>
      <c r="J405" s="218"/>
      <c r="K405" s="218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</row>
    <row r="406" ht="12.75" customHeight="1">
      <c r="A406" s="353"/>
      <c r="B406" s="54"/>
      <c r="E406" s="354"/>
      <c r="F406" s="242"/>
      <c r="G406" s="358"/>
      <c r="H406" s="217"/>
      <c r="I406" s="54"/>
      <c r="J406" s="218"/>
      <c r="K406" s="218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</row>
    <row r="407" ht="12.75" customHeight="1">
      <c r="A407" s="353"/>
      <c r="B407" s="54"/>
      <c r="E407" s="354"/>
      <c r="F407" s="242"/>
      <c r="G407" s="358"/>
      <c r="H407" s="217"/>
      <c r="I407" s="54"/>
      <c r="J407" s="218"/>
      <c r="K407" s="218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</row>
    <row r="408" ht="12.75" customHeight="1">
      <c r="A408" s="353"/>
      <c r="B408" s="54"/>
      <c r="E408" s="354"/>
      <c r="F408" s="242"/>
      <c r="G408" s="358"/>
      <c r="H408" s="217"/>
      <c r="I408" s="54"/>
      <c r="J408" s="218"/>
      <c r="K408" s="218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</row>
    <row r="409" ht="12.75" customHeight="1">
      <c r="A409" s="353"/>
      <c r="B409" s="54"/>
      <c r="E409" s="354"/>
      <c r="F409" s="242"/>
      <c r="G409" s="358"/>
      <c r="H409" s="217"/>
      <c r="I409" s="54"/>
      <c r="J409" s="218"/>
      <c r="K409" s="218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</row>
    <row r="410" ht="12.75" customHeight="1">
      <c r="A410" s="353"/>
      <c r="B410" s="54"/>
      <c r="E410" s="354"/>
      <c r="F410" s="242"/>
      <c r="G410" s="358"/>
      <c r="H410" s="217"/>
      <c r="I410" s="54"/>
      <c r="J410" s="218"/>
      <c r="K410" s="218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</row>
    <row r="411" ht="12.75" customHeight="1">
      <c r="A411" s="353"/>
      <c r="B411" s="54"/>
      <c r="E411" s="354"/>
      <c r="F411" s="242"/>
      <c r="G411" s="358"/>
      <c r="H411" s="217"/>
      <c r="I411" s="54"/>
      <c r="J411" s="218"/>
      <c r="K411" s="218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</row>
    <row r="412" ht="12.75" customHeight="1">
      <c r="A412" s="353"/>
      <c r="B412" s="54"/>
      <c r="E412" s="354"/>
      <c r="F412" s="242"/>
      <c r="G412" s="358"/>
      <c r="H412" s="217"/>
      <c r="I412" s="54"/>
      <c r="J412" s="218"/>
      <c r="K412" s="218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</row>
    <row r="413" ht="12.75" customHeight="1">
      <c r="A413" s="353"/>
      <c r="B413" s="54"/>
      <c r="E413" s="354"/>
      <c r="F413" s="242"/>
      <c r="G413" s="358"/>
      <c r="H413" s="217"/>
      <c r="I413" s="54"/>
      <c r="J413" s="218"/>
      <c r="K413" s="218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</row>
    <row r="414" ht="12.75" customHeight="1">
      <c r="A414" s="353"/>
      <c r="B414" s="54"/>
      <c r="E414" s="354"/>
      <c r="F414" s="242"/>
      <c r="G414" s="358"/>
      <c r="H414" s="217"/>
      <c r="I414" s="54"/>
      <c r="J414" s="218"/>
      <c r="K414" s="218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</row>
    <row r="415" ht="12.75" customHeight="1">
      <c r="A415" s="353"/>
      <c r="B415" s="54"/>
      <c r="E415" s="354"/>
      <c r="F415" s="242"/>
      <c r="G415" s="358"/>
      <c r="H415" s="217"/>
      <c r="I415" s="54"/>
      <c r="J415" s="218"/>
      <c r="K415" s="218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</row>
    <row r="416" ht="12.75" customHeight="1">
      <c r="A416" s="353"/>
      <c r="B416" s="54"/>
      <c r="E416" s="354"/>
      <c r="F416" s="242"/>
      <c r="G416" s="358"/>
      <c r="H416" s="217"/>
      <c r="I416" s="54"/>
      <c r="J416" s="218"/>
      <c r="K416" s="218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</row>
    <row r="417" ht="12.75" customHeight="1">
      <c r="A417" s="353"/>
      <c r="B417" s="54"/>
      <c r="E417" s="354"/>
      <c r="F417" s="242"/>
      <c r="G417" s="358"/>
      <c r="H417" s="217"/>
      <c r="I417" s="54"/>
      <c r="J417" s="218"/>
      <c r="K417" s="218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</row>
    <row r="418" ht="12.75" customHeight="1">
      <c r="A418" s="353"/>
      <c r="B418" s="54"/>
      <c r="E418" s="354"/>
      <c r="F418" s="242"/>
      <c r="G418" s="358"/>
      <c r="H418" s="217"/>
      <c r="I418" s="54"/>
      <c r="J418" s="218"/>
      <c r="K418" s="218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</row>
    <row r="419" ht="12.75" customHeight="1">
      <c r="A419" s="353"/>
      <c r="B419" s="54"/>
      <c r="E419" s="354"/>
      <c r="F419" s="242"/>
      <c r="G419" s="358"/>
      <c r="H419" s="217"/>
      <c r="I419" s="54"/>
      <c r="J419" s="218"/>
      <c r="K419" s="218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</row>
    <row r="420" ht="12.75" customHeight="1">
      <c r="A420" s="353"/>
      <c r="B420" s="54"/>
      <c r="E420" s="354"/>
      <c r="F420" s="242"/>
      <c r="G420" s="358"/>
      <c r="H420" s="217"/>
      <c r="I420" s="54"/>
      <c r="J420" s="218"/>
      <c r="K420" s="218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</row>
    <row r="421" ht="12.75" customHeight="1">
      <c r="A421" s="353"/>
      <c r="B421" s="54"/>
      <c r="E421" s="354"/>
      <c r="F421" s="242"/>
      <c r="G421" s="358"/>
      <c r="H421" s="217"/>
      <c r="I421" s="54"/>
      <c r="J421" s="218"/>
      <c r="K421" s="218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</row>
    <row r="422" ht="12.75" customHeight="1">
      <c r="A422" s="353"/>
      <c r="B422" s="54"/>
      <c r="E422" s="354"/>
      <c r="F422" s="242"/>
      <c r="G422" s="358"/>
      <c r="H422" s="217"/>
      <c r="I422" s="54"/>
      <c r="J422" s="218"/>
      <c r="K422" s="218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</row>
    <row r="423" ht="12.75" customHeight="1">
      <c r="A423" s="353"/>
      <c r="B423" s="54"/>
      <c r="E423" s="354"/>
      <c r="F423" s="242"/>
      <c r="G423" s="358"/>
      <c r="H423" s="217"/>
      <c r="I423" s="54"/>
      <c r="J423" s="218"/>
      <c r="K423" s="218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</row>
    <row r="424" ht="12.75" customHeight="1">
      <c r="A424" s="353"/>
      <c r="B424" s="54"/>
      <c r="E424" s="354"/>
      <c r="F424" s="242"/>
      <c r="G424" s="358"/>
      <c r="H424" s="217"/>
      <c r="I424" s="54"/>
      <c r="J424" s="218"/>
      <c r="K424" s="218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</row>
    <row r="425" ht="12.75" customHeight="1">
      <c r="A425" s="353"/>
      <c r="B425" s="54"/>
      <c r="E425" s="354"/>
      <c r="F425" s="242"/>
      <c r="G425" s="358"/>
      <c r="H425" s="217"/>
      <c r="I425" s="54"/>
      <c r="J425" s="218"/>
      <c r="K425" s="218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</row>
    <row r="426" ht="12.75" customHeight="1">
      <c r="A426" s="353"/>
      <c r="B426" s="54"/>
      <c r="E426" s="354"/>
      <c r="F426" s="242"/>
      <c r="G426" s="358"/>
      <c r="H426" s="217"/>
      <c r="I426" s="54"/>
      <c r="J426" s="218"/>
      <c r="K426" s="218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</row>
    <row r="427" ht="12.75" customHeight="1">
      <c r="A427" s="353"/>
      <c r="B427" s="54"/>
      <c r="E427" s="354"/>
      <c r="F427" s="242"/>
      <c r="G427" s="358"/>
      <c r="H427" s="217"/>
      <c r="I427" s="54"/>
      <c r="J427" s="218"/>
      <c r="K427" s="218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</row>
    <row r="428" ht="12.75" customHeight="1">
      <c r="A428" s="353"/>
      <c r="B428" s="54"/>
      <c r="E428" s="354"/>
      <c r="F428" s="242"/>
      <c r="G428" s="358"/>
      <c r="H428" s="217"/>
      <c r="I428" s="54"/>
      <c r="J428" s="218"/>
      <c r="K428" s="218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</row>
    <row r="429" ht="12.75" customHeight="1">
      <c r="A429" s="353"/>
      <c r="B429" s="54"/>
      <c r="E429" s="354"/>
      <c r="F429" s="242"/>
      <c r="G429" s="358"/>
      <c r="H429" s="217"/>
      <c r="I429" s="54"/>
      <c r="J429" s="218"/>
      <c r="K429" s="218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</row>
    <row r="430" ht="12.75" customHeight="1">
      <c r="A430" s="353"/>
      <c r="B430" s="54"/>
      <c r="E430" s="354"/>
      <c r="F430" s="242"/>
      <c r="G430" s="358"/>
      <c r="H430" s="217"/>
      <c r="I430" s="54"/>
      <c r="J430" s="218"/>
      <c r="K430" s="218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</row>
    <row r="431" ht="12.75" customHeight="1">
      <c r="A431" s="353"/>
      <c r="B431" s="54"/>
      <c r="E431" s="354"/>
      <c r="F431" s="242"/>
      <c r="G431" s="358"/>
      <c r="H431" s="217"/>
      <c r="I431" s="54"/>
      <c r="J431" s="218"/>
      <c r="K431" s="218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</row>
    <row r="432" ht="12.75" customHeight="1">
      <c r="A432" s="353"/>
      <c r="B432" s="54"/>
      <c r="E432" s="354"/>
      <c r="F432" s="242"/>
      <c r="G432" s="358"/>
      <c r="H432" s="217"/>
      <c r="I432" s="54"/>
      <c r="J432" s="218"/>
      <c r="K432" s="218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</row>
    <row r="433" ht="12.75" customHeight="1">
      <c r="A433" s="353"/>
      <c r="B433" s="54"/>
      <c r="E433" s="354"/>
      <c r="F433" s="242"/>
      <c r="G433" s="358"/>
      <c r="H433" s="217"/>
      <c r="I433" s="54"/>
      <c r="J433" s="218"/>
      <c r="K433" s="218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</row>
    <row r="434" ht="12.75" customHeight="1">
      <c r="A434" s="353"/>
      <c r="B434" s="54"/>
      <c r="E434" s="354"/>
      <c r="F434" s="242"/>
      <c r="G434" s="358"/>
      <c r="H434" s="217"/>
      <c r="I434" s="54"/>
      <c r="J434" s="218"/>
      <c r="K434" s="218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</row>
    <row r="435" ht="12.75" customHeight="1">
      <c r="A435" s="353"/>
      <c r="B435" s="54"/>
      <c r="E435" s="354"/>
      <c r="F435" s="242"/>
      <c r="G435" s="358"/>
      <c r="H435" s="217"/>
      <c r="I435" s="54"/>
      <c r="J435" s="218"/>
      <c r="K435" s="218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</row>
    <row r="436" ht="12.75" customHeight="1">
      <c r="A436" s="353"/>
      <c r="B436" s="54"/>
      <c r="E436" s="354"/>
      <c r="F436" s="242"/>
      <c r="G436" s="358"/>
      <c r="H436" s="217"/>
      <c r="I436" s="54"/>
      <c r="J436" s="218"/>
      <c r="K436" s="218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</row>
    <row r="437" ht="12.75" customHeight="1">
      <c r="A437" s="353"/>
      <c r="B437" s="54"/>
      <c r="E437" s="354"/>
      <c r="F437" s="242"/>
      <c r="G437" s="358"/>
      <c r="H437" s="217"/>
      <c r="I437" s="54"/>
      <c r="J437" s="218"/>
      <c r="K437" s="218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</row>
    <row r="438" ht="12.75" customHeight="1">
      <c r="A438" s="353"/>
      <c r="B438" s="54"/>
      <c r="E438" s="354"/>
      <c r="F438" s="242"/>
      <c r="G438" s="358"/>
      <c r="H438" s="217"/>
      <c r="I438" s="54"/>
      <c r="J438" s="218"/>
      <c r="K438" s="218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</row>
    <row r="439" ht="12.75" customHeight="1">
      <c r="A439" s="353"/>
      <c r="B439" s="54"/>
      <c r="E439" s="354"/>
      <c r="F439" s="242"/>
      <c r="G439" s="358"/>
      <c r="H439" s="217"/>
      <c r="I439" s="54"/>
      <c r="J439" s="218"/>
      <c r="K439" s="218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</row>
    <row r="440" ht="12.75" customHeight="1">
      <c r="A440" s="353"/>
      <c r="B440" s="54"/>
      <c r="E440" s="354"/>
      <c r="F440" s="242"/>
      <c r="G440" s="358"/>
      <c r="H440" s="217"/>
      <c r="I440" s="54"/>
      <c r="J440" s="218"/>
      <c r="K440" s="218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</row>
    <row r="441" ht="12.75" customHeight="1">
      <c r="A441" s="353"/>
      <c r="B441" s="54"/>
      <c r="E441" s="354"/>
      <c r="F441" s="242"/>
      <c r="G441" s="358"/>
      <c r="H441" s="217"/>
      <c r="I441" s="54"/>
      <c r="J441" s="218"/>
      <c r="K441" s="218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</row>
    <row r="442" ht="12.75" customHeight="1">
      <c r="A442" s="353"/>
      <c r="B442" s="54"/>
      <c r="E442" s="354"/>
      <c r="F442" s="242"/>
      <c r="G442" s="358"/>
      <c r="H442" s="217"/>
      <c r="I442" s="54"/>
      <c r="J442" s="218"/>
      <c r="K442" s="218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</row>
    <row r="443" ht="12.75" customHeight="1">
      <c r="A443" s="353"/>
      <c r="B443" s="54"/>
      <c r="E443" s="354"/>
      <c r="F443" s="242"/>
      <c r="G443" s="358"/>
      <c r="H443" s="217"/>
      <c r="I443" s="54"/>
      <c r="J443" s="218"/>
      <c r="K443" s="218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</row>
    <row r="444" ht="12.75" customHeight="1">
      <c r="A444" s="353"/>
      <c r="B444" s="54"/>
      <c r="E444" s="354"/>
      <c r="F444" s="242"/>
      <c r="G444" s="358"/>
      <c r="H444" s="217"/>
      <c r="I444" s="54"/>
      <c r="J444" s="218"/>
      <c r="K444" s="218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</row>
    <row r="445" ht="12.75" customHeight="1">
      <c r="A445" s="353"/>
      <c r="B445" s="54"/>
      <c r="E445" s="354"/>
      <c r="F445" s="242"/>
      <c r="G445" s="358"/>
      <c r="H445" s="217"/>
      <c r="I445" s="54"/>
      <c r="J445" s="218"/>
      <c r="K445" s="218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</row>
    <row r="446" ht="12.75" customHeight="1">
      <c r="A446" s="353"/>
      <c r="B446" s="54"/>
      <c r="E446" s="354"/>
      <c r="F446" s="242"/>
      <c r="G446" s="358"/>
      <c r="H446" s="217"/>
      <c r="I446" s="54"/>
      <c r="J446" s="218"/>
      <c r="K446" s="218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</row>
    <row r="447" ht="12.75" customHeight="1">
      <c r="A447" s="353"/>
      <c r="B447" s="54"/>
      <c r="E447" s="354"/>
      <c r="F447" s="242"/>
      <c r="G447" s="358"/>
      <c r="H447" s="217"/>
      <c r="I447" s="54"/>
      <c r="J447" s="218"/>
      <c r="K447" s="218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</row>
    <row r="448" ht="12.75" customHeight="1">
      <c r="A448" s="353"/>
      <c r="B448" s="54"/>
      <c r="E448" s="354"/>
      <c r="F448" s="242"/>
      <c r="G448" s="358"/>
      <c r="H448" s="217"/>
      <c r="I448" s="54"/>
      <c r="J448" s="218"/>
      <c r="K448" s="218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</row>
    <row r="449" ht="12.75" customHeight="1">
      <c r="A449" s="353"/>
      <c r="B449" s="54"/>
      <c r="E449" s="354"/>
      <c r="F449" s="242"/>
      <c r="G449" s="358"/>
      <c r="H449" s="217"/>
      <c r="I449" s="54"/>
      <c r="J449" s="218"/>
      <c r="K449" s="218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</row>
    <row r="450" ht="12.75" customHeight="1">
      <c r="A450" s="353"/>
      <c r="B450" s="54"/>
      <c r="E450" s="354"/>
      <c r="F450" s="242"/>
      <c r="G450" s="358"/>
      <c r="H450" s="217"/>
      <c r="I450" s="54"/>
      <c r="J450" s="218"/>
      <c r="K450" s="218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</row>
    <row r="451" ht="12.75" customHeight="1">
      <c r="A451" s="353"/>
      <c r="B451" s="54"/>
      <c r="E451" s="354"/>
      <c r="F451" s="242"/>
      <c r="G451" s="358"/>
      <c r="H451" s="217"/>
      <c r="I451" s="54"/>
      <c r="J451" s="218"/>
      <c r="K451" s="218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</row>
    <row r="452" ht="12.75" customHeight="1">
      <c r="A452" s="353"/>
      <c r="B452" s="54"/>
      <c r="E452" s="354"/>
      <c r="F452" s="242"/>
      <c r="G452" s="358"/>
      <c r="H452" s="217"/>
      <c r="I452" s="54"/>
      <c r="J452" s="218"/>
      <c r="K452" s="218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</row>
    <row r="453" ht="12.75" customHeight="1">
      <c r="A453" s="353"/>
      <c r="B453" s="54"/>
      <c r="E453" s="354"/>
      <c r="F453" s="242"/>
      <c r="G453" s="358"/>
      <c r="H453" s="217"/>
      <c r="I453" s="54"/>
      <c r="J453" s="218"/>
      <c r="K453" s="218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</row>
    <row r="454" ht="12.75" customHeight="1">
      <c r="A454" s="353"/>
      <c r="B454" s="54"/>
      <c r="E454" s="354"/>
      <c r="F454" s="242"/>
      <c r="G454" s="358"/>
      <c r="H454" s="217"/>
      <c r="I454" s="54"/>
      <c r="J454" s="218"/>
      <c r="K454" s="218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</row>
    <row r="455" ht="12.75" customHeight="1">
      <c r="A455" s="353"/>
      <c r="B455" s="54"/>
      <c r="E455" s="354"/>
      <c r="F455" s="242"/>
      <c r="G455" s="358"/>
      <c r="H455" s="217"/>
      <c r="I455" s="54"/>
      <c r="J455" s="218"/>
      <c r="K455" s="218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</row>
    <row r="456" ht="12.75" customHeight="1">
      <c r="A456" s="353"/>
      <c r="B456" s="54"/>
      <c r="E456" s="354"/>
      <c r="F456" s="242"/>
      <c r="G456" s="358"/>
      <c r="H456" s="217"/>
      <c r="I456" s="54"/>
      <c r="J456" s="218"/>
      <c r="K456" s="218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</row>
    <row r="457" ht="12.75" customHeight="1">
      <c r="A457" s="353"/>
      <c r="B457" s="54"/>
      <c r="E457" s="354"/>
      <c r="F457" s="242"/>
      <c r="G457" s="358"/>
      <c r="H457" s="217"/>
      <c r="I457" s="54"/>
      <c r="J457" s="218"/>
      <c r="K457" s="218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</row>
    <row r="458" ht="12.75" customHeight="1">
      <c r="A458" s="353"/>
      <c r="B458" s="54"/>
      <c r="E458" s="354"/>
      <c r="F458" s="242"/>
      <c r="G458" s="358"/>
      <c r="H458" s="217"/>
      <c r="I458" s="54"/>
      <c r="J458" s="218"/>
      <c r="K458" s="218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</row>
    <row r="459" ht="12.75" customHeight="1">
      <c r="A459" s="353"/>
      <c r="B459" s="54"/>
      <c r="E459" s="354"/>
      <c r="F459" s="242"/>
      <c r="G459" s="358"/>
      <c r="H459" s="217"/>
      <c r="I459" s="54"/>
      <c r="J459" s="218"/>
      <c r="K459" s="218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</row>
    <row r="460" ht="12.75" customHeight="1">
      <c r="A460" s="353"/>
      <c r="B460" s="54"/>
      <c r="E460" s="354"/>
      <c r="F460" s="242"/>
      <c r="G460" s="358"/>
      <c r="H460" s="217"/>
      <c r="I460" s="54"/>
      <c r="J460" s="218"/>
      <c r="K460" s="218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</row>
    <row r="461" ht="12.75" customHeight="1">
      <c r="A461" s="353"/>
      <c r="B461" s="54"/>
      <c r="E461" s="354"/>
      <c r="F461" s="242"/>
      <c r="G461" s="358"/>
      <c r="H461" s="217"/>
      <c r="I461" s="54"/>
      <c r="J461" s="218"/>
      <c r="K461" s="218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</row>
    <row r="462" ht="12.75" customHeight="1">
      <c r="A462" s="353"/>
      <c r="B462" s="54"/>
      <c r="E462" s="354"/>
      <c r="F462" s="242"/>
      <c r="G462" s="358"/>
      <c r="H462" s="217"/>
      <c r="I462" s="54"/>
      <c r="J462" s="218"/>
      <c r="K462" s="218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</row>
    <row r="463" ht="12.75" customHeight="1">
      <c r="A463" s="353"/>
      <c r="B463" s="54"/>
      <c r="E463" s="354"/>
      <c r="F463" s="242"/>
      <c r="G463" s="358"/>
      <c r="H463" s="217"/>
      <c r="I463" s="54"/>
      <c r="J463" s="218"/>
      <c r="K463" s="218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</row>
    <row r="464" ht="12.75" customHeight="1">
      <c r="A464" s="353"/>
      <c r="B464" s="54"/>
      <c r="E464" s="354"/>
      <c r="F464" s="242"/>
      <c r="G464" s="358"/>
      <c r="H464" s="217"/>
      <c r="I464" s="54"/>
      <c r="J464" s="218"/>
      <c r="K464" s="218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</row>
    <row r="465" ht="12.75" customHeight="1">
      <c r="A465" s="353"/>
      <c r="B465" s="54"/>
      <c r="E465" s="354"/>
      <c r="F465" s="242"/>
      <c r="G465" s="358"/>
      <c r="H465" s="217"/>
      <c r="I465" s="54"/>
      <c r="J465" s="218"/>
      <c r="K465" s="218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</row>
    <row r="466" ht="12.75" customHeight="1">
      <c r="A466" s="353"/>
      <c r="B466" s="54"/>
      <c r="E466" s="354"/>
      <c r="F466" s="242"/>
      <c r="G466" s="358"/>
      <c r="H466" s="217"/>
      <c r="I466" s="54"/>
      <c r="J466" s="218"/>
      <c r="K466" s="218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</row>
    <row r="467" ht="12.75" customHeight="1">
      <c r="A467" s="353"/>
      <c r="B467" s="54"/>
      <c r="E467" s="354"/>
      <c r="F467" s="242"/>
      <c r="G467" s="358"/>
      <c r="H467" s="217"/>
      <c r="I467" s="54"/>
      <c r="J467" s="218"/>
      <c r="K467" s="218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</row>
    <row r="468" ht="12.75" customHeight="1">
      <c r="A468" s="353"/>
      <c r="B468" s="54"/>
      <c r="E468" s="354"/>
      <c r="F468" s="242"/>
      <c r="G468" s="358"/>
      <c r="H468" s="217"/>
      <c r="I468" s="54"/>
      <c r="J468" s="218"/>
      <c r="K468" s="218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</row>
    <row r="469" ht="12.75" customHeight="1">
      <c r="A469" s="353"/>
      <c r="B469" s="54"/>
      <c r="E469" s="354"/>
      <c r="F469" s="242"/>
      <c r="G469" s="358"/>
      <c r="H469" s="217"/>
      <c r="I469" s="54"/>
      <c r="J469" s="218"/>
      <c r="K469" s="218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</row>
    <row r="470" ht="12.75" customHeight="1">
      <c r="A470" s="353"/>
      <c r="B470" s="54"/>
      <c r="E470" s="354"/>
      <c r="F470" s="242"/>
      <c r="G470" s="358"/>
      <c r="H470" s="217"/>
      <c r="I470" s="54"/>
      <c r="J470" s="218"/>
      <c r="K470" s="218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</row>
    <row r="471" ht="12.75" customHeight="1">
      <c r="A471" s="353"/>
      <c r="B471" s="54"/>
      <c r="E471" s="354"/>
      <c r="F471" s="242"/>
      <c r="G471" s="358"/>
      <c r="H471" s="217"/>
      <c r="I471" s="54"/>
      <c r="J471" s="218"/>
      <c r="K471" s="218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</row>
    <row r="472" ht="12.75" customHeight="1">
      <c r="A472" s="353"/>
      <c r="B472" s="54"/>
      <c r="E472" s="354"/>
      <c r="F472" s="242"/>
      <c r="G472" s="358"/>
      <c r="H472" s="217"/>
      <c r="I472" s="54"/>
      <c r="J472" s="218"/>
      <c r="K472" s="218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</row>
    <row r="473" ht="12.75" customHeight="1">
      <c r="A473" s="353"/>
      <c r="B473" s="54"/>
      <c r="E473" s="354"/>
      <c r="F473" s="242"/>
      <c r="G473" s="358"/>
      <c r="H473" s="217"/>
      <c r="I473" s="54"/>
      <c r="J473" s="218"/>
      <c r="K473" s="218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</row>
    <row r="474" ht="12.75" customHeight="1">
      <c r="A474" s="353"/>
      <c r="B474" s="54"/>
      <c r="E474" s="354"/>
      <c r="F474" s="242"/>
      <c r="G474" s="358"/>
      <c r="H474" s="217"/>
      <c r="I474" s="54"/>
      <c r="J474" s="218"/>
      <c r="K474" s="218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</row>
    <row r="475" ht="12.75" customHeight="1">
      <c r="A475" s="353"/>
      <c r="B475" s="54"/>
      <c r="E475" s="354"/>
      <c r="F475" s="242"/>
      <c r="G475" s="358"/>
      <c r="H475" s="217"/>
      <c r="I475" s="54"/>
      <c r="J475" s="218"/>
      <c r="K475" s="218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</row>
    <row r="476" ht="12.75" customHeight="1">
      <c r="A476" s="353"/>
      <c r="B476" s="54"/>
      <c r="E476" s="354"/>
      <c r="F476" s="242"/>
      <c r="G476" s="358"/>
      <c r="H476" s="217"/>
      <c r="I476" s="54"/>
      <c r="J476" s="218"/>
      <c r="K476" s="218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</row>
    <row r="477" ht="12.75" customHeight="1">
      <c r="A477" s="353"/>
      <c r="B477" s="54"/>
      <c r="E477" s="354"/>
      <c r="F477" s="242"/>
      <c r="G477" s="358"/>
      <c r="H477" s="217"/>
      <c r="I477" s="54"/>
      <c r="J477" s="218"/>
      <c r="K477" s="218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</row>
    <row r="478" ht="12.75" customHeight="1">
      <c r="A478" s="353"/>
      <c r="B478" s="54"/>
      <c r="E478" s="354"/>
      <c r="F478" s="242"/>
      <c r="G478" s="358"/>
      <c r="H478" s="217"/>
      <c r="I478" s="54"/>
      <c r="J478" s="218"/>
      <c r="K478" s="218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</row>
    <row r="479" ht="12.75" customHeight="1">
      <c r="A479" s="353"/>
      <c r="B479" s="54"/>
      <c r="E479" s="354"/>
      <c r="F479" s="242"/>
      <c r="G479" s="358"/>
      <c r="H479" s="217"/>
      <c r="I479" s="54"/>
      <c r="J479" s="218"/>
      <c r="K479" s="218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</row>
    <row r="480" ht="12.75" customHeight="1">
      <c r="A480" s="353"/>
      <c r="B480" s="54"/>
      <c r="E480" s="354"/>
      <c r="F480" s="242"/>
      <c r="G480" s="358"/>
      <c r="H480" s="217"/>
      <c r="I480" s="54"/>
      <c r="J480" s="218"/>
      <c r="K480" s="218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</row>
    <row r="481" ht="12.75" customHeight="1">
      <c r="A481" s="353"/>
      <c r="B481" s="54"/>
      <c r="E481" s="354"/>
      <c r="F481" s="242"/>
      <c r="G481" s="358"/>
      <c r="H481" s="217"/>
      <c r="I481" s="54"/>
      <c r="J481" s="218"/>
      <c r="K481" s="218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</row>
    <row r="482" ht="12.75" customHeight="1">
      <c r="A482" s="353"/>
      <c r="B482" s="54"/>
      <c r="E482" s="354"/>
      <c r="F482" s="242"/>
      <c r="G482" s="358"/>
      <c r="H482" s="217"/>
      <c r="I482" s="54"/>
      <c r="J482" s="218"/>
      <c r="K482" s="218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</row>
    <row r="483" ht="12.75" customHeight="1">
      <c r="A483" s="353"/>
      <c r="B483" s="54"/>
      <c r="E483" s="354"/>
      <c r="F483" s="242"/>
      <c r="G483" s="358"/>
      <c r="H483" s="217"/>
      <c r="I483" s="54"/>
      <c r="J483" s="218"/>
      <c r="K483" s="218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</row>
    <row r="484" ht="12.75" customHeight="1">
      <c r="A484" s="353"/>
      <c r="B484" s="54"/>
      <c r="E484" s="354"/>
      <c r="F484" s="242"/>
      <c r="G484" s="358"/>
      <c r="H484" s="217"/>
      <c r="I484" s="54"/>
      <c r="J484" s="218"/>
      <c r="K484" s="218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</row>
    <row r="485" ht="12.75" customHeight="1">
      <c r="A485" s="353"/>
      <c r="B485" s="54"/>
      <c r="E485" s="354"/>
      <c r="F485" s="242"/>
      <c r="G485" s="358"/>
      <c r="H485" s="217"/>
      <c r="I485" s="54"/>
      <c r="J485" s="218"/>
      <c r="K485" s="218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</row>
    <row r="486" ht="12.75" customHeight="1">
      <c r="A486" s="353"/>
      <c r="B486" s="54"/>
      <c r="E486" s="354"/>
      <c r="F486" s="242"/>
      <c r="G486" s="358"/>
      <c r="H486" s="217"/>
      <c r="I486" s="54"/>
      <c r="J486" s="218"/>
      <c r="K486" s="218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</row>
    <row r="487" ht="12.75" customHeight="1">
      <c r="A487" s="353"/>
      <c r="B487" s="54"/>
      <c r="E487" s="354"/>
      <c r="F487" s="242"/>
      <c r="G487" s="358"/>
      <c r="H487" s="217"/>
      <c r="I487" s="54"/>
      <c r="J487" s="218"/>
      <c r="K487" s="218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</row>
    <row r="488" ht="12.75" customHeight="1">
      <c r="A488" s="353"/>
      <c r="B488" s="54"/>
      <c r="E488" s="354"/>
      <c r="F488" s="242"/>
      <c r="G488" s="358"/>
      <c r="H488" s="217"/>
      <c r="I488" s="54"/>
      <c r="J488" s="218"/>
      <c r="K488" s="218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</row>
    <row r="489" ht="12.75" customHeight="1">
      <c r="A489" s="353"/>
      <c r="B489" s="54"/>
      <c r="E489" s="354"/>
      <c r="F489" s="242"/>
      <c r="G489" s="358"/>
      <c r="H489" s="217"/>
      <c r="I489" s="54"/>
      <c r="J489" s="218"/>
      <c r="K489" s="218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</row>
    <row r="490" ht="12.75" customHeight="1">
      <c r="A490" s="353"/>
      <c r="B490" s="54"/>
      <c r="E490" s="354"/>
      <c r="F490" s="242"/>
      <c r="G490" s="358"/>
      <c r="H490" s="217"/>
      <c r="I490" s="54"/>
      <c r="J490" s="218"/>
      <c r="K490" s="218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</row>
    <row r="491" ht="12.75" customHeight="1">
      <c r="A491" s="353"/>
      <c r="B491" s="54"/>
      <c r="E491" s="354"/>
      <c r="F491" s="242"/>
      <c r="G491" s="358"/>
      <c r="H491" s="217"/>
      <c r="I491" s="54"/>
      <c r="J491" s="218"/>
      <c r="K491" s="218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</row>
    <row r="492" ht="12.75" customHeight="1">
      <c r="A492" s="353"/>
      <c r="B492" s="54"/>
      <c r="E492" s="354"/>
      <c r="F492" s="242"/>
      <c r="G492" s="358"/>
      <c r="H492" s="217"/>
      <c r="I492" s="54"/>
      <c r="J492" s="218"/>
      <c r="K492" s="218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</row>
    <row r="493" ht="12.75" customHeight="1">
      <c r="A493" s="353"/>
      <c r="B493" s="54"/>
      <c r="E493" s="354"/>
      <c r="F493" s="242"/>
      <c r="G493" s="358"/>
      <c r="H493" s="217"/>
      <c r="I493" s="54"/>
      <c r="J493" s="218"/>
      <c r="K493" s="218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</row>
    <row r="494" ht="12.75" customHeight="1">
      <c r="A494" s="353"/>
      <c r="B494" s="54"/>
      <c r="E494" s="354"/>
      <c r="F494" s="242"/>
      <c r="G494" s="358"/>
      <c r="H494" s="217"/>
      <c r="I494" s="54"/>
      <c r="J494" s="218"/>
      <c r="K494" s="218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</row>
    <row r="495" ht="12.75" customHeight="1">
      <c r="A495" s="353"/>
      <c r="B495" s="54"/>
      <c r="E495" s="354"/>
      <c r="F495" s="242"/>
      <c r="G495" s="358"/>
      <c r="H495" s="217"/>
      <c r="I495" s="54"/>
      <c r="J495" s="218"/>
      <c r="K495" s="218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</row>
    <row r="496" ht="12.75" customHeight="1">
      <c r="A496" s="353"/>
      <c r="B496" s="54"/>
      <c r="E496" s="354"/>
      <c r="F496" s="242"/>
      <c r="G496" s="358"/>
      <c r="H496" s="217"/>
      <c r="I496" s="54"/>
      <c r="J496" s="218"/>
      <c r="K496" s="218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</row>
    <row r="497" ht="12.75" customHeight="1">
      <c r="A497" s="353"/>
      <c r="B497" s="54"/>
      <c r="E497" s="354"/>
      <c r="F497" s="242"/>
      <c r="G497" s="358"/>
      <c r="H497" s="217"/>
      <c r="I497" s="54"/>
      <c r="J497" s="218"/>
      <c r="K497" s="218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</row>
    <row r="498" ht="12.75" customHeight="1">
      <c r="A498" s="353"/>
      <c r="B498" s="54"/>
      <c r="E498" s="354"/>
      <c r="F498" s="242"/>
      <c r="G498" s="358"/>
      <c r="H498" s="217"/>
      <c r="I498" s="54"/>
      <c r="J498" s="218"/>
      <c r="K498" s="218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</row>
    <row r="499" ht="12.75" customHeight="1">
      <c r="A499" s="353"/>
      <c r="B499" s="54"/>
      <c r="E499" s="354"/>
      <c r="F499" s="242"/>
      <c r="G499" s="358"/>
      <c r="H499" s="217"/>
      <c r="I499" s="54"/>
      <c r="J499" s="218"/>
      <c r="K499" s="218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</row>
    <row r="500" ht="12.75" customHeight="1">
      <c r="A500" s="353"/>
      <c r="B500" s="54"/>
      <c r="E500" s="354"/>
      <c r="F500" s="242"/>
      <c r="G500" s="358"/>
      <c r="H500" s="217"/>
      <c r="I500" s="54"/>
      <c r="J500" s="218"/>
      <c r="K500" s="218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</row>
    <row r="501" ht="12.75" customHeight="1">
      <c r="A501" s="353"/>
      <c r="B501" s="54"/>
      <c r="E501" s="354"/>
      <c r="F501" s="242"/>
      <c r="G501" s="358"/>
      <c r="H501" s="217"/>
      <c r="I501" s="54"/>
      <c r="J501" s="218"/>
      <c r="K501" s="218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</row>
    <row r="502" ht="12.75" customHeight="1">
      <c r="A502" s="353"/>
      <c r="B502" s="54"/>
      <c r="E502" s="354"/>
      <c r="F502" s="242"/>
      <c r="G502" s="358"/>
      <c r="H502" s="217"/>
      <c r="I502" s="54"/>
      <c r="J502" s="218"/>
      <c r="K502" s="218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</row>
    <row r="503" ht="12.75" customHeight="1">
      <c r="A503" s="353"/>
      <c r="B503" s="54"/>
      <c r="E503" s="354"/>
      <c r="F503" s="242"/>
      <c r="G503" s="358"/>
      <c r="H503" s="217"/>
      <c r="I503" s="54"/>
      <c r="J503" s="218"/>
      <c r="K503" s="218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</row>
    <row r="504" ht="12.75" customHeight="1">
      <c r="A504" s="353"/>
      <c r="B504" s="54"/>
      <c r="E504" s="354"/>
      <c r="F504" s="242"/>
      <c r="G504" s="358"/>
      <c r="H504" s="217"/>
      <c r="I504" s="54"/>
      <c r="J504" s="218"/>
      <c r="K504" s="218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</row>
    <row r="505" ht="12.75" customHeight="1">
      <c r="A505" s="353"/>
      <c r="B505" s="54"/>
      <c r="E505" s="354"/>
      <c r="F505" s="242"/>
      <c r="G505" s="358"/>
      <c r="H505" s="217"/>
      <c r="I505" s="54"/>
      <c r="J505" s="218"/>
      <c r="K505" s="218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</row>
    <row r="506" ht="12.75" customHeight="1">
      <c r="A506" s="353"/>
      <c r="B506" s="54"/>
      <c r="E506" s="354"/>
      <c r="F506" s="242"/>
      <c r="G506" s="358"/>
      <c r="H506" s="217"/>
      <c r="I506" s="54"/>
      <c r="J506" s="218"/>
      <c r="K506" s="218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</row>
    <row r="507" ht="12.75" customHeight="1">
      <c r="A507" s="353"/>
      <c r="B507" s="54"/>
      <c r="E507" s="354"/>
      <c r="F507" s="242"/>
      <c r="G507" s="358"/>
      <c r="H507" s="217"/>
      <c r="I507" s="54"/>
      <c r="J507" s="218"/>
      <c r="K507" s="218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</row>
    <row r="508" ht="12.75" customHeight="1">
      <c r="A508" s="353"/>
      <c r="B508" s="54"/>
      <c r="E508" s="354"/>
      <c r="F508" s="242"/>
      <c r="G508" s="358"/>
      <c r="H508" s="217"/>
      <c r="I508" s="54"/>
      <c r="J508" s="218"/>
      <c r="K508" s="218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</row>
    <row r="509" ht="12.75" customHeight="1">
      <c r="A509" s="353"/>
      <c r="B509" s="54"/>
      <c r="E509" s="354"/>
      <c r="F509" s="242"/>
      <c r="G509" s="358"/>
      <c r="H509" s="217"/>
      <c r="I509" s="54"/>
      <c r="J509" s="218"/>
      <c r="K509" s="218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</row>
    <row r="510" ht="12.75" customHeight="1">
      <c r="A510" s="353"/>
      <c r="B510" s="54"/>
      <c r="E510" s="354"/>
      <c r="F510" s="242"/>
      <c r="G510" s="358"/>
      <c r="H510" s="217"/>
      <c r="I510" s="54"/>
      <c r="J510" s="218"/>
      <c r="K510" s="218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</row>
    <row r="511" ht="12.75" customHeight="1">
      <c r="A511" s="353"/>
      <c r="B511" s="54"/>
      <c r="E511" s="354"/>
      <c r="F511" s="242"/>
      <c r="G511" s="358"/>
      <c r="H511" s="217"/>
      <c r="I511" s="54"/>
      <c r="J511" s="218"/>
      <c r="K511" s="218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</row>
    <row r="512" ht="12.75" customHeight="1">
      <c r="A512" s="353"/>
      <c r="B512" s="54"/>
      <c r="E512" s="354"/>
      <c r="F512" s="242"/>
      <c r="G512" s="358"/>
      <c r="H512" s="217"/>
      <c r="I512" s="54"/>
      <c r="J512" s="218"/>
      <c r="K512" s="218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</row>
    <row r="513" ht="12.75" customHeight="1">
      <c r="A513" s="353"/>
      <c r="B513" s="54"/>
      <c r="E513" s="354"/>
      <c r="F513" s="242"/>
      <c r="G513" s="358"/>
      <c r="H513" s="217"/>
      <c r="I513" s="54"/>
      <c r="J513" s="218"/>
      <c r="K513" s="218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</row>
    <row r="514" ht="12.75" customHeight="1">
      <c r="A514" s="353"/>
      <c r="B514" s="54"/>
      <c r="E514" s="354"/>
      <c r="F514" s="242"/>
      <c r="G514" s="358"/>
      <c r="H514" s="217"/>
      <c r="I514" s="54"/>
      <c r="J514" s="218"/>
      <c r="K514" s="218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</row>
    <row r="515" ht="12.75" customHeight="1">
      <c r="A515" s="353"/>
      <c r="B515" s="54"/>
      <c r="E515" s="354"/>
      <c r="F515" s="242"/>
      <c r="G515" s="358"/>
      <c r="H515" s="217"/>
      <c r="I515" s="54"/>
      <c r="J515" s="218"/>
      <c r="K515" s="218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</row>
    <row r="516" ht="12.75" customHeight="1">
      <c r="A516" s="353"/>
      <c r="B516" s="54"/>
      <c r="E516" s="354"/>
      <c r="F516" s="242"/>
      <c r="G516" s="358"/>
      <c r="H516" s="217"/>
      <c r="I516" s="54"/>
      <c r="J516" s="218"/>
      <c r="K516" s="218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</row>
    <row r="517" ht="12.75" customHeight="1">
      <c r="A517" s="353"/>
      <c r="B517" s="54"/>
      <c r="E517" s="354"/>
      <c r="F517" s="242"/>
      <c r="G517" s="358"/>
      <c r="H517" s="217"/>
      <c r="I517" s="54"/>
      <c r="J517" s="218"/>
      <c r="K517" s="218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</row>
    <row r="518" ht="12.75" customHeight="1">
      <c r="A518" s="353"/>
      <c r="B518" s="54"/>
      <c r="E518" s="354"/>
      <c r="F518" s="242"/>
      <c r="G518" s="358"/>
      <c r="H518" s="217"/>
      <c r="I518" s="54"/>
      <c r="J518" s="218"/>
      <c r="K518" s="218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</row>
    <row r="519" ht="12.75" customHeight="1">
      <c r="A519" s="353"/>
      <c r="B519" s="54"/>
      <c r="E519" s="354"/>
      <c r="F519" s="242"/>
      <c r="G519" s="358"/>
      <c r="H519" s="217"/>
      <c r="I519" s="54"/>
      <c r="J519" s="218"/>
      <c r="K519" s="218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</row>
    <row r="520" ht="12.75" customHeight="1">
      <c r="A520" s="353"/>
      <c r="B520" s="54"/>
      <c r="E520" s="354"/>
      <c r="F520" s="242"/>
      <c r="G520" s="358"/>
      <c r="H520" s="217"/>
      <c r="I520" s="54"/>
      <c r="J520" s="218"/>
      <c r="K520" s="218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</row>
    <row r="521" ht="12.75" customHeight="1">
      <c r="A521" s="353"/>
      <c r="B521" s="54"/>
      <c r="E521" s="354"/>
      <c r="F521" s="242"/>
      <c r="G521" s="358"/>
      <c r="H521" s="217"/>
      <c r="I521" s="54"/>
      <c r="J521" s="218"/>
      <c r="K521" s="218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</row>
    <row r="522" ht="12.75" customHeight="1">
      <c r="A522" s="353"/>
      <c r="B522" s="54"/>
      <c r="E522" s="354"/>
      <c r="F522" s="242"/>
      <c r="G522" s="358"/>
      <c r="H522" s="217"/>
      <c r="I522" s="54"/>
      <c r="J522" s="218"/>
      <c r="K522" s="218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</row>
    <row r="523" ht="12.75" customHeight="1">
      <c r="A523" s="353"/>
      <c r="B523" s="54"/>
      <c r="E523" s="354"/>
      <c r="F523" s="242"/>
      <c r="G523" s="358"/>
      <c r="H523" s="217"/>
      <c r="I523" s="54"/>
      <c r="J523" s="218"/>
      <c r="K523" s="218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</row>
    <row r="524" ht="12.75" customHeight="1">
      <c r="A524" s="353"/>
      <c r="B524" s="54"/>
      <c r="E524" s="354"/>
      <c r="F524" s="242"/>
      <c r="G524" s="358"/>
      <c r="H524" s="217"/>
      <c r="I524" s="54"/>
      <c r="J524" s="218"/>
      <c r="K524" s="218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</row>
    <row r="525" ht="12.75" customHeight="1">
      <c r="A525" s="353"/>
      <c r="B525" s="54"/>
      <c r="E525" s="354"/>
      <c r="F525" s="242"/>
      <c r="G525" s="358"/>
      <c r="H525" s="217"/>
      <c r="I525" s="54"/>
      <c r="J525" s="218"/>
      <c r="K525" s="218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</row>
    <row r="526" ht="12.75" customHeight="1">
      <c r="A526" s="353"/>
      <c r="B526" s="54"/>
      <c r="E526" s="354"/>
      <c r="F526" s="242"/>
      <c r="G526" s="358"/>
      <c r="H526" s="217"/>
      <c r="I526" s="54"/>
      <c r="J526" s="218"/>
      <c r="K526" s="218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</row>
    <row r="527" ht="12.75" customHeight="1">
      <c r="A527" s="353"/>
      <c r="B527" s="54"/>
      <c r="E527" s="354"/>
      <c r="F527" s="242"/>
      <c r="G527" s="358"/>
      <c r="H527" s="217"/>
      <c r="I527" s="54"/>
      <c r="J527" s="218"/>
      <c r="K527" s="218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</row>
    <row r="528" ht="12.75" customHeight="1">
      <c r="A528" s="353"/>
      <c r="B528" s="54"/>
      <c r="E528" s="354"/>
      <c r="F528" s="242"/>
      <c r="G528" s="358"/>
      <c r="H528" s="217"/>
      <c r="I528" s="54"/>
      <c r="J528" s="218"/>
      <c r="K528" s="218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</row>
    <row r="529" ht="12.75" customHeight="1">
      <c r="A529" s="353"/>
      <c r="B529" s="54"/>
      <c r="E529" s="354"/>
      <c r="F529" s="242"/>
      <c r="G529" s="358"/>
      <c r="H529" s="217"/>
      <c r="I529" s="54"/>
      <c r="J529" s="218"/>
      <c r="K529" s="218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</row>
    <row r="530" ht="12.75" customHeight="1">
      <c r="A530" s="353"/>
      <c r="B530" s="54"/>
      <c r="E530" s="354"/>
      <c r="F530" s="242"/>
      <c r="G530" s="358"/>
      <c r="H530" s="217"/>
      <c r="I530" s="54"/>
      <c r="J530" s="218"/>
      <c r="K530" s="218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</row>
    <row r="531" ht="12.75" customHeight="1">
      <c r="A531" s="353"/>
      <c r="B531" s="54"/>
      <c r="E531" s="354"/>
      <c r="F531" s="242"/>
      <c r="G531" s="358"/>
      <c r="H531" s="217"/>
      <c r="I531" s="54"/>
      <c r="J531" s="218"/>
      <c r="K531" s="218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</row>
    <row r="532" ht="12.75" customHeight="1">
      <c r="A532" s="353"/>
      <c r="B532" s="54"/>
      <c r="E532" s="354"/>
      <c r="F532" s="242"/>
      <c r="G532" s="358"/>
      <c r="H532" s="217"/>
      <c r="I532" s="54"/>
      <c r="J532" s="218"/>
      <c r="K532" s="218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</row>
    <row r="533" ht="12.75" customHeight="1">
      <c r="A533" s="353"/>
      <c r="B533" s="54"/>
      <c r="E533" s="354"/>
      <c r="F533" s="242"/>
      <c r="G533" s="358"/>
      <c r="H533" s="217"/>
      <c r="I533" s="54"/>
      <c r="J533" s="218"/>
      <c r="K533" s="218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</row>
    <row r="534" ht="12.75" customHeight="1">
      <c r="A534" s="353"/>
      <c r="B534" s="54"/>
      <c r="E534" s="354"/>
      <c r="F534" s="242"/>
      <c r="G534" s="358"/>
      <c r="H534" s="217"/>
      <c r="I534" s="54"/>
      <c r="J534" s="218"/>
      <c r="K534" s="218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</row>
    <row r="535" ht="12.75" customHeight="1">
      <c r="A535" s="353"/>
      <c r="B535" s="54"/>
      <c r="E535" s="354"/>
      <c r="F535" s="242"/>
      <c r="G535" s="358"/>
      <c r="H535" s="217"/>
      <c r="I535" s="54"/>
      <c r="J535" s="218"/>
      <c r="K535" s="218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</row>
    <row r="536" ht="12.75" customHeight="1">
      <c r="A536" s="353"/>
      <c r="B536" s="54"/>
      <c r="E536" s="354"/>
      <c r="F536" s="242"/>
      <c r="G536" s="358"/>
      <c r="H536" s="217"/>
      <c r="I536" s="54"/>
      <c r="J536" s="218"/>
      <c r="K536" s="218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</row>
    <row r="537" ht="12.75" customHeight="1">
      <c r="A537" s="353"/>
      <c r="B537" s="54"/>
      <c r="E537" s="354"/>
      <c r="F537" s="242"/>
      <c r="G537" s="358"/>
      <c r="H537" s="217"/>
      <c r="I537" s="54"/>
      <c r="J537" s="218"/>
      <c r="K537" s="218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</row>
    <row r="538" ht="12.75" customHeight="1">
      <c r="A538" s="353"/>
      <c r="B538" s="54"/>
      <c r="E538" s="354"/>
      <c r="F538" s="242"/>
      <c r="G538" s="358"/>
      <c r="H538" s="217"/>
      <c r="I538" s="54"/>
      <c r="J538" s="218"/>
      <c r="K538" s="218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</row>
    <row r="539" ht="12.75" customHeight="1">
      <c r="A539" s="353"/>
      <c r="B539" s="54"/>
      <c r="E539" s="354"/>
      <c r="F539" s="242"/>
      <c r="G539" s="358"/>
      <c r="H539" s="217"/>
      <c r="I539" s="54"/>
      <c r="J539" s="218"/>
      <c r="K539" s="218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</row>
    <row r="540" ht="12.75" customHeight="1">
      <c r="A540" s="353"/>
      <c r="B540" s="54"/>
      <c r="E540" s="354"/>
      <c r="F540" s="242"/>
      <c r="G540" s="358"/>
      <c r="H540" s="217"/>
      <c r="I540" s="54"/>
      <c r="J540" s="218"/>
      <c r="K540" s="218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</row>
    <row r="541" ht="12.75" customHeight="1">
      <c r="A541" s="353"/>
      <c r="B541" s="54"/>
      <c r="E541" s="354"/>
      <c r="F541" s="242"/>
      <c r="G541" s="358"/>
      <c r="H541" s="217"/>
      <c r="I541" s="54"/>
      <c r="J541" s="218"/>
      <c r="K541" s="218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</row>
    <row r="542" ht="12.75" customHeight="1">
      <c r="A542" s="353"/>
      <c r="B542" s="54"/>
      <c r="E542" s="354"/>
      <c r="F542" s="242"/>
      <c r="G542" s="358"/>
      <c r="H542" s="217"/>
      <c r="I542" s="54"/>
      <c r="J542" s="218"/>
      <c r="K542" s="218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</row>
    <row r="543" ht="12.75" customHeight="1">
      <c r="A543" s="353"/>
      <c r="B543" s="54"/>
      <c r="E543" s="354"/>
      <c r="F543" s="242"/>
      <c r="G543" s="358"/>
      <c r="H543" s="217"/>
      <c r="I543" s="54"/>
      <c r="J543" s="218"/>
      <c r="K543" s="218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</row>
    <row r="544" ht="12.75" customHeight="1">
      <c r="A544" s="353"/>
      <c r="B544" s="54"/>
      <c r="E544" s="354"/>
      <c r="F544" s="242"/>
      <c r="G544" s="358"/>
      <c r="H544" s="217"/>
      <c r="I544" s="54"/>
      <c r="J544" s="218"/>
      <c r="K544" s="218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</row>
    <row r="545" ht="12.75" customHeight="1">
      <c r="A545" s="353"/>
      <c r="B545" s="54"/>
      <c r="E545" s="354"/>
      <c r="F545" s="242"/>
      <c r="G545" s="358"/>
      <c r="H545" s="217"/>
      <c r="I545" s="54"/>
      <c r="J545" s="218"/>
      <c r="K545" s="218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</row>
    <row r="546" ht="12.75" customHeight="1">
      <c r="A546" s="353"/>
      <c r="B546" s="54"/>
      <c r="E546" s="354"/>
      <c r="F546" s="242"/>
      <c r="G546" s="358"/>
      <c r="H546" s="217"/>
      <c r="I546" s="54"/>
      <c r="J546" s="218"/>
      <c r="K546" s="218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</row>
    <row r="547" ht="12.75" customHeight="1">
      <c r="A547" s="353"/>
      <c r="B547" s="54"/>
      <c r="E547" s="354"/>
      <c r="F547" s="242"/>
      <c r="G547" s="358"/>
      <c r="H547" s="217"/>
      <c r="I547" s="54"/>
      <c r="J547" s="218"/>
      <c r="K547" s="218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</row>
    <row r="548" ht="12.75" customHeight="1">
      <c r="A548" s="353"/>
      <c r="B548" s="54"/>
      <c r="E548" s="354"/>
      <c r="F548" s="242"/>
      <c r="G548" s="358"/>
      <c r="H548" s="217"/>
      <c r="I548" s="54"/>
      <c r="J548" s="218"/>
      <c r="K548" s="218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</row>
    <row r="549" ht="12.75" customHeight="1">
      <c r="A549" s="353"/>
      <c r="B549" s="54"/>
      <c r="E549" s="354"/>
      <c r="F549" s="242"/>
      <c r="G549" s="358"/>
      <c r="H549" s="217"/>
      <c r="I549" s="54"/>
      <c r="J549" s="218"/>
      <c r="K549" s="218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</row>
    <row r="550" ht="12.75" customHeight="1">
      <c r="A550" s="353"/>
      <c r="B550" s="54"/>
      <c r="E550" s="354"/>
      <c r="F550" s="242"/>
      <c r="G550" s="358"/>
      <c r="H550" s="217"/>
      <c r="I550" s="54"/>
      <c r="J550" s="218"/>
      <c r="K550" s="218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</row>
    <row r="551" ht="12.75" customHeight="1">
      <c r="A551" s="353"/>
      <c r="B551" s="54"/>
      <c r="E551" s="354"/>
      <c r="F551" s="242"/>
      <c r="G551" s="358"/>
      <c r="H551" s="217"/>
      <c r="I551" s="54"/>
      <c r="J551" s="218"/>
      <c r="K551" s="218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</row>
    <row r="552" ht="12.75" customHeight="1">
      <c r="A552" s="353"/>
      <c r="B552" s="54"/>
      <c r="E552" s="354"/>
      <c r="F552" s="242"/>
      <c r="G552" s="358"/>
      <c r="H552" s="217"/>
      <c r="I552" s="54"/>
      <c r="J552" s="218"/>
      <c r="K552" s="218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</row>
    <row r="553" ht="12.75" customHeight="1">
      <c r="A553" s="353"/>
      <c r="B553" s="54"/>
      <c r="E553" s="354"/>
      <c r="F553" s="242"/>
      <c r="G553" s="358"/>
      <c r="H553" s="217"/>
      <c r="I553" s="54"/>
      <c r="J553" s="218"/>
      <c r="K553" s="218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</row>
    <row r="554" ht="12.75" customHeight="1">
      <c r="A554" s="353"/>
      <c r="B554" s="54"/>
      <c r="E554" s="354"/>
      <c r="F554" s="242"/>
      <c r="G554" s="358"/>
      <c r="H554" s="217"/>
      <c r="I554" s="54"/>
      <c r="J554" s="218"/>
      <c r="K554" s="218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</row>
    <row r="555" ht="12.75" customHeight="1">
      <c r="A555" s="353"/>
      <c r="B555" s="54"/>
      <c r="E555" s="354"/>
      <c r="F555" s="242"/>
      <c r="G555" s="358"/>
      <c r="H555" s="217"/>
      <c r="I555" s="54"/>
      <c r="J555" s="218"/>
      <c r="K555" s="218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</row>
    <row r="556" ht="12.75" customHeight="1">
      <c r="A556" s="353"/>
      <c r="B556" s="54"/>
      <c r="E556" s="354"/>
      <c r="F556" s="242"/>
      <c r="G556" s="358"/>
      <c r="H556" s="217"/>
      <c r="I556" s="54"/>
      <c r="J556" s="218"/>
      <c r="K556" s="218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</row>
    <row r="557" ht="12.75" customHeight="1">
      <c r="A557" s="353"/>
      <c r="B557" s="54"/>
      <c r="E557" s="354"/>
      <c r="F557" s="242"/>
      <c r="G557" s="358"/>
      <c r="H557" s="217"/>
      <c r="I557" s="54"/>
      <c r="J557" s="218"/>
      <c r="K557" s="218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</row>
    <row r="558" ht="12.75" customHeight="1">
      <c r="A558" s="353"/>
      <c r="B558" s="54"/>
      <c r="E558" s="354"/>
      <c r="F558" s="242"/>
      <c r="G558" s="358"/>
      <c r="H558" s="217"/>
      <c r="I558" s="54"/>
      <c r="J558" s="218"/>
      <c r="K558" s="218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</row>
    <row r="559" ht="12.75" customHeight="1">
      <c r="A559" s="353"/>
      <c r="B559" s="54"/>
      <c r="E559" s="354"/>
      <c r="F559" s="242"/>
      <c r="G559" s="358"/>
      <c r="H559" s="217"/>
      <c r="I559" s="54"/>
      <c r="J559" s="218"/>
      <c r="K559" s="218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</row>
    <row r="560" ht="12.75" customHeight="1">
      <c r="A560" s="353"/>
      <c r="B560" s="54"/>
      <c r="E560" s="354"/>
      <c r="F560" s="242"/>
      <c r="G560" s="358"/>
      <c r="H560" s="217"/>
      <c r="I560" s="54"/>
      <c r="J560" s="218"/>
      <c r="K560" s="218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</row>
    <row r="561" ht="12.75" customHeight="1">
      <c r="A561" s="353"/>
      <c r="B561" s="54"/>
      <c r="E561" s="354"/>
      <c r="F561" s="242"/>
      <c r="G561" s="358"/>
      <c r="H561" s="217"/>
      <c r="I561" s="54"/>
      <c r="J561" s="218"/>
      <c r="K561" s="218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</row>
    <row r="562" ht="12.75" customHeight="1">
      <c r="A562" s="353"/>
      <c r="B562" s="54"/>
      <c r="E562" s="354"/>
      <c r="F562" s="242"/>
      <c r="G562" s="358"/>
      <c r="H562" s="217"/>
      <c r="I562" s="54"/>
      <c r="J562" s="218"/>
      <c r="K562" s="218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</row>
    <row r="563" ht="12.75" customHeight="1">
      <c r="A563" s="353"/>
      <c r="B563" s="54"/>
      <c r="E563" s="354"/>
      <c r="F563" s="242"/>
      <c r="G563" s="358"/>
      <c r="H563" s="217"/>
      <c r="I563" s="54"/>
      <c r="J563" s="218"/>
      <c r="K563" s="218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</row>
    <row r="564" ht="12.75" customHeight="1">
      <c r="A564" s="353"/>
      <c r="B564" s="54"/>
      <c r="E564" s="354"/>
      <c r="F564" s="242"/>
      <c r="G564" s="358"/>
      <c r="H564" s="217"/>
      <c r="I564" s="54"/>
      <c r="J564" s="218"/>
      <c r="K564" s="218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</row>
    <row r="565" ht="12.75" customHeight="1">
      <c r="A565" s="353"/>
      <c r="B565" s="54"/>
      <c r="E565" s="354"/>
      <c r="F565" s="242"/>
      <c r="G565" s="358"/>
      <c r="H565" s="217"/>
      <c r="I565" s="54"/>
      <c r="J565" s="218"/>
      <c r="K565" s="218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</row>
    <row r="566" ht="12.75" customHeight="1">
      <c r="A566" s="353"/>
      <c r="B566" s="54"/>
      <c r="E566" s="354"/>
      <c r="F566" s="242"/>
      <c r="G566" s="358"/>
      <c r="H566" s="217"/>
      <c r="I566" s="54"/>
      <c r="J566" s="218"/>
      <c r="K566" s="218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</row>
    <row r="567" ht="12.75" customHeight="1">
      <c r="A567" s="353"/>
      <c r="B567" s="54"/>
      <c r="E567" s="354"/>
      <c r="F567" s="242"/>
      <c r="G567" s="358"/>
      <c r="H567" s="217"/>
      <c r="I567" s="54"/>
      <c r="J567" s="218"/>
      <c r="K567" s="218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</row>
    <row r="568" ht="12.75" customHeight="1">
      <c r="A568" s="353"/>
      <c r="B568" s="54"/>
      <c r="E568" s="354"/>
      <c r="F568" s="242"/>
      <c r="G568" s="358"/>
      <c r="H568" s="217"/>
      <c r="I568" s="54"/>
      <c r="J568" s="218"/>
      <c r="K568" s="218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</row>
    <row r="569" ht="12.75" customHeight="1">
      <c r="A569" s="353"/>
      <c r="B569" s="54"/>
      <c r="E569" s="354"/>
      <c r="F569" s="242"/>
      <c r="G569" s="358"/>
      <c r="H569" s="217"/>
      <c r="I569" s="54"/>
      <c r="J569" s="218"/>
      <c r="K569" s="218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</row>
    <row r="570" ht="12.75" customHeight="1">
      <c r="A570" s="353"/>
      <c r="B570" s="54"/>
      <c r="E570" s="354"/>
      <c r="F570" s="242"/>
      <c r="G570" s="358"/>
      <c r="H570" s="217"/>
      <c r="I570" s="54"/>
      <c r="J570" s="218"/>
      <c r="K570" s="218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</row>
    <row r="571" ht="12.75" customHeight="1">
      <c r="A571" s="353"/>
      <c r="B571" s="54"/>
      <c r="E571" s="354"/>
      <c r="F571" s="242"/>
      <c r="G571" s="358"/>
      <c r="H571" s="217"/>
      <c r="I571" s="54"/>
      <c r="J571" s="218"/>
      <c r="K571" s="218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</row>
    <row r="572" ht="12.75" customHeight="1">
      <c r="A572" s="353"/>
      <c r="B572" s="54"/>
      <c r="E572" s="354"/>
      <c r="F572" s="242"/>
      <c r="G572" s="358"/>
      <c r="H572" s="217"/>
      <c r="I572" s="54"/>
      <c r="J572" s="218"/>
      <c r="K572" s="218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</row>
    <row r="573" ht="12.75" customHeight="1">
      <c r="A573" s="353"/>
      <c r="B573" s="54"/>
      <c r="E573" s="354"/>
      <c r="F573" s="242"/>
      <c r="G573" s="358"/>
      <c r="H573" s="217"/>
      <c r="I573" s="54"/>
      <c r="J573" s="218"/>
      <c r="K573" s="218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</row>
    <row r="574" ht="12.75" customHeight="1">
      <c r="A574" s="353"/>
      <c r="B574" s="54"/>
      <c r="E574" s="354"/>
      <c r="F574" s="242"/>
      <c r="G574" s="358"/>
      <c r="H574" s="217"/>
      <c r="I574" s="54"/>
      <c r="J574" s="218"/>
      <c r="K574" s="218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</row>
    <row r="575" ht="12.75" customHeight="1">
      <c r="A575" s="353"/>
      <c r="B575" s="54"/>
      <c r="E575" s="354"/>
      <c r="F575" s="242"/>
      <c r="G575" s="358"/>
      <c r="H575" s="217"/>
      <c r="I575" s="54"/>
      <c r="J575" s="218"/>
      <c r="K575" s="218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</row>
    <row r="576" ht="12.75" customHeight="1">
      <c r="A576" s="353"/>
      <c r="B576" s="54"/>
      <c r="E576" s="354"/>
      <c r="F576" s="242"/>
      <c r="G576" s="358"/>
      <c r="H576" s="217"/>
      <c r="I576" s="54"/>
      <c r="J576" s="218"/>
      <c r="K576" s="218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</row>
    <row r="577" ht="12.75" customHeight="1">
      <c r="A577" s="353"/>
      <c r="B577" s="54"/>
      <c r="E577" s="354"/>
      <c r="F577" s="242"/>
      <c r="G577" s="358"/>
      <c r="H577" s="217"/>
      <c r="I577" s="54"/>
      <c r="J577" s="218"/>
      <c r="K577" s="218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</row>
    <row r="578" ht="12.75" customHeight="1">
      <c r="A578" s="353"/>
      <c r="B578" s="54"/>
      <c r="E578" s="354"/>
      <c r="F578" s="242"/>
      <c r="G578" s="358"/>
      <c r="H578" s="217"/>
      <c r="I578" s="54"/>
      <c r="J578" s="218"/>
      <c r="K578" s="218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</row>
    <row r="579" ht="12.75" customHeight="1">
      <c r="A579" s="353"/>
      <c r="B579" s="54"/>
      <c r="E579" s="354"/>
      <c r="F579" s="242"/>
      <c r="G579" s="358"/>
      <c r="H579" s="217"/>
      <c r="I579" s="54"/>
      <c r="J579" s="218"/>
      <c r="K579" s="218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</row>
    <row r="580" ht="12.75" customHeight="1">
      <c r="A580" s="353"/>
      <c r="B580" s="54"/>
      <c r="E580" s="354"/>
      <c r="F580" s="242"/>
      <c r="G580" s="358"/>
      <c r="H580" s="217"/>
      <c r="I580" s="54"/>
      <c r="J580" s="218"/>
      <c r="K580" s="218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</row>
    <row r="581" ht="12.75" customHeight="1">
      <c r="A581" s="353"/>
      <c r="B581" s="54"/>
      <c r="E581" s="354"/>
      <c r="F581" s="242"/>
      <c r="G581" s="358"/>
      <c r="H581" s="217"/>
      <c r="I581" s="54"/>
      <c r="J581" s="218"/>
      <c r="K581" s="218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</row>
    <row r="582" ht="12.75" customHeight="1">
      <c r="A582" s="353"/>
      <c r="B582" s="54"/>
      <c r="E582" s="354"/>
      <c r="F582" s="242"/>
      <c r="G582" s="358"/>
      <c r="H582" s="217"/>
      <c r="I582" s="54"/>
      <c r="J582" s="218"/>
      <c r="K582" s="218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</row>
    <row r="583" ht="12.75" customHeight="1">
      <c r="A583" s="353"/>
      <c r="B583" s="54"/>
      <c r="E583" s="354"/>
      <c r="F583" s="242"/>
      <c r="G583" s="358"/>
      <c r="H583" s="217"/>
      <c r="I583" s="54"/>
      <c r="J583" s="218"/>
      <c r="K583" s="218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</row>
    <row r="584" ht="12.75" customHeight="1">
      <c r="A584" s="353"/>
      <c r="B584" s="54"/>
      <c r="E584" s="354"/>
      <c r="F584" s="242"/>
      <c r="G584" s="358"/>
      <c r="H584" s="217"/>
      <c r="I584" s="54"/>
      <c r="J584" s="218"/>
      <c r="K584" s="218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</row>
    <row r="585" ht="12.75" customHeight="1">
      <c r="A585" s="353"/>
      <c r="B585" s="54"/>
      <c r="E585" s="354"/>
      <c r="F585" s="242"/>
      <c r="G585" s="358"/>
      <c r="H585" s="217"/>
      <c r="I585" s="54"/>
      <c r="J585" s="218"/>
      <c r="K585" s="218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</row>
    <row r="586" ht="12.75" customHeight="1">
      <c r="A586" s="353"/>
      <c r="B586" s="54"/>
      <c r="E586" s="354"/>
      <c r="F586" s="242"/>
      <c r="G586" s="358"/>
      <c r="H586" s="217"/>
      <c r="I586" s="54"/>
      <c r="J586" s="218"/>
      <c r="K586" s="218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</row>
    <row r="587" ht="12.75" customHeight="1">
      <c r="A587" s="353"/>
      <c r="B587" s="54"/>
      <c r="E587" s="354"/>
      <c r="F587" s="242"/>
      <c r="G587" s="358"/>
      <c r="H587" s="217"/>
      <c r="I587" s="54"/>
      <c r="J587" s="218"/>
      <c r="K587" s="218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</row>
    <row r="588" ht="12.75" customHeight="1">
      <c r="A588" s="353"/>
      <c r="B588" s="54"/>
      <c r="E588" s="354"/>
      <c r="F588" s="242"/>
      <c r="G588" s="358"/>
      <c r="H588" s="217"/>
      <c r="I588" s="54"/>
      <c r="J588" s="218"/>
      <c r="K588" s="218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</row>
    <row r="589" ht="12.75" customHeight="1">
      <c r="A589" s="353"/>
      <c r="B589" s="54"/>
      <c r="E589" s="354"/>
      <c r="F589" s="242"/>
      <c r="G589" s="358"/>
      <c r="H589" s="217"/>
      <c r="I589" s="54"/>
      <c r="J589" s="218"/>
      <c r="K589" s="218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</row>
    <row r="590" ht="12.75" customHeight="1">
      <c r="A590" s="353"/>
      <c r="B590" s="54"/>
      <c r="E590" s="354"/>
      <c r="F590" s="242"/>
      <c r="G590" s="358"/>
      <c r="H590" s="217"/>
      <c r="I590" s="54"/>
      <c r="J590" s="218"/>
      <c r="K590" s="218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</row>
    <row r="591" ht="12.75" customHeight="1">
      <c r="A591" s="353"/>
      <c r="B591" s="54"/>
      <c r="E591" s="354"/>
      <c r="F591" s="242"/>
      <c r="G591" s="358"/>
      <c r="H591" s="217"/>
      <c r="I591" s="54"/>
      <c r="J591" s="218"/>
      <c r="K591" s="218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</row>
    <row r="592" ht="12.75" customHeight="1">
      <c r="A592" s="353"/>
      <c r="B592" s="54"/>
      <c r="E592" s="354"/>
      <c r="F592" s="242"/>
      <c r="G592" s="358"/>
      <c r="H592" s="217"/>
      <c r="I592" s="54"/>
      <c r="J592" s="218"/>
      <c r="K592" s="218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</row>
    <row r="593" ht="12.75" customHeight="1">
      <c r="A593" s="353"/>
      <c r="B593" s="54"/>
      <c r="E593" s="354"/>
      <c r="F593" s="242"/>
      <c r="G593" s="358"/>
      <c r="H593" s="217"/>
      <c r="I593" s="54"/>
      <c r="J593" s="218"/>
      <c r="K593" s="218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</row>
    <row r="594" ht="12.75" customHeight="1">
      <c r="A594" s="353"/>
      <c r="B594" s="54"/>
      <c r="E594" s="354"/>
      <c r="F594" s="242"/>
      <c r="G594" s="358"/>
      <c r="H594" s="217"/>
      <c r="I594" s="54"/>
      <c r="J594" s="218"/>
      <c r="K594" s="218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</row>
    <row r="595" ht="12.75" customHeight="1">
      <c r="A595" s="353"/>
      <c r="B595" s="54"/>
      <c r="E595" s="354"/>
      <c r="F595" s="242"/>
      <c r="G595" s="358"/>
      <c r="H595" s="217"/>
      <c r="I595" s="54"/>
      <c r="J595" s="218"/>
      <c r="K595" s="218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</row>
    <row r="596" ht="12.75" customHeight="1">
      <c r="A596" s="353"/>
      <c r="B596" s="54"/>
      <c r="E596" s="354"/>
      <c r="F596" s="242"/>
      <c r="G596" s="358"/>
      <c r="H596" s="217"/>
      <c r="I596" s="54"/>
      <c r="J596" s="218"/>
      <c r="K596" s="218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</row>
    <row r="597" ht="12.75" customHeight="1">
      <c r="A597" s="353"/>
      <c r="B597" s="54"/>
      <c r="E597" s="354"/>
      <c r="F597" s="242"/>
      <c r="G597" s="358"/>
      <c r="H597" s="217"/>
      <c r="I597" s="54"/>
      <c r="J597" s="218"/>
      <c r="K597" s="218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</row>
    <row r="598" ht="12.75" customHeight="1">
      <c r="A598" s="353"/>
      <c r="B598" s="54"/>
      <c r="E598" s="354"/>
      <c r="F598" s="242"/>
      <c r="G598" s="358"/>
      <c r="H598" s="217"/>
      <c r="I598" s="54"/>
      <c r="J598" s="218"/>
      <c r="K598" s="218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</row>
    <row r="599" ht="12.75" customHeight="1">
      <c r="A599" s="353"/>
      <c r="B599" s="54"/>
      <c r="E599" s="354"/>
      <c r="F599" s="242"/>
      <c r="G599" s="358"/>
      <c r="H599" s="217"/>
      <c r="I599" s="54"/>
      <c r="J599" s="218"/>
      <c r="K599" s="218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</row>
    <row r="600" ht="12.75" customHeight="1">
      <c r="A600" s="353"/>
      <c r="B600" s="54"/>
      <c r="E600" s="354"/>
      <c r="F600" s="242"/>
      <c r="G600" s="358"/>
      <c r="H600" s="217"/>
      <c r="I600" s="54"/>
      <c r="J600" s="218"/>
      <c r="K600" s="218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</row>
    <row r="601" ht="12.75" customHeight="1">
      <c r="A601" s="353"/>
      <c r="B601" s="54"/>
      <c r="E601" s="354"/>
      <c r="F601" s="242"/>
      <c r="G601" s="358"/>
      <c r="H601" s="217"/>
      <c r="I601" s="54"/>
      <c r="J601" s="218"/>
      <c r="K601" s="218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</row>
    <row r="602" ht="12.75" customHeight="1">
      <c r="A602" s="353"/>
      <c r="B602" s="54"/>
      <c r="E602" s="354"/>
      <c r="F602" s="242"/>
      <c r="G602" s="358"/>
      <c r="H602" s="217"/>
      <c r="I602" s="54"/>
      <c r="J602" s="218"/>
      <c r="K602" s="218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</row>
    <row r="603" ht="12.75" customHeight="1">
      <c r="A603" s="353"/>
      <c r="B603" s="54"/>
      <c r="E603" s="354"/>
      <c r="F603" s="242"/>
      <c r="G603" s="358"/>
      <c r="H603" s="217"/>
      <c r="I603" s="54"/>
      <c r="J603" s="218"/>
      <c r="K603" s="218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</row>
    <row r="604" ht="12.75" customHeight="1">
      <c r="A604" s="353"/>
      <c r="B604" s="54"/>
      <c r="E604" s="354"/>
      <c r="F604" s="242"/>
      <c r="G604" s="358"/>
      <c r="H604" s="217"/>
      <c r="I604" s="54"/>
      <c r="J604" s="218"/>
      <c r="K604" s="218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</row>
    <row r="605" ht="12.75" customHeight="1">
      <c r="A605" s="353"/>
      <c r="B605" s="54"/>
      <c r="E605" s="354"/>
      <c r="F605" s="242"/>
      <c r="G605" s="358"/>
      <c r="H605" s="217"/>
      <c r="I605" s="54"/>
      <c r="J605" s="218"/>
      <c r="K605" s="218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</row>
    <row r="606" ht="12.75" customHeight="1">
      <c r="A606" s="353"/>
      <c r="B606" s="54"/>
      <c r="E606" s="354"/>
      <c r="F606" s="242"/>
      <c r="G606" s="358"/>
      <c r="H606" s="217"/>
      <c r="I606" s="54"/>
      <c r="J606" s="218"/>
      <c r="K606" s="218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</row>
    <row r="607" ht="12.75" customHeight="1">
      <c r="A607" s="353"/>
      <c r="B607" s="54"/>
      <c r="E607" s="354"/>
      <c r="F607" s="242"/>
      <c r="G607" s="358"/>
      <c r="H607" s="217"/>
      <c r="I607" s="54"/>
      <c r="J607" s="218"/>
      <c r="K607" s="218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</row>
    <row r="608" ht="12.75" customHeight="1">
      <c r="A608" s="353"/>
      <c r="B608" s="54"/>
      <c r="E608" s="354"/>
      <c r="F608" s="242"/>
      <c r="G608" s="358"/>
      <c r="H608" s="217"/>
      <c r="I608" s="54"/>
      <c r="J608" s="218"/>
      <c r="K608" s="218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</row>
    <row r="609" ht="12.75" customHeight="1">
      <c r="A609" s="353"/>
      <c r="B609" s="54"/>
      <c r="E609" s="354"/>
      <c r="F609" s="242"/>
      <c r="G609" s="358"/>
      <c r="H609" s="217"/>
      <c r="I609" s="54"/>
      <c r="J609" s="218"/>
      <c r="K609" s="218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</row>
    <row r="610" ht="12.75" customHeight="1">
      <c r="A610" s="353"/>
      <c r="B610" s="54"/>
      <c r="E610" s="354"/>
      <c r="F610" s="242"/>
      <c r="G610" s="358"/>
      <c r="H610" s="217"/>
      <c r="I610" s="54"/>
      <c r="J610" s="218"/>
      <c r="K610" s="218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</row>
    <row r="611" ht="12.75" customHeight="1">
      <c r="A611" s="353"/>
      <c r="B611" s="54"/>
      <c r="E611" s="354"/>
      <c r="F611" s="242"/>
      <c r="G611" s="358"/>
      <c r="H611" s="217"/>
      <c r="I611" s="54"/>
      <c r="J611" s="218"/>
      <c r="K611" s="218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</row>
    <row r="612" ht="12.75" customHeight="1">
      <c r="A612" s="353"/>
      <c r="B612" s="54"/>
      <c r="E612" s="354"/>
      <c r="F612" s="242"/>
      <c r="G612" s="358"/>
      <c r="H612" s="217"/>
      <c r="I612" s="54"/>
      <c r="J612" s="218"/>
      <c r="K612" s="218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</row>
    <row r="613" ht="12.75" customHeight="1">
      <c r="A613" s="353"/>
      <c r="B613" s="54"/>
      <c r="E613" s="354"/>
      <c r="F613" s="242"/>
      <c r="G613" s="358"/>
      <c r="H613" s="217"/>
      <c r="I613" s="54"/>
      <c r="J613" s="218"/>
      <c r="K613" s="218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</row>
    <row r="614" ht="12.75" customHeight="1">
      <c r="A614" s="353"/>
      <c r="B614" s="54"/>
      <c r="E614" s="354"/>
      <c r="F614" s="242"/>
      <c r="G614" s="358"/>
      <c r="H614" s="217"/>
      <c r="I614" s="54"/>
      <c r="J614" s="218"/>
      <c r="K614" s="218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</row>
    <row r="615" ht="12.75" customHeight="1">
      <c r="A615" s="353"/>
      <c r="B615" s="54"/>
      <c r="E615" s="354"/>
      <c r="F615" s="242"/>
      <c r="G615" s="358"/>
      <c r="H615" s="217"/>
      <c r="I615" s="54"/>
      <c r="J615" s="218"/>
      <c r="K615" s="218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</row>
    <row r="616" ht="12.75" customHeight="1">
      <c r="A616" s="353"/>
      <c r="B616" s="54"/>
      <c r="E616" s="354"/>
      <c r="F616" s="242"/>
      <c r="G616" s="358"/>
      <c r="H616" s="217"/>
      <c r="I616" s="54"/>
      <c r="J616" s="218"/>
      <c r="K616" s="218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</row>
    <row r="617" ht="12.75" customHeight="1">
      <c r="A617" s="353"/>
      <c r="B617" s="54"/>
      <c r="E617" s="354"/>
      <c r="F617" s="242"/>
      <c r="G617" s="358"/>
      <c r="H617" s="217"/>
      <c r="I617" s="54"/>
      <c r="J617" s="218"/>
      <c r="K617" s="218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</row>
    <row r="618" ht="12.75" customHeight="1">
      <c r="A618" s="353"/>
      <c r="B618" s="54"/>
      <c r="E618" s="354"/>
      <c r="F618" s="242"/>
      <c r="G618" s="358"/>
      <c r="H618" s="217"/>
      <c r="I618" s="54"/>
      <c r="J618" s="218"/>
      <c r="K618" s="218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</row>
    <row r="619" ht="12.75" customHeight="1">
      <c r="A619" s="353"/>
      <c r="B619" s="54"/>
      <c r="E619" s="354"/>
      <c r="F619" s="242"/>
      <c r="G619" s="358"/>
      <c r="H619" s="217"/>
      <c r="I619" s="54"/>
      <c r="J619" s="218"/>
      <c r="K619" s="218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</row>
    <row r="620" ht="12.75" customHeight="1">
      <c r="A620" s="353"/>
      <c r="B620" s="54"/>
      <c r="E620" s="354"/>
      <c r="F620" s="242"/>
      <c r="G620" s="358"/>
      <c r="H620" s="217"/>
      <c r="I620" s="54"/>
      <c r="J620" s="218"/>
      <c r="K620" s="218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</row>
    <row r="621" ht="12.75" customHeight="1">
      <c r="A621" s="353"/>
      <c r="B621" s="54"/>
      <c r="E621" s="354"/>
      <c r="F621" s="242"/>
      <c r="G621" s="358"/>
      <c r="H621" s="217"/>
      <c r="I621" s="54"/>
      <c r="J621" s="218"/>
      <c r="K621" s="218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</row>
    <row r="622" ht="12.75" customHeight="1">
      <c r="A622" s="353"/>
      <c r="B622" s="54"/>
      <c r="E622" s="354"/>
      <c r="F622" s="242"/>
      <c r="G622" s="358"/>
      <c r="H622" s="217"/>
      <c r="I622" s="54"/>
      <c r="J622" s="218"/>
      <c r="K622" s="218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</row>
    <row r="623" ht="12.75" customHeight="1">
      <c r="A623" s="353"/>
      <c r="B623" s="54"/>
      <c r="E623" s="354"/>
      <c r="F623" s="242"/>
      <c r="G623" s="358"/>
      <c r="H623" s="217"/>
      <c r="I623" s="54"/>
      <c r="J623" s="218"/>
      <c r="K623" s="218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</row>
    <row r="624" ht="12.75" customHeight="1">
      <c r="A624" s="353"/>
      <c r="B624" s="54"/>
      <c r="E624" s="354"/>
      <c r="F624" s="242"/>
      <c r="G624" s="358"/>
      <c r="H624" s="217"/>
      <c r="I624" s="54"/>
      <c r="J624" s="218"/>
      <c r="K624" s="218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</row>
    <row r="625" ht="12.75" customHeight="1">
      <c r="A625" s="353"/>
      <c r="B625" s="54"/>
      <c r="E625" s="354"/>
      <c r="F625" s="242"/>
      <c r="G625" s="358"/>
      <c r="H625" s="217"/>
      <c r="I625" s="54"/>
      <c r="J625" s="218"/>
      <c r="K625" s="218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</row>
    <row r="626" ht="12.75" customHeight="1">
      <c r="A626" s="353"/>
      <c r="B626" s="54"/>
      <c r="E626" s="354"/>
      <c r="F626" s="242"/>
      <c r="G626" s="358"/>
      <c r="H626" s="217"/>
      <c r="I626" s="54"/>
      <c r="J626" s="218"/>
      <c r="K626" s="218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</row>
    <row r="627" ht="12.75" customHeight="1">
      <c r="A627" s="353"/>
      <c r="B627" s="54"/>
      <c r="E627" s="354"/>
      <c r="F627" s="242"/>
      <c r="G627" s="358"/>
      <c r="H627" s="217"/>
      <c r="I627" s="54"/>
      <c r="J627" s="218"/>
      <c r="K627" s="218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</row>
    <row r="628" ht="12.75" customHeight="1">
      <c r="A628" s="353"/>
      <c r="B628" s="54"/>
      <c r="E628" s="354"/>
      <c r="F628" s="242"/>
      <c r="G628" s="358"/>
      <c r="H628" s="217"/>
      <c r="I628" s="54"/>
      <c r="J628" s="218"/>
      <c r="K628" s="218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</row>
    <row r="629" ht="12.75" customHeight="1">
      <c r="A629" s="353"/>
      <c r="B629" s="54"/>
      <c r="E629" s="354"/>
      <c r="F629" s="242"/>
      <c r="G629" s="358"/>
      <c r="H629" s="217"/>
      <c r="I629" s="54"/>
      <c r="J629" s="218"/>
      <c r="K629" s="218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</row>
    <row r="630" ht="12.75" customHeight="1">
      <c r="A630" s="353"/>
      <c r="B630" s="54"/>
      <c r="E630" s="354"/>
      <c r="F630" s="242"/>
      <c r="G630" s="358"/>
      <c r="H630" s="217"/>
      <c r="I630" s="54"/>
      <c r="J630" s="218"/>
      <c r="K630" s="218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</row>
    <row r="631" ht="12.75" customHeight="1">
      <c r="A631" s="353"/>
      <c r="B631" s="54"/>
      <c r="E631" s="354"/>
      <c r="F631" s="242"/>
      <c r="G631" s="358"/>
      <c r="H631" s="217"/>
      <c r="I631" s="54"/>
      <c r="J631" s="218"/>
      <c r="K631" s="218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</row>
    <row r="632" ht="12.75" customHeight="1">
      <c r="A632" s="353"/>
      <c r="B632" s="54"/>
      <c r="E632" s="354"/>
      <c r="F632" s="242"/>
      <c r="G632" s="358"/>
      <c r="H632" s="217"/>
      <c r="I632" s="54"/>
      <c r="J632" s="218"/>
      <c r="K632" s="218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</row>
    <row r="633" ht="12.75" customHeight="1">
      <c r="A633" s="353"/>
      <c r="B633" s="54"/>
      <c r="E633" s="354"/>
      <c r="F633" s="242"/>
      <c r="G633" s="358"/>
      <c r="H633" s="217"/>
      <c r="I633" s="54"/>
      <c r="J633" s="218"/>
      <c r="K633" s="218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</row>
    <row r="634" ht="12.75" customHeight="1">
      <c r="A634" s="353"/>
      <c r="B634" s="54"/>
      <c r="E634" s="354"/>
      <c r="F634" s="242"/>
      <c r="G634" s="358"/>
      <c r="H634" s="217"/>
      <c r="I634" s="54"/>
      <c r="J634" s="218"/>
      <c r="K634" s="218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</row>
    <row r="635" ht="12.75" customHeight="1">
      <c r="A635" s="353"/>
      <c r="B635" s="54"/>
      <c r="E635" s="354"/>
      <c r="F635" s="242"/>
      <c r="G635" s="358"/>
      <c r="H635" s="217"/>
      <c r="I635" s="54"/>
      <c r="J635" s="218"/>
      <c r="K635" s="218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</row>
    <row r="636" ht="12.75" customHeight="1">
      <c r="A636" s="353"/>
      <c r="B636" s="54"/>
      <c r="E636" s="354"/>
      <c r="F636" s="242"/>
      <c r="G636" s="358"/>
      <c r="H636" s="217"/>
      <c r="I636" s="54"/>
      <c r="J636" s="218"/>
      <c r="K636" s="218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</row>
    <row r="637" ht="12.75" customHeight="1">
      <c r="A637" s="353"/>
      <c r="B637" s="54"/>
      <c r="E637" s="354"/>
      <c r="F637" s="242"/>
      <c r="G637" s="358"/>
      <c r="H637" s="217"/>
      <c r="I637" s="54"/>
      <c r="J637" s="218"/>
      <c r="K637" s="218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</row>
    <row r="638" ht="12.75" customHeight="1">
      <c r="A638" s="353"/>
      <c r="B638" s="54"/>
      <c r="E638" s="354"/>
      <c r="F638" s="242"/>
      <c r="G638" s="358"/>
      <c r="H638" s="217"/>
      <c r="I638" s="54"/>
      <c r="J638" s="218"/>
      <c r="K638" s="218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</row>
    <row r="639" ht="12.75" customHeight="1">
      <c r="A639" s="353"/>
      <c r="B639" s="54"/>
      <c r="E639" s="354"/>
      <c r="F639" s="242"/>
      <c r="G639" s="358"/>
      <c r="H639" s="217"/>
      <c r="I639" s="54"/>
      <c r="J639" s="218"/>
      <c r="K639" s="218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</row>
    <row r="640" ht="12.75" customHeight="1">
      <c r="A640" s="353"/>
      <c r="B640" s="54"/>
      <c r="E640" s="354"/>
      <c r="F640" s="242"/>
      <c r="G640" s="358"/>
      <c r="H640" s="217"/>
      <c r="I640" s="54"/>
      <c r="J640" s="218"/>
      <c r="K640" s="218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</row>
    <row r="641" ht="12.75" customHeight="1">
      <c r="A641" s="353"/>
      <c r="B641" s="54"/>
      <c r="E641" s="354"/>
      <c r="F641" s="242"/>
      <c r="G641" s="358"/>
      <c r="H641" s="217"/>
      <c r="I641" s="54"/>
      <c r="J641" s="218"/>
      <c r="K641" s="218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</row>
    <row r="642" ht="12.75" customHeight="1">
      <c r="A642" s="353"/>
      <c r="B642" s="54"/>
      <c r="E642" s="354"/>
      <c r="F642" s="242"/>
      <c r="G642" s="358"/>
      <c r="H642" s="217"/>
      <c r="I642" s="54"/>
      <c r="J642" s="218"/>
      <c r="K642" s="218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</row>
    <row r="643" ht="12.75" customHeight="1">
      <c r="A643" s="353"/>
      <c r="B643" s="54"/>
      <c r="E643" s="354"/>
      <c r="F643" s="242"/>
      <c r="G643" s="358"/>
      <c r="H643" s="217"/>
      <c r="I643" s="54"/>
      <c r="J643" s="218"/>
      <c r="K643" s="218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</row>
    <row r="644" ht="12.75" customHeight="1">
      <c r="A644" s="353"/>
      <c r="B644" s="54"/>
      <c r="E644" s="354"/>
      <c r="F644" s="242"/>
      <c r="G644" s="358"/>
      <c r="H644" s="217"/>
      <c r="I644" s="54"/>
      <c r="J644" s="218"/>
      <c r="K644" s="218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</row>
    <row r="645" ht="12.75" customHeight="1">
      <c r="A645" s="353"/>
      <c r="B645" s="54"/>
      <c r="E645" s="354"/>
      <c r="F645" s="242"/>
      <c r="G645" s="358"/>
      <c r="H645" s="217"/>
      <c r="I645" s="54"/>
      <c r="J645" s="218"/>
      <c r="K645" s="218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</row>
    <row r="646" ht="12.75" customHeight="1">
      <c r="A646" s="353"/>
      <c r="B646" s="54"/>
      <c r="E646" s="354"/>
      <c r="F646" s="242"/>
      <c r="G646" s="358"/>
      <c r="H646" s="217"/>
      <c r="I646" s="54"/>
      <c r="J646" s="218"/>
      <c r="K646" s="218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</row>
    <row r="647" ht="12.75" customHeight="1">
      <c r="A647" s="353"/>
      <c r="B647" s="54"/>
      <c r="E647" s="354"/>
      <c r="F647" s="242"/>
      <c r="G647" s="358"/>
      <c r="H647" s="217"/>
      <c r="I647" s="54"/>
      <c r="J647" s="218"/>
      <c r="K647" s="218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</row>
    <row r="648" ht="12.75" customHeight="1">
      <c r="A648" s="353"/>
      <c r="B648" s="54"/>
      <c r="E648" s="354"/>
      <c r="F648" s="242"/>
      <c r="G648" s="358"/>
      <c r="H648" s="217"/>
      <c r="I648" s="54"/>
      <c r="J648" s="218"/>
      <c r="K648" s="218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</row>
    <row r="649" ht="12.75" customHeight="1">
      <c r="A649" s="353"/>
      <c r="B649" s="54"/>
      <c r="E649" s="354"/>
      <c r="F649" s="242"/>
      <c r="G649" s="358"/>
      <c r="H649" s="217"/>
      <c r="I649" s="54"/>
      <c r="J649" s="218"/>
      <c r="K649" s="218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</row>
    <row r="650" ht="12.75" customHeight="1">
      <c r="A650" s="353"/>
      <c r="B650" s="54"/>
      <c r="E650" s="354"/>
      <c r="F650" s="242"/>
      <c r="G650" s="358"/>
      <c r="H650" s="217"/>
      <c r="I650" s="54"/>
      <c r="J650" s="218"/>
      <c r="K650" s="218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</row>
    <row r="651" ht="12.75" customHeight="1">
      <c r="A651" s="353"/>
      <c r="B651" s="54"/>
      <c r="E651" s="354"/>
      <c r="F651" s="242"/>
      <c r="G651" s="358"/>
      <c r="H651" s="217"/>
      <c r="I651" s="54"/>
      <c r="J651" s="218"/>
      <c r="K651" s="218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</row>
    <row r="652" ht="12.75" customHeight="1">
      <c r="A652" s="353"/>
      <c r="B652" s="54"/>
      <c r="E652" s="354"/>
      <c r="F652" s="242"/>
      <c r="G652" s="358"/>
      <c r="H652" s="217"/>
      <c r="I652" s="54"/>
      <c r="J652" s="218"/>
      <c r="K652" s="218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</row>
    <row r="653" ht="12.75" customHeight="1">
      <c r="A653" s="353"/>
      <c r="B653" s="54"/>
      <c r="E653" s="354"/>
      <c r="F653" s="242"/>
      <c r="G653" s="358"/>
      <c r="H653" s="217"/>
      <c r="I653" s="54"/>
      <c r="J653" s="218"/>
      <c r="K653" s="218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</row>
    <row r="654" ht="12.75" customHeight="1">
      <c r="A654" s="353"/>
      <c r="B654" s="54"/>
      <c r="E654" s="354"/>
      <c r="F654" s="242"/>
      <c r="G654" s="358"/>
      <c r="H654" s="217"/>
      <c r="I654" s="54"/>
      <c r="J654" s="218"/>
      <c r="K654" s="218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</row>
    <row r="655" ht="12.75" customHeight="1">
      <c r="A655" s="353"/>
      <c r="B655" s="54"/>
      <c r="E655" s="354"/>
      <c r="F655" s="242"/>
      <c r="G655" s="358"/>
      <c r="H655" s="217"/>
      <c r="I655" s="54"/>
      <c r="J655" s="218"/>
      <c r="K655" s="218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</row>
    <row r="656" ht="12.75" customHeight="1">
      <c r="A656" s="353"/>
      <c r="B656" s="54"/>
      <c r="E656" s="354"/>
      <c r="F656" s="242"/>
      <c r="G656" s="358"/>
      <c r="H656" s="217"/>
      <c r="I656" s="54"/>
      <c r="J656" s="218"/>
      <c r="K656" s="218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</row>
    <row r="657" ht="12.75" customHeight="1">
      <c r="A657" s="353"/>
      <c r="B657" s="54"/>
      <c r="E657" s="354"/>
      <c r="F657" s="242"/>
      <c r="G657" s="358"/>
      <c r="H657" s="217"/>
      <c r="I657" s="54"/>
      <c r="J657" s="218"/>
      <c r="K657" s="218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</row>
    <row r="658" ht="12.75" customHeight="1">
      <c r="A658" s="353"/>
      <c r="B658" s="54"/>
      <c r="E658" s="354"/>
      <c r="F658" s="242"/>
      <c r="G658" s="358"/>
      <c r="H658" s="217"/>
      <c r="I658" s="54"/>
      <c r="J658" s="218"/>
      <c r="K658" s="218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</row>
    <row r="659" ht="12.75" customHeight="1">
      <c r="A659" s="353"/>
      <c r="B659" s="54"/>
      <c r="E659" s="354"/>
      <c r="F659" s="242"/>
      <c r="G659" s="358"/>
      <c r="H659" s="217"/>
      <c r="I659" s="54"/>
      <c r="J659" s="218"/>
      <c r="K659" s="218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</row>
    <row r="660" ht="12.75" customHeight="1">
      <c r="A660" s="353"/>
      <c r="B660" s="54"/>
      <c r="E660" s="354"/>
      <c r="F660" s="242"/>
      <c r="G660" s="358"/>
      <c r="H660" s="217"/>
      <c r="I660" s="54"/>
      <c r="J660" s="218"/>
      <c r="K660" s="218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</row>
    <row r="661" ht="12.75" customHeight="1">
      <c r="A661" s="353"/>
      <c r="B661" s="54"/>
      <c r="E661" s="354"/>
      <c r="F661" s="242"/>
      <c r="G661" s="358"/>
      <c r="H661" s="217"/>
      <c r="I661" s="54"/>
      <c r="J661" s="218"/>
      <c r="K661" s="218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</row>
    <row r="662" ht="12.75" customHeight="1">
      <c r="A662" s="353"/>
      <c r="B662" s="54"/>
      <c r="E662" s="354"/>
      <c r="F662" s="242"/>
      <c r="G662" s="358"/>
      <c r="H662" s="217"/>
      <c r="I662" s="54"/>
      <c r="J662" s="218"/>
      <c r="K662" s="218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</row>
    <row r="663" ht="12.75" customHeight="1">
      <c r="A663" s="353"/>
      <c r="B663" s="54"/>
      <c r="E663" s="354"/>
      <c r="F663" s="242"/>
      <c r="G663" s="358"/>
      <c r="H663" s="217"/>
      <c r="I663" s="54"/>
      <c r="J663" s="218"/>
      <c r="K663" s="218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</row>
    <row r="664" ht="12.75" customHeight="1">
      <c r="A664" s="353"/>
      <c r="B664" s="54"/>
      <c r="E664" s="354"/>
      <c r="F664" s="242"/>
      <c r="G664" s="358"/>
      <c r="H664" s="217"/>
      <c r="I664" s="54"/>
      <c r="J664" s="218"/>
      <c r="K664" s="218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</row>
    <row r="665" ht="12.75" customHeight="1">
      <c r="A665" s="353"/>
      <c r="B665" s="54"/>
      <c r="E665" s="354"/>
      <c r="F665" s="242"/>
      <c r="G665" s="358"/>
      <c r="H665" s="217"/>
      <c r="I665" s="54"/>
      <c r="J665" s="218"/>
      <c r="K665" s="218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</row>
    <row r="666" ht="12.75" customHeight="1">
      <c r="A666" s="353"/>
      <c r="B666" s="54"/>
      <c r="E666" s="354"/>
      <c r="F666" s="242"/>
      <c r="G666" s="358"/>
      <c r="H666" s="217"/>
      <c r="I666" s="54"/>
      <c r="J666" s="218"/>
      <c r="K666" s="218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</row>
    <row r="667" ht="12.75" customHeight="1">
      <c r="A667" s="353"/>
      <c r="B667" s="54"/>
      <c r="E667" s="354"/>
      <c r="F667" s="242"/>
      <c r="G667" s="358"/>
      <c r="H667" s="217"/>
      <c r="I667" s="54"/>
      <c r="J667" s="218"/>
      <c r="K667" s="218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</row>
    <row r="668" ht="12.75" customHeight="1">
      <c r="A668" s="353"/>
      <c r="B668" s="54"/>
      <c r="E668" s="354"/>
      <c r="F668" s="242"/>
      <c r="G668" s="358"/>
      <c r="H668" s="217"/>
      <c r="I668" s="54"/>
      <c r="J668" s="218"/>
      <c r="K668" s="218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</row>
    <row r="669" ht="12.75" customHeight="1">
      <c r="A669" s="353"/>
      <c r="B669" s="54"/>
      <c r="E669" s="354"/>
      <c r="F669" s="242"/>
      <c r="G669" s="358"/>
      <c r="H669" s="217"/>
      <c r="I669" s="54"/>
      <c r="J669" s="218"/>
      <c r="K669" s="218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</row>
    <row r="670" ht="12.75" customHeight="1">
      <c r="A670" s="353"/>
      <c r="B670" s="54"/>
      <c r="E670" s="354"/>
      <c r="F670" s="242"/>
      <c r="G670" s="358"/>
      <c r="H670" s="217"/>
      <c r="I670" s="54"/>
      <c r="J670" s="218"/>
      <c r="K670" s="218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</row>
    <row r="671" ht="12.75" customHeight="1">
      <c r="A671" s="353"/>
      <c r="B671" s="54"/>
      <c r="E671" s="354"/>
      <c r="F671" s="242"/>
      <c r="G671" s="358"/>
      <c r="H671" s="217"/>
      <c r="I671" s="54"/>
      <c r="J671" s="218"/>
      <c r="K671" s="218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</row>
    <row r="672" ht="12.75" customHeight="1">
      <c r="A672" s="353"/>
      <c r="B672" s="54"/>
      <c r="E672" s="354"/>
      <c r="F672" s="242"/>
      <c r="G672" s="358"/>
      <c r="H672" s="217"/>
      <c r="I672" s="54"/>
      <c r="J672" s="218"/>
      <c r="K672" s="218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</row>
    <row r="673" ht="12.75" customHeight="1">
      <c r="A673" s="353"/>
      <c r="B673" s="54"/>
      <c r="E673" s="354"/>
      <c r="F673" s="242"/>
      <c r="G673" s="358"/>
      <c r="H673" s="217"/>
      <c r="I673" s="54"/>
      <c r="J673" s="218"/>
      <c r="K673" s="218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</row>
    <row r="674" ht="12.75" customHeight="1">
      <c r="A674" s="353"/>
      <c r="B674" s="54"/>
      <c r="E674" s="354"/>
      <c r="F674" s="242"/>
      <c r="G674" s="358"/>
      <c r="H674" s="217"/>
      <c r="I674" s="54"/>
      <c r="J674" s="218"/>
      <c r="K674" s="218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</row>
    <row r="675" ht="12.75" customHeight="1">
      <c r="A675" s="353"/>
      <c r="B675" s="54"/>
      <c r="E675" s="354"/>
      <c r="F675" s="242"/>
      <c r="G675" s="358"/>
      <c r="H675" s="217"/>
      <c r="I675" s="54"/>
      <c r="J675" s="218"/>
      <c r="K675" s="218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</row>
    <row r="676" ht="12.75" customHeight="1">
      <c r="A676" s="353"/>
      <c r="B676" s="54"/>
      <c r="E676" s="354"/>
      <c r="F676" s="242"/>
      <c r="G676" s="358"/>
      <c r="H676" s="217"/>
      <c r="I676" s="54"/>
      <c r="J676" s="218"/>
      <c r="K676" s="218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</row>
    <row r="677" ht="12.75" customHeight="1">
      <c r="A677" s="353"/>
      <c r="B677" s="54"/>
      <c r="E677" s="354"/>
      <c r="F677" s="242"/>
      <c r="G677" s="358"/>
      <c r="H677" s="217"/>
      <c r="I677" s="54"/>
      <c r="J677" s="218"/>
      <c r="K677" s="218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</row>
    <row r="678" ht="12.75" customHeight="1">
      <c r="A678" s="353"/>
      <c r="B678" s="54"/>
      <c r="E678" s="354"/>
      <c r="F678" s="242"/>
      <c r="G678" s="358"/>
      <c r="H678" s="217"/>
      <c r="I678" s="54"/>
      <c r="J678" s="218"/>
      <c r="K678" s="218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</row>
    <row r="679" ht="12.75" customHeight="1">
      <c r="A679" s="353"/>
      <c r="B679" s="54"/>
      <c r="E679" s="354"/>
      <c r="F679" s="242"/>
      <c r="G679" s="358"/>
      <c r="H679" s="217"/>
      <c r="I679" s="54"/>
      <c r="J679" s="218"/>
      <c r="K679" s="218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</row>
    <row r="680" ht="12.75" customHeight="1">
      <c r="A680" s="353"/>
      <c r="B680" s="54"/>
      <c r="E680" s="354"/>
      <c r="F680" s="242"/>
      <c r="G680" s="358"/>
      <c r="H680" s="217"/>
      <c r="I680" s="54"/>
      <c r="J680" s="218"/>
      <c r="K680" s="218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</row>
    <row r="681" ht="12.75" customHeight="1">
      <c r="A681" s="353"/>
      <c r="B681" s="54"/>
      <c r="E681" s="354"/>
      <c r="F681" s="242"/>
      <c r="G681" s="358"/>
      <c r="H681" s="217"/>
      <c r="I681" s="54"/>
      <c r="J681" s="218"/>
      <c r="K681" s="218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</row>
    <row r="682" ht="12.75" customHeight="1">
      <c r="A682" s="353"/>
      <c r="B682" s="54"/>
      <c r="E682" s="354"/>
      <c r="F682" s="242"/>
      <c r="G682" s="358"/>
      <c r="H682" s="217"/>
      <c r="I682" s="54"/>
      <c r="J682" s="218"/>
      <c r="K682" s="218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</row>
    <row r="683" ht="12.75" customHeight="1">
      <c r="A683" s="353"/>
      <c r="B683" s="54"/>
      <c r="E683" s="354"/>
      <c r="F683" s="242"/>
      <c r="G683" s="358"/>
      <c r="H683" s="217"/>
      <c r="I683" s="54"/>
      <c r="J683" s="218"/>
      <c r="K683" s="218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</row>
    <row r="684" ht="12.75" customHeight="1">
      <c r="A684" s="353"/>
      <c r="B684" s="54"/>
      <c r="E684" s="354"/>
      <c r="F684" s="242"/>
      <c r="G684" s="358"/>
      <c r="H684" s="217"/>
      <c r="I684" s="54"/>
      <c r="J684" s="218"/>
      <c r="K684" s="218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</row>
    <row r="685" ht="12.75" customHeight="1">
      <c r="A685" s="353"/>
      <c r="B685" s="54"/>
      <c r="E685" s="354"/>
      <c r="F685" s="242"/>
      <c r="G685" s="358"/>
      <c r="H685" s="217"/>
      <c r="I685" s="54"/>
      <c r="J685" s="218"/>
      <c r="K685" s="218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</row>
    <row r="686" ht="12.75" customHeight="1">
      <c r="A686" s="353"/>
      <c r="B686" s="54"/>
      <c r="E686" s="354"/>
      <c r="F686" s="242"/>
      <c r="G686" s="358"/>
      <c r="H686" s="217"/>
      <c r="I686" s="54"/>
      <c r="J686" s="218"/>
      <c r="K686" s="218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</row>
    <row r="687" ht="12.75" customHeight="1">
      <c r="A687" s="353"/>
      <c r="B687" s="54"/>
      <c r="E687" s="354"/>
      <c r="F687" s="242"/>
      <c r="G687" s="358"/>
      <c r="H687" s="217"/>
      <c r="I687" s="54"/>
      <c r="J687" s="218"/>
      <c r="K687" s="218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</row>
    <row r="688" ht="12.75" customHeight="1">
      <c r="A688" s="353"/>
      <c r="B688" s="54"/>
      <c r="E688" s="354"/>
      <c r="F688" s="242"/>
      <c r="G688" s="358"/>
      <c r="H688" s="217"/>
      <c r="I688" s="54"/>
      <c r="J688" s="218"/>
      <c r="K688" s="218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</row>
    <row r="689" ht="12.75" customHeight="1">
      <c r="A689" s="353"/>
      <c r="B689" s="54"/>
      <c r="E689" s="354"/>
      <c r="F689" s="242"/>
      <c r="G689" s="358"/>
      <c r="H689" s="217"/>
      <c r="I689" s="54"/>
      <c r="J689" s="218"/>
      <c r="K689" s="218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</row>
    <row r="690" ht="12.75" customHeight="1">
      <c r="A690" s="353"/>
      <c r="B690" s="54"/>
      <c r="E690" s="354"/>
      <c r="F690" s="242"/>
      <c r="G690" s="358"/>
      <c r="H690" s="217"/>
      <c r="I690" s="54"/>
      <c r="J690" s="218"/>
      <c r="K690" s="218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</row>
    <row r="691" ht="12.75" customHeight="1">
      <c r="A691" s="353"/>
      <c r="B691" s="54"/>
      <c r="E691" s="354"/>
      <c r="F691" s="242"/>
      <c r="G691" s="358"/>
      <c r="H691" s="217"/>
      <c r="I691" s="54"/>
      <c r="J691" s="218"/>
      <c r="K691" s="218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</row>
    <row r="692" ht="12.75" customHeight="1">
      <c r="A692" s="353"/>
      <c r="B692" s="54"/>
      <c r="E692" s="354"/>
      <c r="F692" s="242"/>
      <c r="G692" s="358"/>
      <c r="H692" s="217"/>
      <c r="I692" s="54"/>
      <c r="J692" s="218"/>
      <c r="K692" s="218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</row>
    <row r="693" ht="12.75" customHeight="1">
      <c r="A693" s="353"/>
      <c r="B693" s="54"/>
      <c r="E693" s="354"/>
      <c r="F693" s="242"/>
      <c r="G693" s="358"/>
      <c r="H693" s="217"/>
      <c r="I693" s="54"/>
      <c r="J693" s="218"/>
      <c r="K693" s="218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</row>
    <row r="694" ht="12.75" customHeight="1">
      <c r="A694" s="353"/>
      <c r="B694" s="54"/>
      <c r="E694" s="354"/>
      <c r="F694" s="242"/>
      <c r="G694" s="358"/>
      <c r="H694" s="217"/>
      <c r="I694" s="54"/>
      <c r="J694" s="218"/>
      <c r="K694" s="218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</row>
    <row r="695" ht="12.75" customHeight="1">
      <c r="A695" s="353"/>
      <c r="B695" s="54"/>
      <c r="E695" s="354"/>
      <c r="F695" s="242"/>
      <c r="G695" s="358"/>
      <c r="H695" s="217"/>
      <c r="I695" s="54"/>
      <c r="J695" s="218"/>
      <c r="K695" s="218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</row>
    <row r="696" ht="12.75" customHeight="1">
      <c r="A696" s="353"/>
      <c r="B696" s="54"/>
      <c r="E696" s="354"/>
      <c r="F696" s="242"/>
      <c r="G696" s="358"/>
      <c r="H696" s="217"/>
      <c r="I696" s="54"/>
      <c r="J696" s="218"/>
      <c r="K696" s="218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</row>
    <row r="697" ht="12.75" customHeight="1">
      <c r="A697" s="353"/>
      <c r="B697" s="54"/>
      <c r="E697" s="354"/>
      <c r="F697" s="242"/>
      <c r="G697" s="358"/>
      <c r="H697" s="217"/>
      <c r="I697" s="54"/>
      <c r="J697" s="218"/>
      <c r="K697" s="218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</row>
    <row r="698" ht="12.75" customHeight="1">
      <c r="A698" s="353"/>
      <c r="B698" s="54"/>
      <c r="E698" s="354"/>
      <c r="F698" s="242"/>
      <c r="G698" s="358"/>
      <c r="H698" s="217"/>
      <c r="I698" s="54"/>
      <c r="J698" s="218"/>
      <c r="K698" s="218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</row>
    <row r="699" ht="12.75" customHeight="1">
      <c r="A699" s="353"/>
      <c r="B699" s="54"/>
      <c r="E699" s="354"/>
      <c r="F699" s="242"/>
      <c r="G699" s="358"/>
      <c r="H699" s="217"/>
      <c r="I699" s="54"/>
      <c r="J699" s="218"/>
      <c r="K699" s="218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</row>
    <row r="700" ht="12.75" customHeight="1">
      <c r="A700" s="353"/>
      <c r="B700" s="54"/>
      <c r="E700" s="354"/>
      <c r="F700" s="242"/>
      <c r="G700" s="358"/>
      <c r="H700" s="217"/>
      <c r="I700" s="54"/>
      <c r="J700" s="218"/>
      <c r="K700" s="218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</row>
    <row r="701" ht="12.75" customHeight="1">
      <c r="A701" s="353"/>
      <c r="B701" s="54"/>
      <c r="E701" s="354"/>
      <c r="F701" s="242"/>
      <c r="G701" s="358"/>
      <c r="H701" s="217"/>
      <c r="I701" s="54"/>
      <c r="J701" s="218"/>
      <c r="K701" s="218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</row>
    <row r="702" ht="12.75" customHeight="1">
      <c r="A702" s="353"/>
      <c r="B702" s="54"/>
      <c r="E702" s="354"/>
      <c r="F702" s="242"/>
      <c r="G702" s="358"/>
      <c r="H702" s="217"/>
      <c r="I702" s="54"/>
      <c r="J702" s="218"/>
      <c r="K702" s="218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</row>
    <row r="703" ht="12.75" customHeight="1">
      <c r="A703" s="353"/>
      <c r="B703" s="54"/>
      <c r="E703" s="354"/>
      <c r="F703" s="242"/>
      <c r="G703" s="358"/>
      <c r="H703" s="217"/>
      <c r="I703" s="54"/>
      <c r="J703" s="218"/>
      <c r="K703" s="218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</row>
    <row r="704" ht="12.75" customHeight="1">
      <c r="A704" s="353"/>
      <c r="B704" s="54"/>
      <c r="E704" s="354"/>
      <c r="F704" s="242"/>
      <c r="G704" s="358"/>
      <c r="H704" s="217"/>
      <c r="I704" s="54"/>
      <c r="J704" s="218"/>
      <c r="K704" s="218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</row>
    <row r="705" ht="12.75" customHeight="1">
      <c r="A705" s="353"/>
      <c r="B705" s="54"/>
      <c r="E705" s="354"/>
      <c r="F705" s="242"/>
      <c r="G705" s="358"/>
      <c r="H705" s="217"/>
      <c r="I705" s="54"/>
      <c r="J705" s="218"/>
      <c r="K705" s="218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</row>
    <row r="706" ht="12.75" customHeight="1">
      <c r="A706" s="353"/>
      <c r="B706" s="54"/>
      <c r="E706" s="354"/>
      <c r="F706" s="242"/>
      <c r="G706" s="358"/>
      <c r="H706" s="217"/>
      <c r="I706" s="54"/>
      <c r="J706" s="218"/>
      <c r="K706" s="218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</row>
    <row r="707" ht="12.75" customHeight="1">
      <c r="A707" s="353"/>
      <c r="B707" s="54"/>
      <c r="E707" s="354"/>
      <c r="F707" s="242"/>
      <c r="G707" s="358"/>
      <c r="H707" s="217"/>
      <c r="I707" s="54"/>
      <c r="J707" s="218"/>
      <c r="K707" s="218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</row>
    <row r="708" ht="12.75" customHeight="1">
      <c r="A708" s="353"/>
      <c r="B708" s="54"/>
      <c r="E708" s="354"/>
      <c r="F708" s="242"/>
      <c r="G708" s="358"/>
      <c r="H708" s="217"/>
      <c r="I708" s="54"/>
      <c r="J708" s="218"/>
      <c r="K708" s="218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</row>
    <row r="709" ht="12.75" customHeight="1">
      <c r="A709" s="353"/>
      <c r="B709" s="54"/>
      <c r="E709" s="354"/>
      <c r="F709" s="242"/>
      <c r="G709" s="358"/>
      <c r="H709" s="217"/>
      <c r="I709" s="54"/>
      <c r="J709" s="218"/>
      <c r="K709" s="218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</row>
    <row r="710" ht="12.75" customHeight="1">
      <c r="A710" s="353"/>
      <c r="B710" s="54"/>
      <c r="E710" s="354"/>
      <c r="F710" s="242"/>
      <c r="G710" s="358"/>
      <c r="H710" s="217"/>
      <c r="I710" s="54"/>
      <c r="J710" s="218"/>
      <c r="K710" s="218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</row>
    <row r="711" ht="12.75" customHeight="1">
      <c r="A711" s="353"/>
      <c r="B711" s="54"/>
      <c r="E711" s="354"/>
      <c r="F711" s="242"/>
      <c r="G711" s="358"/>
      <c r="H711" s="217"/>
      <c r="I711" s="54"/>
      <c r="J711" s="218"/>
      <c r="K711" s="218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</row>
    <row r="712" ht="12.75" customHeight="1">
      <c r="A712" s="353"/>
      <c r="B712" s="54"/>
      <c r="E712" s="354"/>
      <c r="F712" s="242"/>
      <c r="G712" s="358"/>
      <c r="H712" s="217"/>
      <c r="I712" s="54"/>
      <c r="J712" s="218"/>
      <c r="K712" s="218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</row>
    <row r="713" ht="12.75" customHeight="1">
      <c r="A713" s="353"/>
      <c r="B713" s="54"/>
      <c r="E713" s="354"/>
      <c r="F713" s="242"/>
      <c r="G713" s="358"/>
      <c r="H713" s="217"/>
      <c r="I713" s="54"/>
      <c r="J713" s="218"/>
      <c r="K713" s="218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</row>
    <row r="714" ht="12.75" customHeight="1">
      <c r="A714" s="353"/>
      <c r="B714" s="54"/>
      <c r="E714" s="354"/>
      <c r="F714" s="242"/>
      <c r="G714" s="358"/>
      <c r="H714" s="217"/>
      <c r="I714" s="54"/>
      <c r="J714" s="218"/>
      <c r="K714" s="218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</row>
    <row r="715" ht="12.75" customHeight="1">
      <c r="A715" s="353"/>
      <c r="B715" s="54"/>
      <c r="E715" s="354"/>
      <c r="F715" s="242"/>
      <c r="G715" s="358"/>
      <c r="H715" s="217"/>
      <c r="I715" s="54"/>
      <c r="J715" s="218"/>
      <c r="K715" s="218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</row>
    <row r="716" ht="12.75" customHeight="1">
      <c r="A716" s="353"/>
      <c r="B716" s="54"/>
      <c r="E716" s="354"/>
      <c r="F716" s="242"/>
      <c r="G716" s="358"/>
      <c r="H716" s="217"/>
      <c r="I716" s="54"/>
      <c r="J716" s="218"/>
      <c r="K716" s="218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</row>
    <row r="717" ht="12.75" customHeight="1">
      <c r="A717" s="353"/>
      <c r="B717" s="54"/>
      <c r="E717" s="354"/>
      <c r="F717" s="242"/>
      <c r="G717" s="358"/>
      <c r="H717" s="217"/>
      <c r="I717" s="54"/>
      <c r="J717" s="218"/>
      <c r="K717" s="218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</row>
    <row r="718" ht="12.75" customHeight="1">
      <c r="A718" s="353"/>
      <c r="B718" s="54"/>
      <c r="E718" s="354"/>
      <c r="F718" s="242"/>
      <c r="G718" s="358"/>
      <c r="H718" s="217"/>
      <c r="I718" s="54"/>
      <c r="J718" s="218"/>
      <c r="K718" s="218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</row>
    <row r="719" ht="12.75" customHeight="1">
      <c r="A719" s="353"/>
      <c r="B719" s="54"/>
      <c r="E719" s="354"/>
      <c r="F719" s="242"/>
      <c r="G719" s="358"/>
      <c r="H719" s="217"/>
      <c r="I719" s="54"/>
      <c r="J719" s="218"/>
      <c r="K719" s="218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</row>
    <row r="720" ht="12.75" customHeight="1">
      <c r="A720" s="353"/>
      <c r="B720" s="54"/>
      <c r="E720" s="354"/>
      <c r="F720" s="242"/>
      <c r="G720" s="358"/>
      <c r="H720" s="217"/>
      <c r="I720" s="54"/>
      <c r="J720" s="218"/>
      <c r="K720" s="218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</row>
    <row r="721" ht="12.75" customHeight="1">
      <c r="A721" s="353"/>
      <c r="B721" s="54"/>
      <c r="E721" s="354"/>
      <c r="F721" s="242"/>
      <c r="G721" s="358"/>
      <c r="H721" s="217"/>
      <c r="I721" s="54"/>
      <c r="J721" s="218"/>
      <c r="K721" s="218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</row>
    <row r="722" ht="12.75" customHeight="1">
      <c r="A722" s="353"/>
      <c r="B722" s="54"/>
      <c r="E722" s="354"/>
      <c r="F722" s="242"/>
      <c r="G722" s="358"/>
      <c r="H722" s="217"/>
      <c r="I722" s="54"/>
      <c r="J722" s="218"/>
      <c r="K722" s="218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</row>
    <row r="723" ht="12.75" customHeight="1">
      <c r="A723" s="353"/>
      <c r="B723" s="54"/>
      <c r="E723" s="354"/>
      <c r="F723" s="242"/>
      <c r="G723" s="358"/>
      <c r="H723" s="217"/>
      <c r="I723" s="54"/>
      <c r="J723" s="218"/>
      <c r="K723" s="218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</row>
    <row r="724" ht="12.75" customHeight="1">
      <c r="A724" s="353"/>
      <c r="B724" s="54"/>
      <c r="E724" s="354"/>
      <c r="F724" s="242"/>
      <c r="G724" s="358"/>
      <c r="H724" s="217"/>
      <c r="I724" s="54"/>
      <c r="J724" s="218"/>
      <c r="K724" s="218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</row>
    <row r="725" ht="12.75" customHeight="1">
      <c r="A725" s="353"/>
      <c r="B725" s="54"/>
      <c r="E725" s="354"/>
      <c r="F725" s="242"/>
      <c r="G725" s="358"/>
      <c r="H725" s="217"/>
      <c r="I725" s="54"/>
      <c r="J725" s="218"/>
      <c r="K725" s="218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</row>
    <row r="726" ht="12.75" customHeight="1">
      <c r="A726" s="353"/>
      <c r="B726" s="54"/>
      <c r="E726" s="354"/>
      <c r="F726" s="242"/>
      <c r="G726" s="358"/>
      <c r="H726" s="217"/>
      <c r="I726" s="54"/>
      <c r="J726" s="218"/>
      <c r="K726" s="218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</row>
    <row r="727" ht="12.75" customHeight="1">
      <c r="A727" s="353"/>
      <c r="B727" s="54"/>
      <c r="E727" s="354"/>
      <c r="F727" s="242"/>
      <c r="G727" s="358"/>
      <c r="H727" s="217"/>
      <c r="I727" s="54"/>
      <c r="J727" s="218"/>
      <c r="K727" s="218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</row>
    <row r="728" ht="12.75" customHeight="1">
      <c r="A728" s="353"/>
      <c r="B728" s="54"/>
      <c r="E728" s="354"/>
      <c r="F728" s="242"/>
      <c r="G728" s="358"/>
      <c r="H728" s="217"/>
      <c r="I728" s="54"/>
      <c r="J728" s="218"/>
      <c r="K728" s="218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</row>
    <row r="729" ht="12.75" customHeight="1">
      <c r="A729" s="353"/>
      <c r="B729" s="54"/>
      <c r="E729" s="354"/>
      <c r="F729" s="242"/>
      <c r="G729" s="358"/>
      <c r="H729" s="217"/>
      <c r="I729" s="54"/>
      <c r="J729" s="218"/>
      <c r="K729" s="218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</row>
    <row r="730" ht="12.75" customHeight="1">
      <c r="A730" s="353"/>
      <c r="B730" s="54"/>
      <c r="E730" s="354"/>
      <c r="F730" s="242"/>
      <c r="G730" s="358"/>
      <c r="H730" s="217"/>
      <c r="I730" s="54"/>
      <c r="J730" s="218"/>
      <c r="K730" s="218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</row>
    <row r="731" ht="12.75" customHeight="1">
      <c r="A731" s="353"/>
      <c r="B731" s="54"/>
      <c r="E731" s="354"/>
      <c r="F731" s="242"/>
      <c r="G731" s="358"/>
      <c r="H731" s="217"/>
      <c r="I731" s="54"/>
      <c r="J731" s="218"/>
      <c r="K731" s="218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</row>
    <row r="732" ht="12.75" customHeight="1">
      <c r="A732" s="353"/>
      <c r="B732" s="54"/>
      <c r="E732" s="354"/>
      <c r="F732" s="242"/>
      <c r="G732" s="358"/>
      <c r="H732" s="217"/>
      <c r="I732" s="54"/>
      <c r="J732" s="218"/>
      <c r="K732" s="218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</row>
    <row r="733" ht="12.75" customHeight="1">
      <c r="A733" s="353"/>
      <c r="B733" s="54"/>
      <c r="E733" s="354"/>
      <c r="F733" s="242"/>
      <c r="G733" s="358"/>
      <c r="H733" s="217"/>
      <c r="I733" s="54"/>
      <c r="J733" s="218"/>
      <c r="K733" s="218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</row>
    <row r="734" ht="12.75" customHeight="1">
      <c r="A734" s="353"/>
      <c r="B734" s="54"/>
      <c r="E734" s="354"/>
      <c r="F734" s="242"/>
      <c r="G734" s="358"/>
      <c r="H734" s="217"/>
      <c r="I734" s="54"/>
      <c r="J734" s="218"/>
      <c r="K734" s="218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</row>
    <row r="735" ht="12.75" customHeight="1">
      <c r="A735" s="353"/>
      <c r="B735" s="54"/>
      <c r="E735" s="354"/>
      <c r="F735" s="242"/>
      <c r="G735" s="358"/>
      <c r="H735" s="217"/>
      <c r="I735" s="54"/>
      <c r="J735" s="218"/>
      <c r="K735" s="218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</row>
    <row r="736" ht="12.75" customHeight="1">
      <c r="A736" s="353"/>
      <c r="B736" s="54"/>
      <c r="E736" s="354"/>
      <c r="F736" s="242"/>
      <c r="G736" s="358"/>
      <c r="H736" s="217"/>
      <c r="I736" s="54"/>
      <c r="J736" s="218"/>
      <c r="K736" s="218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</row>
    <row r="737" ht="12.75" customHeight="1">
      <c r="A737" s="353"/>
      <c r="B737" s="54"/>
      <c r="E737" s="354"/>
      <c r="F737" s="242"/>
      <c r="G737" s="358"/>
      <c r="H737" s="217"/>
      <c r="I737" s="54"/>
      <c r="J737" s="218"/>
      <c r="K737" s="218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</row>
    <row r="738" ht="12.75" customHeight="1">
      <c r="A738" s="353"/>
      <c r="B738" s="54"/>
      <c r="E738" s="354"/>
      <c r="F738" s="242"/>
      <c r="G738" s="358"/>
      <c r="H738" s="217"/>
      <c r="I738" s="54"/>
      <c r="J738" s="218"/>
      <c r="K738" s="218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</row>
    <row r="739" ht="12.75" customHeight="1">
      <c r="A739" s="353"/>
      <c r="B739" s="54"/>
      <c r="E739" s="354"/>
      <c r="F739" s="242"/>
      <c r="G739" s="358"/>
      <c r="H739" s="217"/>
      <c r="I739" s="54"/>
      <c r="J739" s="218"/>
      <c r="K739" s="218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</row>
    <row r="740" ht="12.75" customHeight="1">
      <c r="A740" s="353"/>
      <c r="B740" s="54"/>
      <c r="E740" s="354"/>
      <c r="F740" s="242"/>
      <c r="G740" s="358"/>
      <c r="H740" s="217"/>
      <c r="I740" s="54"/>
      <c r="J740" s="218"/>
      <c r="K740" s="218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</row>
    <row r="741" ht="12.75" customHeight="1">
      <c r="A741" s="353"/>
      <c r="B741" s="54"/>
      <c r="E741" s="354"/>
      <c r="F741" s="242"/>
      <c r="G741" s="358"/>
      <c r="H741" s="217"/>
      <c r="I741" s="54"/>
      <c r="J741" s="218"/>
      <c r="K741" s="218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</row>
    <row r="742" ht="12.75" customHeight="1">
      <c r="A742" s="353"/>
      <c r="B742" s="54"/>
      <c r="E742" s="354"/>
      <c r="F742" s="242"/>
      <c r="G742" s="358"/>
      <c r="H742" s="217"/>
      <c r="I742" s="54"/>
      <c r="J742" s="218"/>
      <c r="K742" s="218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</row>
    <row r="743" ht="12.75" customHeight="1">
      <c r="A743" s="353"/>
      <c r="B743" s="54"/>
      <c r="E743" s="354"/>
      <c r="F743" s="242"/>
      <c r="G743" s="358"/>
      <c r="H743" s="217"/>
      <c r="I743" s="54"/>
      <c r="J743" s="218"/>
      <c r="K743" s="218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</row>
    <row r="744" ht="12.75" customHeight="1">
      <c r="A744" s="353"/>
      <c r="B744" s="54"/>
      <c r="E744" s="354"/>
      <c r="F744" s="242"/>
      <c r="G744" s="358"/>
      <c r="H744" s="217"/>
      <c r="I744" s="54"/>
      <c r="J744" s="218"/>
      <c r="K744" s="218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</row>
    <row r="745" ht="12.75" customHeight="1">
      <c r="A745" s="353"/>
      <c r="B745" s="54"/>
      <c r="E745" s="354"/>
      <c r="F745" s="242"/>
      <c r="G745" s="358"/>
      <c r="H745" s="217"/>
      <c r="I745" s="54"/>
      <c r="J745" s="218"/>
      <c r="K745" s="218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</row>
    <row r="746" ht="12.75" customHeight="1">
      <c r="A746" s="353"/>
      <c r="B746" s="54"/>
      <c r="E746" s="354"/>
      <c r="F746" s="242"/>
      <c r="G746" s="358"/>
      <c r="H746" s="217"/>
      <c r="I746" s="54"/>
      <c r="J746" s="218"/>
      <c r="K746" s="218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</row>
    <row r="747" ht="12.75" customHeight="1">
      <c r="A747" s="353"/>
      <c r="B747" s="54"/>
      <c r="E747" s="354"/>
      <c r="F747" s="242"/>
      <c r="G747" s="358"/>
      <c r="H747" s="217"/>
      <c r="I747" s="54"/>
      <c r="J747" s="218"/>
      <c r="K747" s="218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</row>
    <row r="748" ht="12.75" customHeight="1">
      <c r="A748" s="353"/>
      <c r="B748" s="54"/>
      <c r="E748" s="354"/>
      <c r="F748" s="242"/>
      <c r="G748" s="358"/>
      <c r="H748" s="217"/>
      <c r="I748" s="54"/>
      <c r="J748" s="218"/>
      <c r="K748" s="218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</row>
    <row r="749" ht="12.75" customHeight="1">
      <c r="A749" s="353"/>
      <c r="B749" s="54"/>
      <c r="E749" s="354"/>
      <c r="F749" s="242"/>
      <c r="G749" s="358"/>
      <c r="H749" s="217"/>
      <c r="I749" s="54"/>
      <c r="J749" s="218"/>
      <c r="K749" s="218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</row>
    <row r="750" ht="12.75" customHeight="1">
      <c r="A750" s="353"/>
      <c r="B750" s="54"/>
      <c r="E750" s="354"/>
      <c r="F750" s="242"/>
      <c r="G750" s="358"/>
      <c r="H750" s="217"/>
      <c r="I750" s="54"/>
      <c r="J750" s="218"/>
      <c r="K750" s="218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</row>
    <row r="751" ht="12.75" customHeight="1">
      <c r="A751" s="353"/>
      <c r="B751" s="54"/>
      <c r="E751" s="354"/>
      <c r="F751" s="242"/>
      <c r="G751" s="358"/>
      <c r="H751" s="217"/>
      <c r="I751" s="54"/>
      <c r="J751" s="218"/>
      <c r="K751" s="218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</row>
    <row r="752" ht="12.75" customHeight="1">
      <c r="A752" s="353"/>
      <c r="B752" s="54"/>
      <c r="E752" s="354"/>
      <c r="F752" s="242"/>
      <c r="G752" s="358"/>
      <c r="H752" s="217"/>
      <c r="I752" s="54"/>
      <c r="J752" s="218"/>
      <c r="K752" s="218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</row>
    <row r="753" ht="12.75" customHeight="1">
      <c r="A753" s="353"/>
      <c r="B753" s="54"/>
      <c r="E753" s="354"/>
      <c r="F753" s="242"/>
      <c r="G753" s="358"/>
      <c r="H753" s="217"/>
      <c r="I753" s="54"/>
      <c r="J753" s="218"/>
      <c r="K753" s="218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</row>
    <row r="754" ht="12.75" customHeight="1">
      <c r="A754" s="353"/>
      <c r="B754" s="54"/>
      <c r="E754" s="354"/>
      <c r="F754" s="242"/>
      <c r="G754" s="358"/>
      <c r="H754" s="217"/>
      <c r="I754" s="54"/>
      <c r="J754" s="218"/>
      <c r="K754" s="218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</row>
    <row r="755" ht="12.75" customHeight="1">
      <c r="A755" s="353"/>
      <c r="B755" s="54"/>
      <c r="E755" s="354"/>
      <c r="F755" s="242"/>
      <c r="G755" s="358"/>
      <c r="H755" s="217"/>
      <c r="I755" s="54"/>
      <c r="J755" s="218"/>
      <c r="K755" s="218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</row>
    <row r="756" ht="12.75" customHeight="1">
      <c r="A756" s="353"/>
      <c r="B756" s="54"/>
      <c r="E756" s="354"/>
      <c r="F756" s="242"/>
      <c r="G756" s="358"/>
      <c r="H756" s="217"/>
      <c r="I756" s="54"/>
      <c r="J756" s="218"/>
      <c r="K756" s="218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</row>
    <row r="757" ht="12.75" customHeight="1">
      <c r="A757" s="353"/>
      <c r="B757" s="54"/>
      <c r="E757" s="354"/>
      <c r="F757" s="242"/>
      <c r="G757" s="358"/>
      <c r="H757" s="217"/>
      <c r="I757" s="54"/>
      <c r="J757" s="218"/>
      <c r="K757" s="218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</row>
    <row r="758" ht="12.75" customHeight="1">
      <c r="A758" s="353"/>
      <c r="B758" s="54"/>
      <c r="E758" s="354"/>
      <c r="F758" s="242"/>
      <c r="G758" s="358"/>
      <c r="H758" s="217"/>
      <c r="I758" s="54"/>
      <c r="J758" s="218"/>
      <c r="K758" s="218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</row>
    <row r="759" ht="12.75" customHeight="1">
      <c r="A759" s="353"/>
      <c r="B759" s="54"/>
      <c r="E759" s="354"/>
      <c r="F759" s="242"/>
      <c r="G759" s="358"/>
      <c r="H759" s="217"/>
      <c r="I759" s="54"/>
      <c r="J759" s="218"/>
      <c r="K759" s="218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</row>
    <row r="760" ht="12.75" customHeight="1">
      <c r="A760" s="353"/>
      <c r="B760" s="54"/>
      <c r="E760" s="354"/>
      <c r="F760" s="242"/>
      <c r="G760" s="358"/>
      <c r="H760" s="217"/>
      <c r="I760" s="54"/>
      <c r="J760" s="218"/>
      <c r="K760" s="218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</row>
    <row r="761" ht="12.75" customHeight="1">
      <c r="A761" s="353"/>
      <c r="B761" s="54"/>
      <c r="E761" s="354"/>
      <c r="F761" s="242"/>
      <c r="G761" s="358"/>
      <c r="H761" s="217"/>
      <c r="I761" s="54"/>
      <c r="J761" s="218"/>
      <c r="K761" s="218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</row>
    <row r="762" ht="12.75" customHeight="1">
      <c r="A762" s="353"/>
      <c r="B762" s="54"/>
      <c r="E762" s="354"/>
      <c r="F762" s="242"/>
      <c r="G762" s="358"/>
      <c r="H762" s="217"/>
      <c r="I762" s="54"/>
      <c r="J762" s="218"/>
      <c r="K762" s="218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</row>
    <row r="763" ht="12.75" customHeight="1">
      <c r="A763" s="353"/>
      <c r="B763" s="54"/>
      <c r="E763" s="354"/>
      <c r="F763" s="242"/>
      <c r="G763" s="358"/>
      <c r="H763" s="217"/>
      <c r="I763" s="54"/>
      <c r="J763" s="218"/>
      <c r="K763" s="218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</row>
    <row r="764" ht="12.75" customHeight="1">
      <c r="A764" s="353"/>
      <c r="B764" s="54"/>
      <c r="E764" s="354"/>
      <c r="F764" s="242"/>
      <c r="G764" s="358"/>
      <c r="H764" s="217"/>
      <c r="I764" s="54"/>
      <c r="J764" s="218"/>
      <c r="K764" s="218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</row>
    <row r="765" ht="12.75" customHeight="1">
      <c r="A765" s="353"/>
      <c r="B765" s="54"/>
      <c r="E765" s="354"/>
      <c r="F765" s="242"/>
      <c r="G765" s="358"/>
      <c r="H765" s="217"/>
      <c r="I765" s="54"/>
      <c r="J765" s="218"/>
      <c r="K765" s="218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</row>
    <row r="766" ht="12.75" customHeight="1">
      <c r="A766" s="353"/>
      <c r="B766" s="54"/>
      <c r="E766" s="354"/>
      <c r="F766" s="242"/>
      <c r="G766" s="358"/>
      <c r="H766" s="217"/>
      <c r="I766" s="54"/>
      <c r="J766" s="218"/>
      <c r="K766" s="218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</row>
    <row r="767" ht="12.75" customHeight="1">
      <c r="A767" s="353"/>
      <c r="B767" s="54"/>
      <c r="E767" s="354"/>
      <c r="F767" s="242"/>
      <c r="G767" s="358"/>
      <c r="H767" s="217"/>
      <c r="I767" s="54"/>
      <c r="J767" s="218"/>
      <c r="K767" s="218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</row>
    <row r="768" ht="12.75" customHeight="1">
      <c r="A768" s="353"/>
      <c r="B768" s="54"/>
      <c r="E768" s="354"/>
      <c r="F768" s="242"/>
      <c r="G768" s="358"/>
      <c r="H768" s="217"/>
      <c r="I768" s="54"/>
      <c r="J768" s="218"/>
      <c r="K768" s="218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</row>
    <row r="769" ht="12.75" customHeight="1">
      <c r="A769" s="353"/>
      <c r="B769" s="54"/>
      <c r="E769" s="354"/>
      <c r="F769" s="242"/>
      <c r="G769" s="358"/>
      <c r="H769" s="217"/>
      <c r="I769" s="54"/>
      <c r="J769" s="218"/>
      <c r="K769" s="218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</row>
    <row r="770" ht="12.75" customHeight="1">
      <c r="A770" s="353"/>
      <c r="B770" s="54"/>
      <c r="E770" s="354"/>
      <c r="F770" s="242"/>
      <c r="G770" s="358"/>
      <c r="H770" s="217"/>
      <c r="I770" s="54"/>
      <c r="J770" s="218"/>
      <c r="K770" s="218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</row>
    <row r="771" ht="12.75" customHeight="1">
      <c r="A771" s="353"/>
      <c r="B771" s="54"/>
      <c r="E771" s="354"/>
      <c r="F771" s="242"/>
      <c r="G771" s="358"/>
      <c r="H771" s="217"/>
      <c r="I771" s="54"/>
      <c r="J771" s="218"/>
      <c r="K771" s="218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</row>
    <row r="772" ht="12.75" customHeight="1">
      <c r="A772" s="353"/>
      <c r="B772" s="54"/>
      <c r="E772" s="354"/>
      <c r="F772" s="242"/>
      <c r="G772" s="358"/>
      <c r="H772" s="217"/>
      <c r="I772" s="54"/>
      <c r="J772" s="218"/>
      <c r="K772" s="218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</row>
    <row r="773" ht="12.75" customHeight="1">
      <c r="A773" s="353"/>
      <c r="B773" s="54"/>
      <c r="E773" s="354"/>
      <c r="F773" s="242"/>
      <c r="G773" s="358"/>
      <c r="H773" s="217"/>
      <c r="I773" s="54"/>
      <c r="J773" s="218"/>
      <c r="K773" s="218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</row>
    <row r="774" ht="12.75" customHeight="1">
      <c r="A774" s="353"/>
      <c r="B774" s="54"/>
      <c r="E774" s="354"/>
      <c r="F774" s="242"/>
      <c r="G774" s="358"/>
      <c r="H774" s="217"/>
      <c r="I774" s="54"/>
      <c r="J774" s="218"/>
      <c r="K774" s="218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</row>
    <row r="775" ht="12.75" customHeight="1">
      <c r="A775" s="353"/>
      <c r="B775" s="54"/>
      <c r="E775" s="354"/>
      <c r="F775" s="242"/>
      <c r="G775" s="358"/>
      <c r="H775" s="217"/>
      <c r="I775" s="54"/>
      <c r="J775" s="218"/>
      <c r="K775" s="218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</row>
    <row r="776" ht="12.75" customHeight="1">
      <c r="A776" s="353"/>
      <c r="B776" s="54"/>
      <c r="E776" s="354"/>
      <c r="F776" s="242"/>
      <c r="G776" s="358"/>
      <c r="H776" s="217"/>
      <c r="I776" s="54"/>
      <c r="J776" s="218"/>
      <c r="K776" s="218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</row>
    <row r="777" ht="12.75" customHeight="1">
      <c r="A777" s="353"/>
      <c r="B777" s="54"/>
      <c r="E777" s="354"/>
      <c r="F777" s="242"/>
      <c r="G777" s="358"/>
      <c r="H777" s="217"/>
      <c r="I777" s="54"/>
      <c r="J777" s="218"/>
      <c r="K777" s="218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</row>
    <row r="778" ht="12.75" customHeight="1">
      <c r="A778" s="353"/>
      <c r="B778" s="54"/>
      <c r="E778" s="354"/>
      <c r="F778" s="242"/>
      <c r="G778" s="358"/>
      <c r="H778" s="217"/>
      <c r="I778" s="54"/>
      <c r="J778" s="218"/>
      <c r="K778" s="218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</row>
    <row r="779" ht="12.75" customHeight="1">
      <c r="A779" s="353"/>
      <c r="B779" s="54"/>
      <c r="E779" s="354"/>
      <c r="F779" s="242"/>
      <c r="G779" s="358"/>
      <c r="H779" s="217"/>
      <c r="I779" s="54"/>
      <c r="J779" s="218"/>
      <c r="K779" s="218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</row>
    <row r="780" ht="12.75" customHeight="1">
      <c r="A780" s="353"/>
      <c r="B780" s="54"/>
      <c r="E780" s="354"/>
      <c r="F780" s="242"/>
      <c r="G780" s="358"/>
      <c r="H780" s="217"/>
      <c r="I780" s="54"/>
      <c r="J780" s="218"/>
      <c r="K780" s="218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</row>
    <row r="781" ht="12.75" customHeight="1">
      <c r="A781" s="353"/>
      <c r="B781" s="54"/>
      <c r="E781" s="354"/>
      <c r="F781" s="242"/>
      <c r="G781" s="358"/>
      <c r="H781" s="217"/>
      <c r="I781" s="54"/>
      <c r="J781" s="218"/>
      <c r="K781" s="218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</row>
    <row r="782" ht="12.75" customHeight="1">
      <c r="A782" s="353"/>
      <c r="B782" s="54"/>
      <c r="E782" s="354"/>
      <c r="F782" s="242"/>
      <c r="G782" s="358"/>
      <c r="H782" s="217"/>
      <c r="I782" s="54"/>
      <c r="J782" s="218"/>
      <c r="K782" s="218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</row>
    <row r="783" ht="12.75" customHeight="1">
      <c r="A783" s="353"/>
      <c r="B783" s="54"/>
      <c r="E783" s="354"/>
      <c r="F783" s="242"/>
      <c r="G783" s="358"/>
      <c r="H783" s="217"/>
      <c r="I783" s="54"/>
      <c r="J783" s="218"/>
      <c r="K783" s="218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</row>
    <row r="784" ht="12.75" customHeight="1">
      <c r="A784" s="353"/>
      <c r="B784" s="54"/>
      <c r="E784" s="354"/>
      <c r="F784" s="242"/>
      <c r="G784" s="358"/>
      <c r="H784" s="217"/>
      <c r="I784" s="54"/>
      <c r="J784" s="218"/>
      <c r="K784" s="218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</row>
    <row r="785" ht="12.75" customHeight="1">
      <c r="A785" s="353"/>
      <c r="B785" s="54"/>
      <c r="E785" s="354"/>
      <c r="F785" s="242"/>
      <c r="G785" s="358"/>
      <c r="H785" s="217"/>
      <c r="I785" s="54"/>
      <c r="J785" s="218"/>
      <c r="K785" s="218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</row>
    <row r="786" ht="12.75" customHeight="1">
      <c r="A786" s="353"/>
      <c r="B786" s="54"/>
      <c r="E786" s="354"/>
      <c r="F786" s="242"/>
      <c r="G786" s="358"/>
      <c r="H786" s="217"/>
      <c r="I786" s="54"/>
      <c r="J786" s="218"/>
      <c r="K786" s="218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</row>
    <row r="787" ht="12.75" customHeight="1">
      <c r="A787" s="353"/>
      <c r="B787" s="54"/>
      <c r="E787" s="354"/>
      <c r="F787" s="242"/>
      <c r="G787" s="358"/>
      <c r="H787" s="217"/>
      <c r="I787" s="54"/>
      <c r="J787" s="218"/>
      <c r="K787" s="218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</row>
    <row r="788" ht="12.75" customHeight="1">
      <c r="A788" s="353"/>
      <c r="B788" s="54"/>
      <c r="E788" s="354"/>
      <c r="F788" s="242"/>
      <c r="G788" s="358"/>
      <c r="H788" s="217"/>
      <c r="I788" s="54"/>
      <c r="J788" s="218"/>
      <c r="K788" s="218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</row>
    <row r="789" ht="12.75" customHeight="1">
      <c r="A789" s="353"/>
      <c r="B789" s="54"/>
      <c r="E789" s="354"/>
      <c r="F789" s="242"/>
      <c r="G789" s="358"/>
      <c r="H789" s="217"/>
      <c r="I789" s="54"/>
      <c r="J789" s="218"/>
      <c r="K789" s="218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</row>
    <row r="790" ht="12.75" customHeight="1">
      <c r="A790" s="353"/>
      <c r="B790" s="54"/>
      <c r="E790" s="354"/>
      <c r="F790" s="242"/>
      <c r="G790" s="358"/>
      <c r="H790" s="217"/>
      <c r="I790" s="54"/>
      <c r="J790" s="218"/>
      <c r="K790" s="218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</row>
    <row r="791" ht="12.75" customHeight="1">
      <c r="A791" s="353"/>
      <c r="B791" s="54"/>
      <c r="E791" s="354"/>
      <c r="F791" s="242"/>
      <c r="G791" s="358"/>
      <c r="H791" s="217"/>
      <c r="I791" s="54"/>
      <c r="J791" s="218"/>
      <c r="K791" s="218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</row>
    <row r="792" ht="12.75" customHeight="1">
      <c r="A792" s="353"/>
      <c r="B792" s="54"/>
      <c r="E792" s="354"/>
      <c r="F792" s="242"/>
      <c r="G792" s="358"/>
      <c r="H792" s="217"/>
      <c r="I792" s="54"/>
      <c r="J792" s="218"/>
      <c r="K792" s="218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</row>
    <row r="793" ht="12.75" customHeight="1">
      <c r="A793" s="353"/>
      <c r="B793" s="54"/>
      <c r="E793" s="354"/>
      <c r="F793" s="242"/>
      <c r="G793" s="358"/>
      <c r="H793" s="217"/>
      <c r="I793" s="54"/>
      <c r="J793" s="218"/>
      <c r="K793" s="218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</row>
    <row r="794" ht="12.75" customHeight="1">
      <c r="A794" s="353"/>
      <c r="B794" s="54"/>
      <c r="E794" s="354"/>
      <c r="F794" s="242"/>
      <c r="G794" s="358"/>
      <c r="H794" s="217"/>
      <c r="I794" s="54"/>
      <c r="J794" s="218"/>
      <c r="K794" s="218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</row>
    <row r="795" ht="12.75" customHeight="1">
      <c r="A795" s="353"/>
      <c r="B795" s="54"/>
      <c r="E795" s="354"/>
      <c r="F795" s="242"/>
      <c r="G795" s="358"/>
      <c r="H795" s="217"/>
      <c r="I795" s="54"/>
      <c r="J795" s="218"/>
      <c r="K795" s="218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</row>
    <row r="796" ht="12.75" customHeight="1">
      <c r="A796" s="353"/>
      <c r="B796" s="54"/>
      <c r="E796" s="354"/>
      <c r="F796" s="242"/>
      <c r="G796" s="358"/>
      <c r="H796" s="217"/>
      <c r="I796" s="54"/>
      <c r="J796" s="218"/>
      <c r="K796" s="218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</row>
    <row r="797" ht="12.75" customHeight="1">
      <c r="A797" s="353"/>
      <c r="B797" s="54"/>
      <c r="E797" s="354"/>
      <c r="F797" s="242"/>
      <c r="G797" s="358"/>
      <c r="H797" s="217"/>
      <c r="I797" s="54"/>
      <c r="J797" s="218"/>
      <c r="K797" s="218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</row>
    <row r="798" ht="12.75" customHeight="1">
      <c r="A798" s="353"/>
      <c r="B798" s="54"/>
      <c r="E798" s="354"/>
      <c r="F798" s="242"/>
      <c r="G798" s="358"/>
      <c r="H798" s="217"/>
      <c r="I798" s="54"/>
      <c r="J798" s="218"/>
      <c r="K798" s="218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</row>
    <row r="799" ht="12.75" customHeight="1">
      <c r="A799" s="353"/>
      <c r="B799" s="54"/>
      <c r="E799" s="354"/>
      <c r="F799" s="242"/>
      <c r="G799" s="358"/>
      <c r="H799" s="217"/>
      <c r="I799" s="54"/>
      <c r="J799" s="218"/>
      <c r="K799" s="218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</row>
    <row r="800" ht="12.75" customHeight="1">
      <c r="A800" s="353"/>
      <c r="B800" s="54"/>
      <c r="E800" s="354"/>
      <c r="F800" s="242"/>
      <c r="G800" s="358"/>
      <c r="H800" s="217"/>
      <c r="I800" s="54"/>
      <c r="J800" s="218"/>
      <c r="K800" s="218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</row>
    <row r="801" ht="12.75" customHeight="1">
      <c r="A801" s="353"/>
      <c r="B801" s="54"/>
      <c r="E801" s="354"/>
      <c r="F801" s="242"/>
      <c r="G801" s="358"/>
      <c r="H801" s="217"/>
      <c r="I801" s="54"/>
      <c r="J801" s="218"/>
      <c r="K801" s="218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</row>
    <row r="802" ht="12.75" customHeight="1">
      <c r="A802" s="353"/>
      <c r="B802" s="54"/>
      <c r="E802" s="354"/>
      <c r="F802" s="242"/>
      <c r="G802" s="358"/>
      <c r="H802" s="217"/>
      <c r="I802" s="54"/>
      <c r="J802" s="218"/>
      <c r="K802" s="218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</row>
    <row r="803" ht="12.75" customHeight="1">
      <c r="A803" s="353"/>
      <c r="B803" s="54"/>
      <c r="E803" s="354"/>
      <c r="F803" s="242"/>
      <c r="G803" s="358"/>
      <c r="H803" s="217"/>
      <c r="I803" s="54"/>
      <c r="J803" s="218"/>
      <c r="K803" s="218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</row>
    <row r="804" ht="12.75" customHeight="1">
      <c r="A804" s="353"/>
      <c r="B804" s="54"/>
      <c r="E804" s="354"/>
      <c r="F804" s="242"/>
      <c r="G804" s="358"/>
      <c r="H804" s="217"/>
      <c r="I804" s="54"/>
      <c r="J804" s="218"/>
      <c r="K804" s="218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</row>
    <row r="805" ht="12.75" customHeight="1">
      <c r="A805" s="353"/>
      <c r="B805" s="54"/>
      <c r="E805" s="354"/>
      <c r="F805" s="242"/>
      <c r="G805" s="358"/>
      <c r="H805" s="217"/>
      <c r="I805" s="54"/>
      <c r="J805" s="218"/>
      <c r="K805" s="218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</row>
    <row r="806" ht="12.75" customHeight="1">
      <c r="A806" s="353"/>
      <c r="B806" s="54"/>
      <c r="E806" s="354"/>
      <c r="F806" s="242"/>
      <c r="G806" s="358"/>
      <c r="H806" s="217"/>
      <c r="I806" s="54"/>
      <c r="J806" s="218"/>
      <c r="K806" s="218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</row>
    <row r="807" ht="12.75" customHeight="1">
      <c r="A807" s="353"/>
      <c r="B807" s="54"/>
      <c r="E807" s="354"/>
      <c r="F807" s="242"/>
      <c r="G807" s="358"/>
      <c r="H807" s="217"/>
      <c r="I807" s="54"/>
      <c r="J807" s="218"/>
      <c r="K807" s="218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</row>
    <row r="808" ht="12.75" customHeight="1">
      <c r="A808" s="353"/>
      <c r="B808" s="54"/>
      <c r="E808" s="354"/>
      <c r="F808" s="242"/>
      <c r="G808" s="358"/>
      <c r="H808" s="217"/>
      <c r="I808" s="54"/>
      <c r="J808" s="218"/>
      <c r="K808" s="218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</row>
    <row r="809" ht="12.75" customHeight="1">
      <c r="A809" s="353"/>
      <c r="B809" s="54"/>
      <c r="E809" s="354"/>
      <c r="F809" s="242"/>
      <c r="G809" s="358"/>
      <c r="H809" s="217"/>
      <c r="I809" s="54"/>
      <c r="J809" s="218"/>
      <c r="K809" s="218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</row>
    <row r="810" ht="12.75" customHeight="1">
      <c r="A810" s="353"/>
      <c r="B810" s="54"/>
      <c r="E810" s="354"/>
      <c r="F810" s="242"/>
      <c r="G810" s="358"/>
      <c r="H810" s="217"/>
      <c r="I810" s="54"/>
      <c r="J810" s="218"/>
      <c r="K810" s="218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</row>
    <row r="811" ht="12.75" customHeight="1">
      <c r="A811" s="353"/>
      <c r="B811" s="54"/>
      <c r="E811" s="354"/>
      <c r="F811" s="242"/>
      <c r="G811" s="358"/>
      <c r="H811" s="217"/>
      <c r="I811" s="54"/>
      <c r="J811" s="218"/>
      <c r="K811" s="218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</row>
    <row r="812" ht="12.75" customHeight="1">
      <c r="A812" s="353"/>
      <c r="B812" s="54"/>
      <c r="E812" s="354"/>
      <c r="F812" s="242"/>
      <c r="G812" s="358"/>
      <c r="H812" s="217"/>
      <c r="I812" s="54"/>
      <c r="J812" s="218"/>
      <c r="K812" s="218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</row>
    <row r="813" ht="12.75" customHeight="1">
      <c r="A813" s="353"/>
      <c r="B813" s="54"/>
      <c r="E813" s="354"/>
      <c r="F813" s="242"/>
      <c r="G813" s="358"/>
      <c r="H813" s="217"/>
      <c r="I813" s="54"/>
      <c r="J813" s="218"/>
      <c r="K813" s="218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</row>
    <row r="814" ht="12.75" customHeight="1">
      <c r="A814" s="353"/>
      <c r="B814" s="54"/>
      <c r="E814" s="354"/>
      <c r="F814" s="242"/>
      <c r="G814" s="358"/>
      <c r="H814" s="217"/>
      <c r="I814" s="54"/>
      <c r="J814" s="218"/>
      <c r="K814" s="218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</row>
    <row r="815" ht="12.75" customHeight="1">
      <c r="A815" s="353"/>
      <c r="B815" s="54"/>
      <c r="E815" s="354"/>
      <c r="F815" s="242"/>
      <c r="G815" s="358"/>
      <c r="H815" s="217"/>
      <c r="I815" s="54"/>
      <c r="J815" s="218"/>
      <c r="K815" s="218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</row>
    <row r="816" ht="12.75" customHeight="1">
      <c r="A816" s="353"/>
      <c r="B816" s="54"/>
      <c r="E816" s="354"/>
      <c r="F816" s="242"/>
      <c r="G816" s="358"/>
      <c r="H816" s="217"/>
      <c r="I816" s="54"/>
      <c r="J816" s="218"/>
      <c r="K816" s="218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</row>
    <row r="817" ht="12.75" customHeight="1">
      <c r="A817" s="353"/>
      <c r="B817" s="54"/>
      <c r="E817" s="354"/>
      <c r="F817" s="242"/>
      <c r="G817" s="358"/>
      <c r="H817" s="217"/>
      <c r="I817" s="54"/>
      <c r="J817" s="218"/>
      <c r="K817" s="218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</row>
    <row r="818" ht="12.75" customHeight="1">
      <c r="A818" s="353"/>
      <c r="B818" s="54"/>
      <c r="E818" s="354"/>
      <c r="F818" s="242"/>
      <c r="G818" s="358"/>
      <c r="H818" s="217"/>
      <c r="I818" s="54"/>
      <c r="J818" s="218"/>
      <c r="K818" s="218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</row>
    <row r="819" ht="12.75" customHeight="1">
      <c r="A819" s="353"/>
      <c r="B819" s="54"/>
      <c r="E819" s="354"/>
      <c r="F819" s="242"/>
      <c r="G819" s="358"/>
      <c r="H819" s="217"/>
      <c r="I819" s="54"/>
      <c r="J819" s="218"/>
      <c r="K819" s="218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</row>
    <row r="820" ht="12.75" customHeight="1">
      <c r="A820" s="353"/>
      <c r="B820" s="54"/>
      <c r="E820" s="354"/>
      <c r="F820" s="242"/>
      <c r="G820" s="358"/>
      <c r="H820" s="217"/>
      <c r="I820" s="54"/>
      <c r="J820" s="218"/>
      <c r="K820" s="218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</row>
    <row r="821" ht="12.75" customHeight="1">
      <c r="A821" s="353"/>
      <c r="B821" s="54"/>
      <c r="E821" s="354"/>
      <c r="F821" s="242"/>
      <c r="G821" s="358"/>
      <c r="H821" s="217"/>
      <c r="I821" s="54"/>
      <c r="J821" s="218"/>
      <c r="K821" s="218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</row>
    <row r="822" ht="12.75" customHeight="1">
      <c r="A822" s="353"/>
      <c r="B822" s="54"/>
      <c r="E822" s="354"/>
      <c r="F822" s="242"/>
      <c r="G822" s="358"/>
      <c r="H822" s="217"/>
      <c r="I822" s="54"/>
      <c r="J822" s="218"/>
      <c r="K822" s="218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</row>
    <row r="823" ht="12.75" customHeight="1">
      <c r="A823" s="353"/>
      <c r="B823" s="54"/>
      <c r="E823" s="354"/>
      <c r="F823" s="242"/>
      <c r="G823" s="358"/>
      <c r="H823" s="217"/>
      <c r="I823" s="54"/>
      <c r="J823" s="218"/>
      <c r="K823" s="218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</row>
    <row r="824" ht="12.75" customHeight="1">
      <c r="A824" s="353"/>
      <c r="B824" s="54"/>
      <c r="E824" s="354"/>
      <c r="F824" s="242"/>
      <c r="G824" s="358"/>
      <c r="H824" s="217"/>
      <c r="I824" s="54"/>
      <c r="J824" s="218"/>
      <c r="K824" s="218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</row>
    <row r="825" ht="12.75" customHeight="1">
      <c r="A825" s="353"/>
      <c r="B825" s="54"/>
      <c r="E825" s="354"/>
      <c r="F825" s="242"/>
      <c r="G825" s="358"/>
      <c r="H825" s="217"/>
      <c r="I825" s="54"/>
      <c r="J825" s="218"/>
      <c r="K825" s="218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</row>
    <row r="826" ht="12.75" customHeight="1">
      <c r="A826" s="353"/>
      <c r="B826" s="54"/>
      <c r="E826" s="354"/>
      <c r="F826" s="242"/>
      <c r="G826" s="358"/>
      <c r="H826" s="217"/>
      <c r="I826" s="54"/>
      <c r="J826" s="218"/>
      <c r="K826" s="218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</row>
    <row r="827" ht="12.75" customHeight="1">
      <c r="A827" s="353"/>
      <c r="B827" s="54"/>
      <c r="E827" s="354"/>
      <c r="F827" s="242"/>
      <c r="G827" s="358"/>
      <c r="H827" s="217"/>
      <c r="I827" s="54"/>
      <c r="J827" s="218"/>
      <c r="K827" s="218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</row>
    <row r="828" ht="12.75" customHeight="1">
      <c r="A828" s="353"/>
      <c r="B828" s="54"/>
      <c r="E828" s="354"/>
      <c r="F828" s="242"/>
      <c r="G828" s="358"/>
      <c r="H828" s="217"/>
      <c r="I828" s="54"/>
      <c r="J828" s="218"/>
      <c r="K828" s="218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</row>
    <row r="829" ht="12.75" customHeight="1">
      <c r="A829" s="353"/>
      <c r="B829" s="54"/>
      <c r="E829" s="354"/>
      <c r="F829" s="242"/>
      <c r="G829" s="358"/>
      <c r="H829" s="217"/>
      <c r="I829" s="54"/>
      <c r="J829" s="218"/>
      <c r="K829" s="218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</row>
    <row r="830" ht="12.75" customHeight="1">
      <c r="A830" s="353"/>
      <c r="B830" s="54"/>
      <c r="E830" s="354"/>
      <c r="F830" s="242"/>
      <c r="G830" s="358"/>
      <c r="H830" s="217"/>
      <c r="I830" s="54"/>
      <c r="J830" s="218"/>
      <c r="K830" s="218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</row>
    <row r="831" ht="12.75" customHeight="1">
      <c r="A831" s="353"/>
      <c r="B831" s="54"/>
      <c r="E831" s="354"/>
      <c r="F831" s="242"/>
      <c r="G831" s="358"/>
      <c r="H831" s="217"/>
      <c r="I831" s="54"/>
      <c r="J831" s="218"/>
      <c r="K831" s="218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</row>
    <row r="832" ht="12.75" customHeight="1">
      <c r="A832" s="353"/>
      <c r="B832" s="54"/>
      <c r="E832" s="354"/>
      <c r="F832" s="242"/>
      <c r="G832" s="358"/>
      <c r="H832" s="217"/>
      <c r="I832" s="54"/>
      <c r="J832" s="218"/>
      <c r="K832" s="218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</row>
    <row r="833" ht="12.75" customHeight="1">
      <c r="A833" s="353"/>
      <c r="B833" s="54"/>
      <c r="E833" s="354"/>
      <c r="F833" s="242"/>
      <c r="G833" s="358"/>
      <c r="H833" s="217"/>
      <c r="I833" s="54"/>
      <c r="J833" s="218"/>
      <c r="K833" s="218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</row>
    <row r="834" ht="12.75" customHeight="1">
      <c r="A834" s="353"/>
      <c r="B834" s="54"/>
      <c r="E834" s="354"/>
      <c r="F834" s="242"/>
      <c r="G834" s="358"/>
      <c r="H834" s="217"/>
      <c r="I834" s="54"/>
      <c r="J834" s="218"/>
      <c r="K834" s="218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</row>
    <row r="835" ht="12.75" customHeight="1">
      <c r="A835" s="353"/>
      <c r="B835" s="54"/>
      <c r="E835" s="354"/>
      <c r="F835" s="242"/>
      <c r="G835" s="358"/>
      <c r="H835" s="217"/>
      <c r="I835" s="54"/>
      <c r="J835" s="218"/>
      <c r="K835" s="218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</row>
    <row r="836" ht="12.75" customHeight="1">
      <c r="A836" s="353"/>
      <c r="B836" s="54"/>
      <c r="E836" s="354"/>
      <c r="F836" s="242"/>
      <c r="G836" s="358"/>
      <c r="H836" s="217"/>
      <c r="I836" s="54"/>
      <c r="J836" s="218"/>
      <c r="K836" s="218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</row>
    <row r="837" ht="12.75" customHeight="1">
      <c r="A837" s="353"/>
      <c r="B837" s="54"/>
      <c r="E837" s="354"/>
      <c r="F837" s="242"/>
      <c r="G837" s="358"/>
      <c r="H837" s="217"/>
      <c r="I837" s="54"/>
      <c r="J837" s="218"/>
      <c r="K837" s="218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</row>
    <row r="838" ht="12.75" customHeight="1">
      <c r="A838" s="353"/>
      <c r="B838" s="54"/>
      <c r="E838" s="354"/>
      <c r="F838" s="242"/>
      <c r="G838" s="358"/>
      <c r="H838" s="217"/>
      <c r="I838" s="54"/>
      <c r="J838" s="218"/>
      <c r="K838" s="218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</row>
    <row r="839" ht="12.75" customHeight="1">
      <c r="A839" s="353"/>
      <c r="B839" s="54"/>
      <c r="E839" s="354"/>
      <c r="F839" s="242"/>
      <c r="G839" s="358"/>
      <c r="H839" s="217"/>
      <c r="I839" s="54"/>
      <c r="J839" s="218"/>
      <c r="K839" s="218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</row>
    <row r="840" ht="12.75" customHeight="1">
      <c r="A840" s="353"/>
      <c r="B840" s="54"/>
      <c r="E840" s="354"/>
      <c r="F840" s="242"/>
      <c r="G840" s="358"/>
      <c r="H840" s="217"/>
      <c r="I840" s="54"/>
      <c r="J840" s="218"/>
      <c r="K840" s="218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</row>
    <row r="841" ht="12.75" customHeight="1">
      <c r="A841" s="353"/>
      <c r="B841" s="54"/>
      <c r="E841" s="354"/>
      <c r="F841" s="242"/>
      <c r="G841" s="358"/>
      <c r="H841" s="217"/>
      <c r="I841" s="54"/>
      <c r="J841" s="218"/>
      <c r="K841" s="218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</row>
    <row r="842" ht="12.75" customHeight="1">
      <c r="A842" s="353"/>
      <c r="B842" s="54"/>
      <c r="E842" s="354"/>
      <c r="F842" s="242"/>
      <c r="G842" s="358"/>
      <c r="H842" s="217"/>
      <c r="I842" s="54"/>
      <c r="J842" s="218"/>
      <c r="K842" s="218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</row>
    <row r="843" ht="12.75" customHeight="1">
      <c r="A843" s="353"/>
      <c r="B843" s="54"/>
      <c r="E843" s="354"/>
      <c r="F843" s="242"/>
      <c r="G843" s="358"/>
      <c r="H843" s="217"/>
      <c r="I843" s="54"/>
      <c r="J843" s="218"/>
      <c r="K843" s="218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</row>
    <row r="844" ht="12.75" customHeight="1">
      <c r="A844" s="353"/>
      <c r="B844" s="54"/>
      <c r="E844" s="354"/>
      <c r="F844" s="242"/>
      <c r="G844" s="358"/>
      <c r="H844" s="217"/>
      <c r="I844" s="54"/>
      <c r="J844" s="218"/>
      <c r="K844" s="218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</row>
    <row r="845" ht="12.75" customHeight="1">
      <c r="A845" s="353"/>
      <c r="B845" s="54"/>
      <c r="E845" s="354"/>
      <c r="F845" s="242"/>
      <c r="G845" s="358"/>
      <c r="H845" s="217"/>
      <c r="I845" s="54"/>
      <c r="J845" s="218"/>
      <c r="K845" s="218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</row>
    <row r="846" ht="12.75" customHeight="1">
      <c r="A846" s="353"/>
      <c r="B846" s="54"/>
      <c r="E846" s="354"/>
      <c r="F846" s="242"/>
      <c r="G846" s="358"/>
      <c r="H846" s="217"/>
      <c r="I846" s="54"/>
      <c r="J846" s="218"/>
      <c r="K846" s="218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</row>
    <row r="847" ht="12.75" customHeight="1">
      <c r="A847" s="353"/>
      <c r="B847" s="54"/>
      <c r="E847" s="354"/>
      <c r="F847" s="242"/>
      <c r="G847" s="358"/>
      <c r="H847" s="217"/>
      <c r="I847" s="54"/>
      <c r="J847" s="218"/>
      <c r="K847" s="218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</row>
    <row r="848" ht="12.75" customHeight="1">
      <c r="A848" s="353"/>
      <c r="B848" s="54"/>
      <c r="E848" s="354"/>
      <c r="F848" s="242"/>
      <c r="G848" s="358"/>
      <c r="H848" s="217"/>
      <c r="I848" s="54"/>
      <c r="J848" s="218"/>
      <c r="K848" s="218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</row>
    <row r="849" ht="12.75" customHeight="1">
      <c r="A849" s="353"/>
      <c r="B849" s="54"/>
      <c r="E849" s="354"/>
      <c r="F849" s="242"/>
      <c r="G849" s="358"/>
      <c r="H849" s="217"/>
      <c r="I849" s="54"/>
      <c r="J849" s="218"/>
      <c r="K849" s="218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</row>
    <row r="850" ht="12.75" customHeight="1">
      <c r="A850" s="353"/>
      <c r="B850" s="54"/>
      <c r="E850" s="354"/>
      <c r="F850" s="242"/>
      <c r="G850" s="358"/>
      <c r="H850" s="217"/>
      <c r="I850" s="54"/>
      <c r="J850" s="218"/>
      <c r="K850" s="218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</row>
    <row r="851" ht="12.75" customHeight="1">
      <c r="A851" s="353"/>
      <c r="B851" s="54"/>
      <c r="E851" s="354"/>
      <c r="F851" s="242"/>
      <c r="G851" s="358"/>
      <c r="H851" s="217"/>
      <c r="I851" s="54"/>
      <c r="J851" s="218"/>
      <c r="K851" s="218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</row>
    <row r="852" ht="12.75" customHeight="1">
      <c r="A852" s="353"/>
      <c r="B852" s="54"/>
      <c r="E852" s="354"/>
      <c r="F852" s="242"/>
      <c r="G852" s="358"/>
      <c r="H852" s="217"/>
      <c r="I852" s="54"/>
      <c r="J852" s="218"/>
      <c r="K852" s="218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</row>
    <row r="853" ht="12.75" customHeight="1">
      <c r="A853" s="353"/>
      <c r="B853" s="54"/>
      <c r="E853" s="354"/>
      <c r="F853" s="242"/>
      <c r="G853" s="358"/>
      <c r="H853" s="217"/>
      <c r="I853" s="54"/>
      <c r="J853" s="218"/>
      <c r="K853" s="218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</row>
    <row r="854" ht="12.75" customHeight="1">
      <c r="A854" s="353"/>
      <c r="B854" s="54"/>
      <c r="E854" s="354"/>
      <c r="F854" s="242"/>
      <c r="G854" s="358"/>
      <c r="H854" s="217"/>
      <c r="I854" s="54"/>
      <c r="J854" s="218"/>
      <c r="K854" s="218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</row>
    <row r="855" ht="12.75" customHeight="1">
      <c r="A855" s="353"/>
      <c r="B855" s="54"/>
      <c r="E855" s="354"/>
      <c r="F855" s="242"/>
      <c r="G855" s="358"/>
      <c r="H855" s="217"/>
      <c r="I855" s="54"/>
      <c r="J855" s="218"/>
      <c r="K855" s="218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</row>
    <row r="856" ht="12.75" customHeight="1">
      <c r="A856" s="353"/>
      <c r="B856" s="54"/>
      <c r="E856" s="354"/>
      <c r="F856" s="242"/>
      <c r="G856" s="358"/>
      <c r="H856" s="217"/>
      <c r="I856" s="54"/>
      <c r="J856" s="218"/>
      <c r="K856" s="218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</row>
    <row r="857" ht="12.75" customHeight="1">
      <c r="A857" s="353"/>
      <c r="B857" s="54"/>
      <c r="E857" s="354"/>
      <c r="F857" s="242"/>
      <c r="G857" s="358"/>
      <c r="H857" s="217"/>
      <c r="I857" s="54"/>
      <c r="J857" s="218"/>
      <c r="K857" s="218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</row>
    <row r="858" ht="12.75" customHeight="1">
      <c r="A858" s="353"/>
      <c r="B858" s="54"/>
      <c r="E858" s="354"/>
      <c r="F858" s="242"/>
      <c r="G858" s="358"/>
      <c r="H858" s="217"/>
      <c r="I858" s="54"/>
      <c r="J858" s="218"/>
      <c r="K858" s="218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</row>
    <row r="859" ht="12.75" customHeight="1">
      <c r="A859" s="353"/>
      <c r="B859" s="54"/>
      <c r="E859" s="354"/>
      <c r="F859" s="242"/>
      <c r="G859" s="358"/>
      <c r="H859" s="217"/>
      <c r="I859" s="54"/>
      <c r="J859" s="218"/>
      <c r="K859" s="218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</row>
    <row r="860" ht="12.75" customHeight="1">
      <c r="A860" s="353"/>
      <c r="B860" s="54"/>
      <c r="E860" s="354"/>
      <c r="F860" s="242"/>
      <c r="G860" s="358"/>
      <c r="H860" s="217"/>
      <c r="I860" s="54"/>
      <c r="J860" s="218"/>
      <c r="K860" s="218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</row>
    <row r="861" ht="12.75" customHeight="1">
      <c r="A861" s="353"/>
      <c r="B861" s="54"/>
      <c r="E861" s="354"/>
      <c r="F861" s="242"/>
      <c r="G861" s="358"/>
      <c r="H861" s="217"/>
      <c r="I861" s="54"/>
      <c r="J861" s="218"/>
      <c r="K861" s="218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</row>
    <row r="862" ht="12.75" customHeight="1">
      <c r="A862" s="353"/>
      <c r="B862" s="54"/>
      <c r="E862" s="354"/>
      <c r="F862" s="242"/>
      <c r="G862" s="358"/>
      <c r="H862" s="217"/>
      <c r="I862" s="54"/>
      <c r="J862" s="218"/>
      <c r="K862" s="218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</row>
    <row r="863" ht="12.75" customHeight="1">
      <c r="A863" s="353"/>
      <c r="B863" s="54"/>
      <c r="E863" s="354"/>
      <c r="F863" s="242"/>
      <c r="G863" s="358"/>
      <c r="H863" s="217"/>
      <c r="I863" s="54"/>
      <c r="J863" s="218"/>
      <c r="K863" s="218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</row>
    <row r="864" ht="12.75" customHeight="1">
      <c r="A864" s="353"/>
      <c r="B864" s="54"/>
      <c r="E864" s="354"/>
      <c r="F864" s="242"/>
      <c r="G864" s="358"/>
      <c r="H864" s="217"/>
      <c r="I864" s="54"/>
      <c r="J864" s="218"/>
      <c r="K864" s="218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</row>
    <row r="865" ht="12.75" customHeight="1">
      <c r="A865" s="353"/>
      <c r="B865" s="54"/>
      <c r="E865" s="354"/>
      <c r="F865" s="242"/>
      <c r="G865" s="358"/>
      <c r="H865" s="217"/>
      <c r="I865" s="54"/>
      <c r="J865" s="218"/>
      <c r="K865" s="218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</row>
    <row r="866" ht="12.75" customHeight="1">
      <c r="A866" s="353"/>
      <c r="B866" s="54"/>
      <c r="E866" s="354"/>
      <c r="F866" s="242"/>
      <c r="G866" s="358"/>
      <c r="H866" s="217"/>
      <c r="I866" s="54"/>
      <c r="J866" s="218"/>
      <c r="K866" s="218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</row>
    <row r="867" ht="12.75" customHeight="1">
      <c r="A867" s="353"/>
      <c r="B867" s="54"/>
      <c r="E867" s="354"/>
      <c r="F867" s="242"/>
      <c r="G867" s="358"/>
      <c r="H867" s="217"/>
      <c r="I867" s="54"/>
      <c r="J867" s="218"/>
      <c r="K867" s="218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</row>
    <row r="868" ht="12.75" customHeight="1">
      <c r="A868" s="353"/>
      <c r="B868" s="54"/>
      <c r="E868" s="354"/>
      <c r="F868" s="242"/>
      <c r="G868" s="358"/>
      <c r="H868" s="217"/>
      <c r="I868" s="54"/>
      <c r="J868" s="218"/>
      <c r="K868" s="218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</row>
    <row r="869" ht="12.75" customHeight="1">
      <c r="A869" s="353"/>
      <c r="B869" s="54"/>
      <c r="E869" s="354"/>
      <c r="F869" s="242"/>
      <c r="G869" s="358"/>
      <c r="H869" s="217"/>
      <c r="I869" s="54"/>
      <c r="J869" s="218"/>
      <c r="K869" s="218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</row>
    <row r="870" ht="12.75" customHeight="1">
      <c r="A870" s="353"/>
      <c r="B870" s="54"/>
      <c r="E870" s="354"/>
      <c r="F870" s="242"/>
      <c r="G870" s="358"/>
      <c r="H870" s="217"/>
      <c r="I870" s="54"/>
      <c r="J870" s="218"/>
      <c r="K870" s="218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</row>
    <row r="871" ht="12.75" customHeight="1">
      <c r="A871" s="353"/>
      <c r="B871" s="54"/>
      <c r="E871" s="354"/>
      <c r="F871" s="242"/>
      <c r="G871" s="358"/>
      <c r="H871" s="217"/>
      <c r="I871" s="54"/>
      <c r="J871" s="218"/>
      <c r="K871" s="218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</row>
    <row r="872" ht="12.75" customHeight="1">
      <c r="A872" s="353"/>
      <c r="B872" s="54"/>
      <c r="E872" s="354"/>
      <c r="F872" s="242"/>
      <c r="G872" s="358"/>
      <c r="H872" s="217"/>
      <c r="I872" s="54"/>
      <c r="J872" s="218"/>
      <c r="K872" s="218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</row>
    <row r="873" ht="12.75" customHeight="1">
      <c r="A873" s="353"/>
      <c r="B873" s="54"/>
      <c r="E873" s="354"/>
      <c r="F873" s="242"/>
      <c r="G873" s="358"/>
      <c r="H873" s="217"/>
      <c r="I873" s="54"/>
      <c r="J873" s="218"/>
      <c r="K873" s="218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</row>
    <row r="874" ht="12.75" customHeight="1">
      <c r="A874" s="353"/>
      <c r="B874" s="54"/>
      <c r="E874" s="354"/>
      <c r="F874" s="242"/>
      <c r="G874" s="358"/>
      <c r="H874" s="217"/>
      <c r="I874" s="54"/>
      <c r="J874" s="218"/>
      <c r="K874" s="218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</row>
    <row r="875" ht="12.75" customHeight="1">
      <c r="A875" s="353"/>
      <c r="B875" s="54"/>
      <c r="E875" s="354"/>
      <c r="F875" s="242"/>
      <c r="G875" s="358"/>
      <c r="H875" s="217"/>
      <c r="I875" s="54"/>
      <c r="J875" s="218"/>
      <c r="K875" s="218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</row>
    <row r="876" ht="12.75" customHeight="1">
      <c r="A876" s="353"/>
      <c r="B876" s="54"/>
      <c r="E876" s="354"/>
      <c r="F876" s="242"/>
      <c r="G876" s="358"/>
      <c r="H876" s="217"/>
      <c r="I876" s="54"/>
      <c r="J876" s="218"/>
      <c r="K876" s="218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</row>
    <row r="877" ht="12.75" customHeight="1">
      <c r="A877" s="353"/>
      <c r="B877" s="54"/>
      <c r="E877" s="354"/>
      <c r="F877" s="242"/>
      <c r="G877" s="358"/>
      <c r="H877" s="217"/>
      <c r="I877" s="54"/>
      <c r="J877" s="218"/>
      <c r="K877" s="218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</row>
    <row r="878" ht="12.75" customHeight="1">
      <c r="A878" s="353"/>
      <c r="B878" s="54"/>
      <c r="E878" s="354"/>
      <c r="F878" s="242"/>
      <c r="G878" s="358"/>
      <c r="H878" s="217"/>
      <c r="I878" s="54"/>
      <c r="J878" s="218"/>
      <c r="K878" s="218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</row>
    <row r="879" ht="12.75" customHeight="1">
      <c r="A879" s="353"/>
      <c r="B879" s="54"/>
      <c r="E879" s="354"/>
      <c r="F879" s="242"/>
      <c r="G879" s="358"/>
      <c r="H879" s="217"/>
      <c r="I879" s="54"/>
      <c r="J879" s="218"/>
      <c r="K879" s="218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</row>
    <row r="880" ht="12.75" customHeight="1">
      <c r="A880" s="353"/>
      <c r="B880" s="54"/>
      <c r="E880" s="354"/>
      <c r="F880" s="242"/>
      <c r="G880" s="358"/>
      <c r="H880" s="217"/>
      <c r="I880" s="54"/>
      <c r="J880" s="218"/>
      <c r="K880" s="218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</row>
    <row r="881" ht="12.75" customHeight="1">
      <c r="A881" s="353"/>
      <c r="B881" s="54"/>
      <c r="E881" s="354"/>
      <c r="F881" s="242"/>
      <c r="G881" s="358"/>
      <c r="H881" s="217"/>
      <c r="I881" s="54"/>
      <c r="J881" s="218"/>
      <c r="K881" s="218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</row>
    <row r="882" ht="12.75" customHeight="1">
      <c r="A882" s="353"/>
      <c r="B882" s="54"/>
      <c r="E882" s="354"/>
      <c r="F882" s="242"/>
      <c r="G882" s="358"/>
      <c r="H882" s="217"/>
      <c r="I882" s="54"/>
      <c r="J882" s="218"/>
      <c r="K882" s="218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</row>
    <row r="883" ht="12.75" customHeight="1">
      <c r="A883" s="353"/>
      <c r="B883" s="54"/>
      <c r="E883" s="354"/>
      <c r="F883" s="242"/>
      <c r="G883" s="358"/>
      <c r="H883" s="217"/>
      <c r="I883" s="54"/>
      <c r="J883" s="218"/>
      <c r="K883" s="218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</row>
    <row r="884" ht="12.75" customHeight="1">
      <c r="A884" s="353"/>
      <c r="B884" s="54"/>
      <c r="E884" s="354"/>
      <c r="F884" s="242"/>
      <c r="G884" s="358"/>
      <c r="H884" s="217"/>
      <c r="I884" s="54"/>
      <c r="J884" s="218"/>
      <c r="K884" s="218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</row>
    <row r="885" ht="12.75" customHeight="1">
      <c r="A885" s="353"/>
      <c r="B885" s="54"/>
      <c r="E885" s="354"/>
      <c r="F885" s="242"/>
      <c r="G885" s="358"/>
      <c r="H885" s="217"/>
      <c r="I885" s="54"/>
      <c r="J885" s="218"/>
      <c r="K885" s="218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</row>
    <row r="886" ht="12.75" customHeight="1">
      <c r="A886" s="353"/>
      <c r="B886" s="54"/>
      <c r="E886" s="354"/>
      <c r="F886" s="242"/>
      <c r="G886" s="358"/>
      <c r="H886" s="217"/>
      <c r="I886" s="54"/>
      <c r="J886" s="218"/>
      <c r="K886" s="218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</row>
    <row r="887" ht="12.75" customHeight="1">
      <c r="A887" s="353"/>
      <c r="B887" s="54"/>
      <c r="E887" s="354"/>
      <c r="F887" s="242"/>
      <c r="G887" s="358"/>
      <c r="H887" s="217"/>
      <c r="I887" s="54"/>
      <c r="J887" s="218"/>
      <c r="K887" s="218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</row>
    <row r="888" ht="12.75" customHeight="1">
      <c r="A888" s="353"/>
      <c r="B888" s="54"/>
      <c r="E888" s="354"/>
      <c r="F888" s="242"/>
      <c r="G888" s="358"/>
      <c r="H888" s="217"/>
      <c r="I888" s="54"/>
      <c r="J888" s="218"/>
      <c r="K888" s="218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</row>
    <row r="889" ht="12.75" customHeight="1">
      <c r="A889" s="353"/>
      <c r="B889" s="54"/>
      <c r="E889" s="354"/>
      <c r="F889" s="242"/>
      <c r="G889" s="358"/>
      <c r="H889" s="217"/>
      <c r="I889" s="54"/>
      <c r="J889" s="218"/>
      <c r="K889" s="218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</row>
    <row r="890" ht="12.75" customHeight="1">
      <c r="A890" s="353"/>
      <c r="B890" s="54"/>
      <c r="E890" s="354"/>
      <c r="F890" s="242"/>
      <c r="G890" s="358"/>
      <c r="H890" s="217"/>
      <c r="I890" s="54"/>
      <c r="J890" s="218"/>
      <c r="K890" s="218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</row>
    <row r="891" ht="12.75" customHeight="1">
      <c r="A891" s="353"/>
      <c r="B891" s="54"/>
      <c r="E891" s="354"/>
      <c r="F891" s="242"/>
      <c r="G891" s="358"/>
      <c r="H891" s="217"/>
      <c r="I891" s="54"/>
      <c r="J891" s="218"/>
      <c r="K891" s="218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</row>
    <row r="892" ht="12.75" customHeight="1">
      <c r="A892" s="353"/>
      <c r="B892" s="54"/>
      <c r="E892" s="354"/>
      <c r="F892" s="242"/>
      <c r="G892" s="358"/>
      <c r="H892" s="217"/>
      <c r="I892" s="54"/>
      <c r="J892" s="218"/>
      <c r="K892" s="218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</row>
    <row r="893" ht="12.75" customHeight="1">
      <c r="A893" s="353"/>
      <c r="B893" s="54"/>
      <c r="E893" s="354"/>
      <c r="F893" s="242"/>
      <c r="G893" s="358"/>
      <c r="H893" s="217"/>
      <c r="I893" s="54"/>
      <c r="J893" s="218"/>
      <c r="K893" s="218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</row>
    <row r="894" ht="12.75" customHeight="1">
      <c r="A894" s="353"/>
      <c r="B894" s="54"/>
      <c r="E894" s="354"/>
      <c r="F894" s="242"/>
      <c r="G894" s="358"/>
      <c r="H894" s="217"/>
      <c r="I894" s="54"/>
      <c r="J894" s="218"/>
      <c r="K894" s="218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</row>
    <row r="895" ht="12.75" customHeight="1">
      <c r="A895" s="353"/>
      <c r="B895" s="54"/>
      <c r="E895" s="354"/>
      <c r="F895" s="242"/>
      <c r="G895" s="358"/>
      <c r="H895" s="217"/>
      <c r="I895" s="54"/>
      <c r="J895" s="218"/>
      <c r="K895" s="218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</row>
    <row r="896" ht="12.75" customHeight="1">
      <c r="A896" s="353"/>
      <c r="B896" s="54"/>
      <c r="E896" s="354"/>
      <c r="F896" s="242"/>
      <c r="G896" s="358"/>
      <c r="H896" s="217"/>
      <c r="I896" s="54"/>
      <c r="J896" s="218"/>
      <c r="K896" s="218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</row>
    <row r="897" ht="12.75" customHeight="1">
      <c r="A897" s="353"/>
      <c r="B897" s="54"/>
      <c r="E897" s="354"/>
      <c r="F897" s="242"/>
      <c r="G897" s="358"/>
      <c r="H897" s="217"/>
      <c r="I897" s="54"/>
      <c r="J897" s="218"/>
      <c r="K897" s="218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</row>
    <row r="898" ht="12.75" customHeight="1">
      <c r="A898" s="353"/>
      <c r="B898" s="54"/>
      <c r="E898" s="354"/>
      <c r="F898" s="242"/>
      <c r="G898" s="358"/>
      <c r="H898" s="217"/>
      <c r="I898" s="54"/>
      <c r="J898" s="218"/>
      <c r="K898" s="218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</row>
    <row r="899" ht="12.75" customHeight="1">
      <c r="A899" s="353"/>
      <c r="B899" s="54"/>
      <c r="E899" s="354"/>
      <c r="F899" s="242"/>
      <c r="G899" s="358"/>
      <c r="H899" s="217"/>
      <c r="I899" s="54"/>
      <c r="J899" s="218"/>
      <c r="K899" s="218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</row>
    <row r="900" ht="12.75" customHeight="1">
      <c r="A900" s="353"/>
      <c r="B900" s="54"/>
      <c r="E900" s="354"/>
      <c r="F900" s="242"/>
      <c r="G900" s="358"/>
      <c r="H900" s="217"/>
      <c r="I900" s="54"/>
      <c r="J900" s="218"/>
      <c r="K900" s="218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</row>
    <row r="901" ht="12.75" customHeight="1">
      <c r="A901" s="353"/>
      <c r="B901" s="54"/>
      <c r="E901" s="354"/>
      <c r="F901" s="242"/>
      <c r="G901" s="358"/>
      <c r="H901" s="217"/>
      <c r="I901" s="54"/>
      <c r="J901" s="218"/>
      <c r="K901" s="218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</row>
    <row r="902" ht="12.75" customHeight="1">
      <c r="A902" s="353"/>
      <c r="B902" s="54"/>
      <c r="E902" s="354"/>
      <c r="F902" s="242"/>
      <c r="G902" s="358"/>
      <c r="H902" s="217"/>
      <c r="I902" s="54"/>
      <c r="J902" s="218"/>
      <c r="K902" s="218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</row>
    <row r="903" ht="12.75" customHeight="1">
      <c r="A903" s="353"/>
      <c r="B903" s="54"/>
      <c r="E903" s="354"/>
      <c r="F903" s="242"/>
      <c r="G903" s="358"/>
      <c r="H903" s="217"/>
      <c r="I903" s="54"/>
      <c r="J903" s="218"/>
      <c r="K903" s="218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</row>
    <row r="904" ht="12.75" customHeight="1">
      <c r="A904" s="353"/>
      <c r="B904" s="54"/>
      <c r="E904" s="354"/>
      <c r="F904" s="242"/>
      <c r="G904" s="358"/>
      <c r="H904" s="217"/>
      <c r="I904" s="54"/>
      <c r="J904" s="218"/>
      <c r="K904" s="218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</row>
    <row r="905" ht="12.75" customHeight="1">
      <c r="A905" s="353"/>
      <c r="B905" s="54"/>
      <c r="E905" s="354"/>
      <c r="F905" s="242"/>
      <c r="G905" s="358"/>
      <c r="H905" s="217"/>
      <c r="I905" s="54"/>
      <c r="J905" s="218"/>
      <c r="K905" s="218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</row>
    <row r="906" ht="12.75" customHeight="1">
      <c r="A906" s="353"/>
      <c r="B906" s="54"/>
      <c r="E906" s="354"/>
      <c r="F906" s="242"/>
      <c r="G906" s="358"/>
      <c r="H906" s="217"/>
      <c r="I906" s="54"/>
      <c r="J906" s="218"/>
      <c r="K906" s="218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</row>
    <row r="907" ht="12.75" customHeight="1">
      <c r="A907" s="353"/>
      <c r="B907" s="54"/>
      <c r="E907" s="354"/>
      <c r="F907" s="242"/>
      <c r="G907" s="358"/>
      <c r="H907" s="217"/>
      <c r="I907" s="54"/>
      <c r="J907" s="218"/>
      <c r="K907" s="218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</row>
    <row r="908" ht="12.75" customHeight="1">
      <c r="A908" s="353"/>
      <c r="B908" s="54"/>
      <c r="E908" s="354"/>
      <c r="F908" s="242"/>
      <c r="G908" s="358"/>
      <c r="H908" s="217"/>
      <c r="I908" s="54"/>
      <c r="J908" s="218"/>
      <c r="K908" s="218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</row>
    <row r="909" ht="12.75" customHeight="1">
      <c r="A909" s="353"/>
      <c r="B909" s="54"/>
      <c r="E909" s="354"/>
      <c r="F909" s="242"/>
      <c r="G909" s="358"/>
      <c r="H909" s="217"/>
      <c r="I909" s="54"/>
      <c r="J909" s="218"/>
      <c r="K909" s="218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</row>
    <row r="910" ht="12.75" customHeight="1">
      <c r="A910" s="353"/>
      <c r="B910" s="54"/>
      <c r="E910" s="354"/>
      <c r="F910" s="242"/>
      <c r="G910" s="358"/>
      <c r="H910" s="217"/>
      <c r="I910" s="54"/>
      <c r="J910" s="218"/>
      <c r="K910" s="218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</row>
    <row r="911" ht="12.75" customHeight="1">
      <c r="A911" s="353"/>
      <c r="B911" s="54"/>
      <c r="E911" s="354"/>
      <c r="F911" s="242"/>
      <c r="G911" s="358"/>
      <c r="H911" s="217"/>
      <c r="I911" s="54"/>
      <c r="J911" s="218"/>
      <c r="K911" s="218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</row>
    <row r="912" ht="12.75" customHeight="1">
      <c r="A912" s="353"/>
      <c r="B912" s="54"/>
      <c r="E912" s="354"/>
      <c r="F912" s="242"/>
      <c r="G912" s="358"/>
      <c r="H912" s="217"/>
      <c r="I912" s="54"/>
      <c r="J912" s="218"/>
      <c r="K912" s="218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</row>
    <row r="913" ht="12.75" customHeight="1">
      <c r="A913" s="353"/>
      <c r="B913" s="54"/>
      <c r="E913" s="354"/>
      <c r="F913" s="242"/>
      <c r="G913" s="358"/>
      <c r="H913" s="217"/>
      <c r="I913" s="54"/>
      <c r="J913" s="218"/>
      <c r="K913" s="218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</row>
    <row r="914" ht="12.75" customHeight="1">
      <c r="A914" s="353"/>
      <c r="B914" s="54"/>
      <c r="E914" s="354"/>
      <c r="F914" s="242"/>
      <c r="G914" s="358"/>
      <c r="H914" s="217"/>
      <c r="I914" s="54"/>
      <c r="J914" s="218"/>
      <c r="K914" s="218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</row>
    <row r="915" ht="12.75" customHeight="1">
      <c r="A915" s="353"/>
      <c r="B915" s="54"/>
      <c r="E915" s="354"/>
      <c r="F915" s="242"/>
      <c r="G915" s="358"/>
      <c r="H915" s="217"/>
      <c r="I915" s="54"/>
      <c r="J915" s="218"/>
      <c r="K915" s="218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</row>
    <row r="916" ht="12.75" customHeight="1">
      <c r="A916" s="353"/>
      <c r="B916" s="54"/>
      <c r="E916" s="354"/>
      <c r="F916" s="242"/>
      <c r="G916" s="358"/>
      <c r="H916" s="217"/>
      <c r="I916" s="54"/>
      <c r="J916" s="218"/>
      <c r="K916" s="218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</row>
    <row r="917" ht="12.75" customHeight="1">
      <c r="A917" s="353"/>
      <c r="B917" s="54"/>
      <c r="E917" s="354"/>
      <c r="F917" s="242"/>
      <c r="G917" s="358"/>
      <c r="H917" s="217"/>
      <c r="I917" s="54"/>
      <c r="J917" s="218"/>
      <c r="K917" s="218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</row>
    <row r="918" ht="12.75" customHeight="1">
      <c r="A918" s="353"/>
      <c r="B918" s="54"/>
      <c r="E918" s="354"/>
      <c r="F918" s="242"/>
      <c r="G918" s="358"/>
      <c r="H918" s="217"/>
      <c r="I918" s="54"/>
      <c r="J918" s="218"/>
      <c r="K918" s="218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</row>
    <row r="919" ht="12.75" customHeight="1">
      <c r="A919" s="353"/>
      <c r="B919" s="54"/>
      <c r="E919" s="354"/>
      <c r="F919" s="242"/>
      <c r="G919" s="358"/>
      <c r="H919" s="217"/>
      <c r="I919" s="54"/>
      <c r="J919" s="218"/>
      <c r="K919" s="218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</row>
    <row r="920" ht="12.75" customHeight="1">
      <c r="A920" s="353"/>
      <c r="B920" s="54"/>
      <c r="E920" s="354"/>
      <c r="F920" s="242"/>
      <c r="G920" s="358"/>
      <c r="H920" s="217"/>
      <c r="I920" s="54"/>
      <c r="J920" s="218"/>
      <c r="K920" s="218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</row>
    <row r="921" ht="12.75" customHeight="1">
      <c r="A921" s="353"/>
      <c r="B921" s="54"/>
      <c r="E921" s="354"/>
      <c r="F921" s="242"/>
      <c r="G921" s="358"/>
      <c r="H921" s="217"/>
      <c r="I921" s="54"/>
      <c r="J921" s="218"/>
      <c r="K921" s="218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</row>
    <row r="922" ht="12.75" customHeight="1">
      <c r="A922" s="353"/>
      <c r="B922" s="54"/>
      <c r="E922" s="354"/>
      <c r="F922" s="242"/>
      <c r="G922" s="358"/>
      <c r="H922" s="217"/>
      <c r="I922" s="54"/>
      <c r="J922" s="218"/>
      <c r="K922" s="218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</row>
    <row r="923" ht="12.75" customHeight="1">
      <c r="A923" s="353"/>
      <c r="B923" s="54"/>
      <c r="E923" s="354"/>
      <c r="F923" s="242"/>
      <c r="G923" s="358"/>
      <c r="H923" s="217"/>
      <c r="I923" s="54"/>
      <c r="J923" s="218"/>
      <c r="K923" s="218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</row>
    <row r="924" ht="12.75" customHeight="1">
      <c r="A924" s="353"/>
      <c r="B924" s="54"/>
      <c r="E924" s="354"/>
      <c r="F924" s="242"/>
      <c r="G924" s="358"/>
      <c r="H924" s="217"/>
      <c r="I924" s="54"/>
      <c r="J924" s="218"/>
      <c r="K924" s="218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</row>
    <row r="925" ht="12.75" customHeight="1">
      <c r="A925" s="353"/>
      <c r="B925" s="54"/>
      <c r="E925" s="354"/>
      <c r="F925" s="242"/>
      <c r="G925" s="358"/>
      <c r="H925" s="217"/>
      <c r="I925" s="54"/>
      <c r="J925" s="218"/>
      <c r="K925" s="218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</row>
    <row r="926" ht="12.75" customHeight="1">
      <c r="A926" s="353"/>
      <c r="B926" s="54"/>
      <c r="E926" s="354"/>
      <c r="F926" s="242"/>
      <c r="G926" s="358"/>
      <c r="H926" s="217"/>
      <c r="I926" s="54"/>
      <c r="J926" s="218"/>
      <c r="K926" s="218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</row>
    <row r="927" ht="12.75" customHeight="1">
      <c r="A927" s="353"/>
      <c r="B927" s="54"/>
      <c r="E927" s="354"/>
      <c r="F927" s="242"/>
      <c r="G927" s="358"/>
      <c r="H927" s="217"/>
      <c r="I927" s="54"/>
      <c r="J927" s="218"/>
      <c r="K927" s="218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</row>
    <row r="928" ht="12.75" customHeight="1">
      <c r="A928" s="353"/>
      <c r="B928" s="54"/>
      <c r="E928" s="354"/>
      <c r="F928" s="242"/>
      <c r="G928" s="358"/>
      <c r="H928" s="217"/>
      <c r="I928" s="54"/>
      <c r="J928" s="218"/>
      <c r="K928" s="218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</row>
    <row r="929" ht="12.75" customHeight="1">
      <c r="A929" s="353"/>
      <c r="B929" s="54"/>
      <c r="E929" s="354"/>
      <c r="F929" s="242"/>
      <c r="G929" s="358"/>
      <c r="H929" s="217"/>
      <c r="I929" s="54"/>
      <c r="J929" s="218"/>
      <c r="K929" s="218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</row>
    <row r="930" ht="12.75" customHeight="1">
      <c r="A930" s="353"/>
      <c r="B930" s="54"/>
      <c r="E930" s="354"/>
      <c r="F930" s="242"/>
      <c r="G930" s="358"/>
      <c r="H930" s="217"/>
      <c r="I930" s="54"/>
      <c r="J930" s="218"/>
      <c r="K930" s="218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</row>
    <row r="931" ht="12.75" customHeight="1">
      <c r="A931" s="353"/>
      <c r="B931" s="54"/>
      <c r="E931" s="354"/>
      <c r="F931" s="242"/>
      <c r="G931" s="358"/>
      <c r="H931" s="217"/>
      <c r="I931" s="54"/>
      <c r="J931" s="218"/>
      <c r="K931" s="218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</row>
    <row r="932" ht="12.75" customHeight="1">
      <c r="A932" s="353"/>
      <c r="B932" s="54"/>
      <c r="E932" s="354"/>
      <c r="F932" s="242"/>
      <c r="G932" s="358"/>
      <c r="H932" s="217"/>
      <c r="I932" s="54"/>
      <c r="J932" s="218"/>
      <c r="K932" s="218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</row>
    <row r="933" ht="12.75" customHeight="1">
      <c r="A933" s="353"/>
      <c r="B933" s="54"/>
      <c r="E933" s="354"/>
      <c r="F933" s="242"/>
      <c r="G933" s="358"/>
      <c r="H933" s="217"/>
      <c r="I933" s="54"/>
      <c r="J933" s="218"/>
      <c r="K933" s="218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</row>
    <row r="934" ht="12.75" customHeight="1">
      <c r="A934" s="353"/>
      <c r="B934" s="54"/>
      <c r="E934" s="354"/>
      <c r="F934" s="242"/>
      <c r="G934" s="358"/>
      <c r="H934" s="217"/>
      <c r="I934" s="54"/>
      <c r="J934" s="218"/>
      <c r="K934" s="218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</row>
    <row r="935" ht="12.75" customHeight="1">
      <c r="A935" s="353"/>
      <c r="B935" s="54"/>
      <c r="E935" s="354"/>
      <c r="F935" s="242"/>
      <c r="G935" s="358"/>
      <c r="H935" s="217"/>
      <c r="I935" s="54"/>
      <c r="J935" s="218"/>
      <c r="K935" s="218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</row>
    <row r="936" ht="12.75" customHeight="1">
      <c r="A936" s="353"/>
      <c r="B936" s="54"/>
      <c r="E936" s="354"/>
      <c r="F936" s="242"/>
      <c r="G936" s="358"/>
      <c r="H936" s="217"/>
      <c r="I936" s="54"/>
      <c r="J936" s="218"/>
      <c r="K936" s="218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</row>
    <row r="937" ht="12.75" customHeight="1">
      <c r="A937" s="353"/>
      <c r="B937" s="54"/>
      <c r="E937" s="354"/>
      <c r="F937" s="242"/>
      <c r="G937" s="358"/>
      <c r="H937" s="217"/>
      <c r="I937" s="54"/>
      <c r="J937" s="218"/>
      <c r="K937" s="218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</row>
    <row r="938" ht="12.75" customHeight="1">
      <c r="A938" s="353"/>
      <c r="B938" s="54"/>
      <c r="E938" s="354"/>
      <c r="F938" s="242"/>
      <c r="G938" s="358"/>
      <c r="H938" s="217"/>
      <c r="I938" s="54"/>
      <c r="J938" s="218"/>
      <c r="K938" s="218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</row>
    <row r="939" ht="12.75" customHeight="1">
      <c r="A939" s="353"/>
      <c r="B939" s="54"/>
      <c r="E939" s="354"/>
      <c r="F939" s="242"/>
      <c r="G939" s="358"/>
      <c r="H939" s="217"/>
      <c r="I939" s="54"/>
      <c r="J939" s="218"/>
      <c r="K939" s="218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</row>
    <row r="940" ht="12.75" customHeight="1">
      <c r="A940" s="353"/>
      <c r="B940" s="54"/>
      <c r="E940" s="354"/>
      <c r="F940" s="242"/>
      <c r="G940" s="358"/>
      <c r="H940" s="217"/>
      <c r="I940" s="54"/>
      <c r="J940" s="218"/>
      <c r="K940" s="218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</row>
    <row r="941" ht="12.75" customHeight="1">
      <c r="A941" s="353"/>
      <c r="B941" s="54"/>
      <c r="E941" s="354"/>
      <c r="F941" s="242"/>
      <c r="G941" s="358"/>
      <c r="H941" s="217"/>
      <c r="I941" s="54"/>
      <c r="J941" s="218"/>
      <c r="K941" s="218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</row>
    <row r="942" ht="12.75" customHeight="1">
      <c r="A942" s="353"/>
      <c r="B942" s="54"/>
      <c r="E942" s="354"/>
      <c r="F942" s="242"/>
      <c r="G942" s="358"/>
      <c r="H942" s="217"/>
      <c r="I942" s="54"/>
      <c r="J942" s="218"/>
      <c r="K942" s="218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</row>
    <row r="943" ht="12.75" customHeight="1">
      <c r="A943" s="353"/>
      <c r="B943" s="54"/>
      <c r="E943" s="354"/>
      <c r="F943" s="242"/>
      <c r="G943" s="358"/>
      <c r="H943" s="217"/>
      <c r="I943" s="54"/>
      <c r="J943" s="218"/>
      <c r="K943" s="218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</row>
    <row r="944" ht="12.75" customHeight="1">
      <c r="A944" s="353"/>
      <c r="B944" s="54"/>
      <c r="E944" s="354"/>
      <c r="F944" s="242"/>
      <c r="G944" s="358"/>
      <c r="H944" s="217"/>
      <c r="I944" s="54"/>
      <c r="J944" s="218"/>
      <c r="K944" s="218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</row>
    <row r="945" ht="12.75" customHeight="1">
      <c r="A945" s="353"/>
      <c r="B945" s="54"/>
      <c r="E945" s="354"/>
      <c r="F945" s="242"/>
      <c r="G945" s="358"/>
      <c r="H945" s="217"/>
      <c r="I945" s="54"/>
      <c r="J945" s="218"/>
      <c r="K945" s="218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</row>
    <row r="946" ht="12.75" customHeight="1">
      <c r="A946" s="353"/>
      <c r="B946" s="54"/>
      <c r="E946" s="354"/>
      <c r="F946" s="242"/>
      <c r="G946" s="358"/>
      <c r="H946" s="217"/>
      <c r="I946" s="54"/>
      <c r="J946" s="218"/>
      <c r="K946" s="218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</row>
    <row r="947" ht="12.75" customHeight="1">
      <c r="A947" s="353"/>
      <c r="B947" s="54"/>
      <c r="E947" s="354"/>
      <c r="F947" s="242"/>
      <c r="G947" s="358"/>
      <c r="H947" s="217"/>
      <c r="I947" s="54"/>
      <c r="J947" s="218"/>
      <c r="K947" s="218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</row>
    <row r="948" ht="12.75" customHeight="1">
      <c r="A948" s="353"/>
      <c r="B948" s="54"/>
      <c r="E948" s="354"/>
      <c r="F948" s="242"/>
      <c r="G948" s="358"/>
      <c r="H948" s="217"/>
      <c r="I948" s="54"/>
      <c r="J948" s="218"/>
      <c r="K948" s="218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</row>
    <row r="949" ht="12.75" customHeight="1">
      <c r="A949" s="353"/>
      <c r="B949" s="54"/>
      <c r="E949" s="354"/>
      <c r="F949" s="242"/>
      <c r="G949" s="358"/>
      <c r="H949" s="217"/>
      <c r="I949" s="54"/>
      <c r="J949" s="218"/>
      <c r="K949" s="218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</row>
    <row r="950" ht="12.75" customHeight="1">
      <c r="A950" s="353"/>
      <c r="B950" s="54"/>
      <c r="E950" s="354"/>
      <c r="F950" s="242"/>
      <c r="G950" s="358"/>
      <c r="H950" s="217"/>
      <c r="I950" s="54"/>
      <c r="J950" s="218"/>
      <c r="K950" s="218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</row>
    <row r="951" ht="12.75" customHeight="1">
      <c r="A951" s="353"/>
      <c r="B951" s="54"/>
      <c r="E951" s="354"/>
      <c r="F951" s="242"/>
      <c r="G951" s="358"/>
      <c r="H951" s="217"/>
      <c r="I951" s="54"/>
      <c r="J951" s="218"/>
      <c r="K951" s="218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</row>
    <row r="952" ht="12.75" customHeight="1">
      <c r="A952" s="353"/>
      <c r="B952" s="54"/>
      <c r="E952" s="354"/>
      <c r="F952" s="242"/>
      <c r="G952" s="358"/>
      <c r="H952" s="217"/>
      <c r="I952" s="54"/>
      <c r="J952" s="218"/>
      <c r="K952" s="218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</row>
    <row r="953" ht="12.75" customHeight="1">
      <c r="A953" s="353"/>
      <c r="B953" s="54"/>
      <c r="E953" s="354"/>
      <c r="F953" s="242"/>
      <c r="G953" s="358"/>
      <c r="H953" s="217"/>
      <c r="I953" s="54"/>
      <c r="J953" s="218"/>
      <c r="K953" s="218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</row>
    <row r="954" ht="12.75" customHeight="1">
      <c r="A954" s="353"/>
      <c r="B954" s="54"/>
      <c r="E954" s="354"/>
      <c r="F954" s="242"/>
      <c r="G954" s="358"/>
      <c r="H954" s="217"/>
      <c r="I954" s="54"/>
      <c r="J954" s="218"/>
      <c r="K954" s="218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</row>
    <row r="955" ht="12.75" customHeight="1">
      <c r="A955" s="353"/>
      <c r="B955" s="54"/>
      <c r="E955" s="354"/>
      <c r="F955" s="242"/>
      <c r="G955" s="358"/>
      <c r="H955" s="217"/>
      <c r="I955" s="54"/>
      <c r="J955" s="218"/>
      <c r="K955" s="218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</row>
    <row r="956" ht="12.75" customHeight="1">
      <c r="A956" s="353"/>
      <c r="B956" s="54"/>
      <c r="E956" s="354"/>
      <c r="F956" s="242"/>
      <c r="G956" s="358"/>
      <c r="H956" s="217"/>
      <c r="I956" s="54"/>
      <c r="J956" s="218"/>
      <c r="K956" s="218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</row>
    <row r="957" ht="12.75" customHeight="1">
      <c r="A957" s="353"/>
      <c r="B957" s="54"/>
      <c r="E957" s="354"/>
      <c r="F957" s="242"/>
      <c r="G957" s="358"/>
      <c r="H957" s="217"/>
      <c r="I957" s="54"/>
      <c r="J957" s="218"/>
      <c r="K957" s="218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</row>
    <row r="958" ht="12.75" customHeight="1">
      <c r="A958" s="353"/>
      <c r="B958" s="54"/>
      <c r="E958" s="354"/>
      <c r="F958" s="242"/>
      <c r="G958" s="358"/>
      <c r="H958" s="217"/>
      <c r="I958" s="54"/>
      <c r="J958" s="218"/>
      <c r="K958" s="218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</row>
    <row r="959" ht="12.75" customHeight="1">
      <c r="A959" s="353"/>
      <c r="B959" s="54"/>
      <c r="E959" s="354"/>
      <c r="F959" s="242"/>
      <c r="G959" s="358"/>
      <c r="H959" s="217"/>
      <c r="I959" s="54"/>
      <c r="J959" s="218"/>
      <c r="K959" s="218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</row>
    <row r="960" ht="12.75" customHeight="1">
      <c r="A960" s="353"/>
      <c r="B960" s="54"/>
      <c r="E960" s="354"/>
      <c r="F960" s="242"/>
      <c r="G960" s="358"/>
      <c r="H960" s="217"/>
      <c r="I960" s="54"/>
      <c r="J960" s="218"/>
      <c r="K960" s="218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</row>
    <row r="961" ht="12.75" customHeight="1">
      <c r="A961" s="353"/>
      <c r="B961" s="54"/>
      <c r="E961" s="354"/>
      <c r="F961" s="242"/>
      <c r="G961" s="358"/>
      <c r="H961" s="217"/>
      <c r="I961" s="54"/>
      <c r="J961" s="218"/>
      <c r="K961" s="218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</row>
    <row r="962" ht="12.75" customHeight="1">
      <c r="A962" s="353"/>
      <c r="B962" s="54"/>
      <c r="E962" s="354"/>
      <c r="F962" s="242"/>
      <c r="G962" s="358"/>
      <c r="H962" s="217"/>
      <c r="I962" s="54"/>
      <c r="J962" s="218"/>
      <c r="K962" s="218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</row>
    <row r="963" ht="12.75" customHeight="1">
      <c r="A963" s="353"/>
      <c r="B963" s="54"/>
      <c r="E963" s="354"/>
      <c r="F963" s="242"/>
      <c r="G963" s="358"/>
      <c r="H963" s="217"/>
      <c r="I963" s="54"/>
      <c r="J963" s="218"/>
      <c r="K963" s="218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</row>
    <row r="964" ht="12.75" customHeight="1">
      <c r="A964" s="353"/>
      <c r="B964" s="54"/>
      <c r="E964" s="354"/>
      <c r="F964" s="242"/>
      <c r="G964" s="358"/>
      <c r="H964" s="217"/>
      <c r="I964" s="54"/>
      <c r="J964" s="218"/>
      <c r="K964" s="218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</row>
    <row r="965" ht="12.75" customHeight="1">
      <c r="A965" s="353"/>
      <c r="B965" s="54"/>
      <c r="E965" s="354"/>
      <c r="F965" s="242"/>
      <c r="G965" s="358"/>
      <c r="H965" s="217"/>
      <c r="I965" s="54"/>
      <c r="J965" s="218"/>
      <c r="K965" s="218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</row>
    <row r="966" ht="12.75" customHeight="1">
      <c r="A966" s="353"/>
      <c r="B966" s="54"/>
      <c r="E966" s="354"/>
      <c r="F966" s="242"/>
      <c r="G966" s="358"/>
      <c r="H966" s="217"/>
      <c r="I966" s="54"/>
      <c r="J966" s="218"/>
      <c r="K966" s="218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</row>
    <row r="967" ht="12.75" customHeight="1">
      <c r="A967" s="353"/>
      <c r="B967" s="54"/>
      <c r="E967" s="354"/>
      <c r="F967" s="242"/>
      <c r="G967" s="358"/>
      <c r="H967" s="217"/>
      <c r="I967" s="54"/>
      <c r="J967" s="218"/>
      <c r="K967" s="218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</row>
    <row r="968" ht="12.75" customHeight="1">
      <c r="A968" s="353"/>
      <c r="B968" s="54"/>
      <c r="E968" s="354"/>
      <c r="F968" s="242"/>
      <c r="G968" s="358"/>
      <c r="H968" s="217"/>
      <c r="I968" s="54"/>
      <c r="J968" s="218"/>
      <c r="K968" s="218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</row>
    <row r="969" ht="12.75" customHeight="1">
      <c r="A969" s="353"/>
      <c r="B969" s="54"/>
      <c r="E969" s="354"/>
      <c r="F969" s="242"/>
      <c r="G969" s="358"/>
      <c r="H969" s="217"/>
      <c r="I969" s="54"/>
      <c r="J969" s="218"/>
      <c r="K969" s="218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</row>
    <row r="970" ht="12.75" customHeight="1">
      <c r="A970" s="353"/>
      <c r="B970" s="54"/>
      <c r="E970" s="354"/>
      <c r="F970" s="242"/>
      <c r="G970" s="358"/>
      <c r="H970" s="217"/>
      <c r="I970" s="54"/>
      <c r="J970" s="218"/>
      <c r="K970" s="218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</row>
    <row r="971" ht="12.75" customHeight="1">
      <c r="A971" s="353"/>
      <c r="B971" s="54"/>
      <c r="E971" s="354"/>
      <c r="F971" s="242"/>
      <c r="G971" s="358"/>
      <c r="H971" s="217"/>
      <c r="I971" s="54"/>
      <c r="J971" s="218"/>
      <c r="K971" s="218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</row>
    <row r="972" ht="12.75" customHeight="1">
      <c r="A972" s="353"/>
      <c r="B972" s="54"/>
      <c r="E972" s="354"/>
      <c r="F972" s="242"/>
      <c r="G972" s="358"/>
      <c r="H972" s="217"/>
      <c r="I972" s="54"/>
      <c r="J972" s="218"/>
      <c r="K972" s="218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</row>
    <row r="973" ht="12.75" customHeight="1">
      <c r="A973" s="353"/>
      <c r="B973" s="54"/>
      <c r="E973" s="354"/>
      <c r="F973" s="242"/>
      <c r="G973" s="358"/>
      <c r="H973" s="217"/>
      <c r="I973" s="54"/>
      <c r="J973" s="218"/>
      <c r="K973" s="218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</row>
    <row r="974" ht="12.75" customHeight="1">
      <c r="A974" s="353"/>
      <c r="B974" s="54"/>
      <c r="E974" s="354"/>
      <c r="F974" s="242"/>
      <c r="G974" s="358"/>
      <c r="H974" s="217"/>
      <c r="I974" s="54"/>
      <c r="J974" s="218"/>
      <c r="K974" s="218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</row>
    <row r="975" ht="12.75" customHeight="1">
      <c r="A975" s="353"/>
      <c r="B975" s="54"/>
      <c r="E975" s="354"/>
      <c r="F975" s="242"/>
      <c r="G975" s="358"/>
      <c r="H975" s="217"/>
      <c r="I975" s="54"/>
      <c r="J975" s="218"/>
      <c r="K975" s="218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</row>
    <row r="976" ht="12.75" customHeight="1">
      <c r="A976" s="353"/>
      <c r="B976" s="54"/>
      <c r="E976" s="354"/>
      <c r="F976" s="242"/>
      <c r="G976" s="358"/>
      <c r="H976" s="217"/>
      <c r="I976" s="54"/>
      <c r="J976" s="218"/>
      <c r="K976" s="218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</row>
    <row r="977" ht="12.75" customHeight="1">
      <c r="A977" s="353"/>
      <c r="B977" s="54"/>
      <c r="E977" s="354"/>
      <c r="F977" s="242"/>
      <c r="G977" s="358"/>
      <c r="H977" s="217"/>
      <c r="I977" s="54"/>
      <c r="J977" s="218"/>
      <c r="K977" s="218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</row>
    <row r="978" ht="12.75" customHeight="1">
      <c r="A978" s="353"/>
      <c r="B978" s="54"/>
      <c r="E978" s="354"/>
      <c r="F978" s="242"/>
      <c r="G978" s="358"/>
      <c r="H978" s="217"/>
      <c r="I978" s="54"/>
      <c r="J978" s="218"/>
      <c r="K978" s="218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</row>
    <row r="979" ht="12.75" customHeight="1">
      <c r="A979" s="353"/>
      <c r="B979" s="54"/>
      <c r="E979" s="354"/>
      <c r="F979" s="242"/>
      <c r="G979" s="358"/>
      <c r="H979" s="217"/>
      <c r="I979" s="54"/>
      <c r="J979" s="218"/>
      <c r="K979" s="218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</row>
    <row r="980" ht="12.75" customHeight="1">
      <c r="A980" s="353"/>
      <c r="B980" s="54"/>
      <c r="E980" s="354"/>
      <c r="F980" s="242"/>
      <c r="G980" s="358"/>
      <c r="H980" s="217"/>
      <c r="I980" s="54"/>
      <c r="J980" s="218"/>
      <c r="K980" s="218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</row>
    <row r="981" ht="12.75" customHeight="1">
      <c r="A981" s="353"/>
      <c r="B981" s="54"/>
      <c r="E981" s="354"/>
      <c r="F981" s="242"/>
      <c r="G981" s="358"/>
      <c r="H981" s="217"/>
      <c r="I981" s="54"/>
      <c r="J981" s="218"/>
      <c r="K981" s="218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</row>
    <row r="982" ht="12.75" customHeight="1">
      <c r="A982" s="353"/>
      <c r="B982" s="54"/>
      <c r="E982" s="354"/>
      <c r="F982" s="242"/>
      <c r="G982" s="358"/>
      <c r="H982" s="217"/>
      <c r="I982" s="54"/>
      <c r="J982" s="218"/>
      <c r="K982" s="218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</row>
    <row r="983" ht="12.75" customHeight="1">
      <c r="A983" s="353"/>
      <c r="B983" s="54"/>
      <c r="E983" s="354"/>
      <c r="F983" s="242"/>
      <c r="G983" s="358"/>
      <c r="H983" s="217"/>
      <c r="I983" s="54"/>
      <c r="J983" s="218"/>
      <c r="K983" s="218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</row>
    <row r="984" ht="12.75" customHeight="1">
      <c r="A984" s="353"/>
      <c r="B984" s="54"/>
      <c r="E984" s="354"/>
      <c r="F984" s="242"/>
      <c r="G984" s="358"/>
      <c r="H984" s="217"/>
      <c r="I984" s="54"/>
      <c r="J984" s="218"/>
      <c r="K984" s="218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</row>
    <row r="985" ht="12.75" customHeight="1">
      <c r="A985" s="353"/>
      <c r="B985" s="54"/>
      <c r="E985" s="354"/>
      <c r="F985" s="242"/>
      <c r="G985" s="358"/>
      <c r="H985" s="217"/>
      <c r="I985" s="54"/>
      <c r="J985" s="218"/>
      <c r="K985" s="218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</row>
    <row r="986" ht="12.75" customHeight="1">
      <c r="A986" s="353"/>
      <c r="B986" s="54"/>
      <c r="E986" s="354"/>
      <c r="F986" s="242"/>
      <c r="G986" s="358"/>
      <c r="H986" s="217"/>
      <c r="I986" s="54"/>
      <c r="J986" s="218"/>
      <c r="K986" s="218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</row>
    <row r="987" ht="12.75" customHeight="1">
      <c r="A987" s="353"/>
      <c r="B987" s="54"/>
      <c r="E987" s="354"/>
      <c r="F987" s="242"/>
      <c r="G987" s="358"/>
      <c r="H987" s="217"/>
      <c r="I987" s="54"/>
      <c r="J987" s="218"/>
      <c r="K987" s="218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</row>
    <row r="988" ht="12.75" customHeight="1">
      <c r="A988" s="353"/>
      <c r="B988" s="54"/>
      <c r="E988" s="354"/>
      <c r="F988" s="242"/>
      <c r="G988" s="358"/>
      <c r="H988" s="217"/>
      <c r="I988" s="54"/>
      <c r="J988" s="218"/>
      <c r="K988" s="218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</row>
    <row r="989" ht="12.75" customHeight="1">
      <c r="A989" s="353"/>
      <c r="B989" s="54"/>
      <c r="E989" s="354"/>
      <c r="F989" s="242"/>
      <c r="G989" s="358"/>
      <c r="H989" s="217"/>
      <c r="I989" s="54"/>
      <c r="J989" s="218"/>
      <c r="K989" s="218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</row>
    <row r="990" ht="12.75" customHeight="1">
      <c r="A990" s="353"/>
      <c r="B990" s="54"/>
      <c r="E990" s="354"/>
      <c r="F990" s="242"/>
      <c r="G990" s="358"/>
      <c r="H990" s="217"/>
      <c r="I990" s="54"/>
      <c r="J990" s="218"/>
      <c r="K990" s="218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</row>
    <row r="991" ht="12.75" customHeight="1">
      <c r="A991" s="353"/>
      <c r="B991" s="54"/>
      <c r="E991" s="354"/>
      <c r="F991" s="242"/>
      <c r="G991" s="358"/>
      <c r="H991" s="217"/>
      <c r="I991" s="54"/>
      <c r="J991" s="218"/>
      <c r="K991" s="218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</row>
    <row r="992" ht="12.75" customHeight="1">
      <c r="A992" s="353"/>
      <c r="B992" s="54"/>
      <c r="E992" s="354"/>
      <c r="F992" s="242"/>
      <c r="G992" s="358"/>
      <c r="H992" s="217"/>
      <c r="I992" s="54"/>
      <c r="J992" s="218"/>
      <c r="K992" s="218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</row>
    <row r="993" ht="12.75" customHeight="1">
      <c r="A993" s="353"/>
      <c r="B993" s="54"/>
      <c r="E993" s="354"/>
      <c r="F993" s="242"/>
      <c r="G993" s="358"/>
      <c r="H993" s="217"/>
      <c r="I993" s="54"/>
      <c r="J993" s="218"/>
      <c r="K993" s="218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</row>
    <row r="994" ht="12.75" customHeight="1">
      <c r="A994" s="353"/>
      <c r="B994" s="54"/>
      <c r="E994" s="354"/>
      <c r="F994" s="242"/>
      <c r="G994" s="358"/>
      <c r="H994" s="217"/>
      <c r="I994" s="54"/>
      <c r="J994" s="218"/>
      <c r="K994" s="218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</row>
    <row r="995" ht="12.75" customHeight="1">
      <c r="A995" s="353"/>
      <c r="B995" s="54"/>
      <c r="E995" s="354"/>
      <c r="F995" s="242"/>
      <c r="G995" s="358"/>
      <c r="H995" s="217"/>
      <c r="I995" s="54"/>
      <c r="J995" s="218"/>
      <c r="K995" s="218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</row>
    <row r="996" ht="12.75" customHeight="1">
      <c r="A996" s="353"/>
      <c r="B996" s="54"/>
      <c r="E996" s="354"/>
      <c r="F996" s="242"/>
      <c r="G996" s="358"/>
      <c r="H996" s="217"/>
      <c r="I996" s="54"/>
      <c r="J996" s="218"/>
      <c r="K996" s="218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</row>
    <row r="997" ht="12.75" customHeight="1">
      <c r="A997" s="353"/>
      <c r="B997" s="54"/>
      <c r="E997" s="354"/>
      <c r="F997" s="242"/>
      <c r="G997" s="358"/>
      <c r="H997" s="217"/>
      <c r="I997" s="54"/>
      <c r="J997" s="218"/>
      <c r="K997" s="218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</row>
    <row r="998" ht="12.75" customHeight="1">
      <c r="A998" s="353"/>
      <c r="B998" s="54"/>
      <c r="E998" s="354"/>
      <c r="F998" s="242"/>
      <c r="G998" s="358"/>
      <c r="H998" s="217"/>
      <c r="I998" s="54"/>
      <c r="J998" s="218"/>
      <c r="K998" s="218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</row>
    <row r="999" ht="12.75" customHeight="1">
      <c r="A999" s="353"/>
      <c r="B999" s="54"/>
      <c r="E999" s="354"/>
      <c r="F999" s="242"/>
      <c r="G999" s="358"/>
      <c r="H999" s="217"/>
      <c r="I999" s="54"/>
      <c r="J999" s="218"/>
      <c r="K999" s="218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</row>
    <row r="1000" ht="12.75" customHeight="1">
      <c r="A1000" s="353"/>
      <c r="B1000" s="54"/>
      <c r="E1000" s="354"/>
      <c r="F1000" s="242"/>
      <c r="G1000" s="358"/>
      <c r="H1000" s="217"/>
      <c r="I1000" s="54"/>
      <c r="J1000" s="218"/>
      <c r="K1000" s="218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</row>
    <row r="1001" ht="12.75" customHeight="1">
      <c r="A1001" s="353"/>
      <c r="B1001" s="54"/>
      <c r="E1001" s="354"/>
      <c r="F1001" s="242"/>
      <c r="G1001" s="358"/>
      <c r="H1001" s="217"/>
      <c r="I1001" s="54"/>
      <c r="J1001" s="218"/>
      <c r="K1001" s="218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</row>
    <row r="1002" ht="12.75" customHeight="1">
      <c r="A1002" s="353"/>
      <c r="B1002" s="54"/>
      <c r="E1002" s="354"/>
      <c r="F1002" s="242"/>
      <c r="G1002" s="358"/>
      <c r="H1002" s="217"/>
      <c r="I1002" s="54"/>
      <c r="J1002" s="218"/>
      <c r="K1002" s="218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</row>
    <row r="1003" ht="12.75" customHeight="1">
      <c r="A1003" s="353"/>
      <c r="B1003" s="54"/>
      <c r="E1003" s="354"/>
      <c r="F1003" s="242"/>
      <c r="G1003" s="358"/>
      <c r="H1003" s="217"/>
      <c r="I1003" s="54"/>
      <c r="J1003" s="218"/>
      <c r="K1003" s="218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</row>
    <row r="1004" ht="12.75" customHeight="1">
      <c r="A1004" s="353"/>
      <c r="B1004" s="54"/>
      <c r="E1004" s="354"/>
      <c r="F1004" s="242"/>
      <c r="G1004" s="358"/>
      <c r="H1004" s="217"/>
      <c r="I1004" s="54"/>
      <c r="J1004" s="218"/>
      <c r="K1004" s="218"/>
      <c r="L1004" s="54"/>
      <c r="M1004" s="54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</row>
    <row r="1005" ht="12.75" customHeight="1">
      <c r="A1005" s="353"/>
      <c r="B1005" s="54"/>
      <c r="E1005" s="354"/>
      <c r="F1005" s="242"/>
      <c r="G1005" s="358"/>
      <c r="H1005" s="217"/>
      <c r="I1005" s="54"/>
      <c r="J1005" s="218"/>
      <c r="K1005" s="218"/>
      <c r="L1005" s="54"/>
      <c r="M1005" s="54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</row>
    <row r="1006" ht="12.75" customHeight="1">
      <c r="A1006" s="353"/>
      <c r="B1006" s="54"/>
      <c r="E1006" s="354"/>
      <c r="F1006" s="242"/>
      <c r="G1006" s="358"/>
      <c r="H1006" s="217"/>
      <c r="I1006" s="54"/>
      <c r="J1006" s="218"/>
      <c r="K1006" s="218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</row>
    <row r="1007" ht="12.75" customHeight="1">
      <c r="A1007" s="353"/>
      <c r="B1007" s="54"/>
      <c r="E1007" s="354"/>
      <c r="F1007" s="242"/>
      <c r="G1007" s="358"/>
      <c r="H1007" s="217"/>
      <c r="I1007" s="54"/>
      <c r="J1007" s="218"/>
      <c r="K1007" s="218"/>
      <c r="L1007" s="54"/>
      <c r="M1007" s="54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</row>
    <row r="1008" ht="12.75" customHeight="1">
      <c r="A1008" s="353"/>
      <c r="B1008" s="54"/>
      <c r="E1008" s="354"/>
      <c r="F1008" s="242"/>
      <c r="G1008" s="358"/>
      <c r="H1008" s="217"/>
      <c r="I1008" s="54"/>
      <c r="J1008" s="218"/>
      <c r="K1008" s="218"/>
      <c r="L1008" s="54"/>
      <c r="M1008" s="54"/>
      <c r="N1008" s="54"/>
      <c r="O1008" s="54"/>
      <c r="P1008" s="54"/>
      <c r="Q1008" s="54"/>
      <c r="R1008" s="54"/>
      <c r="S1008" s="54"/>
      <c r="T1008" s="54"/>
      <c r="U1008" s="54"/>
      <c r="V1008" s="54"/>
      <c r="W1008" s="54"/>
      <c r="X1008" s="54"/>
      <c r="Y1008" s="54"/>
      <c r="Z1008" s="54"/>
      <c r="AA1008" s="54"/>
      <c r="AB1008" s="54"/>
    </row>
    <row r="1009" ht="12.75" customHeight="1">
      <c r="A1009" s="353"/>
      <c r="B1009" s="54"/>
      <c r="E1009" s="354"/>
      <c r="F1009" s="242"/>
      <c r="G1009" s="358"/>
      <c r="H1009" s="217"/>
      <c r="I1009" s="54"/>
      <c r="J1009" s="218"/>
      <c r="K1009" s="218"/>
      <c r="L1009" s="54"/>
      <c r="M1009" s="54"/>
      <c r="N1009" s="54"/>
      <c r="O1009" s="54"/>
      <c r="P1009" s="54"/>
      <c r="Q1009" s="54"/>
      <c r="R1009" s="54"/>
      <c r="S1009" s="54"/>
      <c r="T1009" s="54"/>
      <c r="U1009" s="54"/>
      <c r="V1009" s="54"/>
      <c r="W1009" s="54"/>
      <c r="X1009" s="54"/>
      <c r="Y1009" s="54"/>
      <c r="Z1009" s="54"/>
      <c r="AA1009" s="54"/>
      <c r="AB1009" s="54"/>
    </row>
    <row r="1010" ht="12.75" customHeight="1">
      <c r="A1010" s="353"/>
      <c r="B1010" s="54"/>
      <c r="E1010" s="354"/>
      <c r="F1010" s="242"/>
      <c r="G1010" s="358"/>
      <c r="H1010" s="217"/>
      <c r="I1010" s="54"/>
      <c r="J1010" s="218"/>
      <c r="K1010" s="218"/>
      <c r="L1010" s="54"/>
      <c r="M1010" s="54"/>
      <c r="N1010" s="54"/>
      <c r="O1010" s="54"/>
      <c r="P1010" s="54"/>
      <c r="Q1010" s="54"/>
      <c r="R1010" s="54"/>
      <c r="S1010" s="54"/>
      <c r="T1010" s="54"/>
      <c r="U1010" s="54"/>
      <c r="V1010" s="54"/>
      <c r="W1010" s="54"/>
      <c r="X1010" s="54"/>
      <c r="Y1010" s="54"/>
      <c r="Z1010" s="54"/>
      <c r="AA1010" s="54"/>
      <c r="AB1010" s="54"/>
    </row>
    <row r="1011" ht="12.75" customHeight="1">
      <c r="A1011" s="353"/>
      <c r="B1011" s="54"/>
      <c r="E1011" s="354"/>
      <c r="F1011" s="242"/>
      <c r="G1011" s="358"/>
      <c r="H1011" s="217"/>
      <c r="I1011" s="54"/>
      <c r="J1011" s="218"/>
      <c r="K1011" s="218"/>
      <c r="L1011" s="54"/>
      <c r="M1011" s="54"/>
      <c r="N1011" s="54"/>
      <c r="O1011" s="54"/>
      <c r="P1011" s="54"/>
      <c r="Q1011" s="54"/>
      <c r="R1011" s="54"/>
      <c r="S1011" s="54"/>
      <c r="T1011" s="54"/>
      <c r="U1011" s="54"/>
      <c r="V1011" s="54"/>
      <c r="W1011" s="54"/>
      <c r="X1011" s="54"/>
      <c r="Y1011" s="54"/>
      <c r="Z1011" s="54"/>
      <c r="AA1011" s="54"/>
      <c r="AB1011" s="54"/>
    </row>
    <row r="1012" ht="12.75" customHeight="1">
      <c r="A1012" s="353"/>
      <c r="B1012" s="54"/>
      <c r="E1012" s="354"/>
      <c r="F1012" s="242"/>
      <c r="G1012" s="358"/>
      <c r="H1012" s="217"/>
      <c r="I1012" s="54"/>
      <c r="J1012" s="218"/>
      <c r="K1012" s="218"/>
      <c r="L1012" s="54"/>
      <c r="M1012" s="54"/>
      <c r="N1012" s="54"/>
      <c r="O1012" s="54"/>
      <c r="P1012" s="54"/>
      <c r="Q1012" s="54"/>
      <c r="R1012" s="54"/>
      <c r="S1012" s="54"/>
      <c r="T1012" s="54"/>
      <c r="U1012" s="54"/>
      <c r="V1012" s="54"/>
      <c r="W1012" s="54"/>
      <c r="X1012" s="54"/>
      <c r="Y1012" s="54"/>
      <c r="Z1012" s="54"/>
      <c r="AA1012" s="54"/>
      <c r="AB1012" s="54"/>
    </row>
    <row r="1013" ht="12.75" customHeight="1">
      <c r="A1013" s="353"/>
      <c r="B1013" s="54"/>
      <c r="E1013" s="354"/>
      <c r="F1013" s="242"/>
      <c r="G1013" s="358"/>
      <c r="H1013" s="217"/>
      <c r="I1013" s="54"/>
      <c r="J1013" s="218"/>
      <c r="K1013" s="218"/>
      <c r="L1013" s="54"/>
      <c r="M1013" s="54"/>
      <c r="N1013" s="54"/>
      <c r="O1013" s="54"/>
      <c r="P1013" s="54"/>
      <c r="Q1013" s="54"/>
      <c r="R1013" s="54"/>
      <c r="S1013" s="54"/>
      <c r="T1013" s="54"/>
      <c r="U1013" s="54"/>
      <c r="V1013" s="54"/>
      <c r="W1013" s="54"/>
      <c r="X1013" s="54"/>
      <c r="Y1013" s="54"/>
      <c r="Z1013" s="54"/>
      <c r="AA1013" s="54"/>
      <c r="AB1013" s="54"/>
    </row>
    <row r="1014" ht="12.75" customHeight="1">
      <c r="A1014" s="353"/>
      <c r="B1014" s="54"/>
      <c r="E1014" s="354"/>
      <c r="F1014" s="242"/>
      <c r="G1014" s="358"/>
      <c r="H1014" s="217"/>
      <c r="I1014" s="54"/>
      <c r="J1014" s="218"/>
      <c r="K1014" s="218"/>
      <c r="L1014" s="54"/>
      <c r="M1014" s="54"/>
      <c r="N1014" s="54"/>
      <c r="O1014" s="54"/>
      <c r="P1014" s="54"/>
      <c r="Q1014" s="54"/>
      <c r="R1014" s="54"/>
      <c r="S1014" s="54"/>
      <c r="T1014" s="54"/>
      <c r="U1014" s="54"/>
      <c r="V1014" s="54"/>
      <c r="W1014" s="54"/>
      <c r="X1014" s="54"/>
      <c r="Y1014" s="54"/>
      <c r="Z1014" s="54"/>
      <c r="AA1014" s="54"/>
      <c r="AB1014" s="54"/>
    </row>
    <row r="1015" ht="12.75" customHeight="1">
      <c r="A1015" s="353"/>
      <c r="B1015" s="54"/>
      <c r="E1015" s="354"/>
      <c r="F1015" s="242"/>
      <c r="G1015" s="358"/>
      <c r="H1015" s="217"/>
      <c r="I1015" s="54"/>
      <c r="J1015" s="218"/>
      <c r="K1015" s="218"/>
      <c r="L1015" s="54"/>
      <c r="M1015" s="54"/>
      <c r="N1015" s="54"/>
      <c r="O1015" s="54"/>
      <c r="P1015" s="54"/>
      <c r="Q1015" s="54"/>
      <c r="R1015" s="54"/>
      <c r="S1015" s="54"/>
      <c r="T1015" s="54"/>
      <c r="U1015" s="54"/>
      <c r="V1015" s="54"/>
      <c r="W1015" s="54"/>
      <c r="X1015" s="54"/>
      <c r="Y1015" s="54"/>
      <c r="Z1015" s="54"/>
      <c r="AA1015" s="54"/>
      <c r="AB1015" s="54"/>
    </row>
    <row r="1016" ht="12.75" customHeight="1">
      <c r="A1016" s="353"/>
      <c r="B1016" s="54"/>
      <c r="E1016" s="354"/>
      <c r="F1016" s="242"/>
      <c r="G1016" s="358"/>
      <c r="H1016" s="217"/>
      <c r="I1016" s="54"/>
      <c r="J1016" s="218"/>
      <c r="K1016" s="218"/>
      <c r="L1016" s="54"/>
      <c r="M1016" s="54"/>
      <c r="N1016" s="54"/>
      <c r="O1016" s="54"/>
      <c r="P1016" s="54"/>
      <c r="Q1016" s="54"/>
      <c r="R1016" s="54"/>
      <c r="S1016" s="54"/>
      <c r="T1016" s="54"/>
      <c r="U1016" s="54"/>
      <c r="V1016" s="54"/>
      <c r="W1016" s="54"/>
      <c r="X1016" s="54"/>
      <c r="Y1016" s="54"/>
      <c r="Z1016" s="54"/>
      <c r="AA1016" s="54"/>
      <c r="AB1016" s="54"/>
    </row>
    <row r="1017" ht="12.75" customHeight="1">
      <c r="A1017" s="353"/>
      <c r="B1017" s="54"/>
      <c r="E1017" s="354"/>
      <c r="F1017" s="242"/>
      <c r="G1017" s="358"/>
      <c r="H1017" s="217"/>
      <c r="I1017" s="54"/>
      <c r="J1017" s="218"/>
      <c r="K1017" s="218"/>
      <c r="L1017" s="54"/>
      <c r="M1017" s="54"/>
      <c r="N1017" s="54"/>
      <c r="O1017" s="54"/>
      <c r="P1017" s="54"/>
      <c r="Q1017" s="54"/>
      <c r="R1017" s="54"/>
      <c r="S1017" s="54"/>
      <c r="T1017" s="54"/>
      <c r="U1017" s="54"/>
      <c r="V1017" s="54"/>
      <c r="W1017" s="54"/>
      <c r="X1017" s="54"/>
      <c r="Y1017" s="54"/>
      <c r="Z1017" s="54"/>
      <c r="AA1017" s="54"/>
      <c r="AB1017" s="54"/>
    </row>
    <row r="1018" ht="12.75" customHeight="1">
      <c r="A1018" s="353"/>
      <c r="B1018" s="54"/>
      <c r="E1018" s="354"/>
      <c r="F1018" s="242"/>
      <c r="G1018" s="358"/>
      <c r="H1018" s="217"/>
      <c r="I1018" s="54"/>
      <c r="J1018" s="218"/>
      <c r="K1018" s="218"/>
      <c r="L1018" s="54"/>
      <c r="M1018" s="54"/>
      <c r="N1018" s="54"/>
      <c r="O1018" s="54"/>
      <c r="P1018" s="54"/>
      <c r="Q1018" s="54"/>
      <c r="R1018" s="54"/>
      <c r="S1018" s="54"/>
      <c r="T1018" s="54"/>
      <c r="U1018" s="54"/>
      <c r="V1018" s="54"/>
      <c r="W1018" s="54"/>
      <c r="X1018" s="54"/>
      <c r="Y1018" s="54"/>
      <c r="Z1018" s="54"/>
      <c r="AA1018" s="54"/>
      <c r="AB1018" s="54"/>
    </row>
    <row r="1019" ht="12.75" customHeight="1">
      <c r="A1019" s="353"/>
      <c r="B1019" s="54"/>
      <c r="E1019" s="354"/>
      <c r="F1019" s="242"/>
      <c r="G1019" s="358"/>
      <c r="H1019" s="217"/>
      <c r="I1019" s="54"/>
      <c r="J1019" s="218"/>
      <c r="K1019" s="218"/>
      <c r="L1019" s="54"/>
      <c r="M1019" s="54"/>
      <c r="N1019" s="54"/>
      <c r="O1019" s="54"/>
      <c r="P1019" s="54"/>
      <c r="Q1019" s="54"/>
      <c r="R1019" s="54"/>
      <c r="S1019" s="54"/>
      <c r="T1019" s="54"/>
      <c r="U1019" s="54"/>
      <c r="V1019" s="54"/>
      <c r="W1019" s="54"/>
      <c r="X1019" s="54"/>
      <c r="Y1019" s="54"/>
      <c r="Z1019" s="54"/>
      <c r="AA1019" s="54"/>
      <c r="AB1019" s="54"/>
    </row>
    <row r="1020" ht="12.75" customHeight="1">
      <c r="A1020" s="353"/>
      <c r="B1020" s="54"/>
      <c r="E1020" s="354"/>
      <c r="F1020" s="242"/>
      <c r="G1020" s="358"/>
      <c r="H1020" s="217"/>
      <c r="I1020" s="54"/>
      <c r="J1020" s="218"/>
      <c r="K1020" s="218"/>
      <c r="L1020" s="54"/>
      <c r="M1020" s="54"/>
      <c r="N1020" s="54"/>
      <c r="O1020" s="54"/>
      <c r="P1020" s="54"/>
      <c r="Q1020" s="54"/>
      <c r="R1020" s="54"/>
      <c r="S1020" s="54"/>
      <c r="T1020" s="54"/>
      <c r="U1020" s="54"/>
      <c r="V1020" s="54"/>
      <c r="W1020" s="54"/>
      <c r="X1020" s="54"/>
      <c r="Y1020" s="54"/>
      <c r="Z1020" s="54"/>
      <c r="AA1020" s="54"/>
      <c r="AB1020" s="54"/>
    </row>
    <row r="1021" ht="12.75" customHeight="1">
      <c r="A1021" s="353"/>
      <c r="B1021" s="54"/>
      <c r="E1021" s="354"/>
      <c r="F1021" s="242"/>
      <c r="G1021" s="358"/>
      <c r="H1021" s="217"/>
      <c r="I1021" s="54"/>
      <c r="J1021" s="218"/>
      <c r="K1021" s="218"/>
      <c r="L1021" s="54"/>
      <c r="M1021" s="54"/>
      <c r="N1021" s="54"/>
      <c r="O1021" s="54"/>
      <c r="P1021" s="54"/>
      <c r="Q1021" s="54"/>
      <c r="R1021" s="54"/>
      <c r="S1021" s="54"/>
      <c r="T1021" s="54"/>
      <c r="U1021" s="54"/>
      <c r="V1021" s="54"/>
      <c r="W1021" s="54"/>
      <c r="X1021" s="54"/>
      <c r="Y1021" s="54"/>
      <c r="Z1021" s="54"/>
      <c r="AA1021" s="54"/>
      <c r="AB1021" s="54"/>
    </row>
    <row r="1022" ht="12.75" customHeight="1">
      <c r="A1022" s="353"/>
      <c r="B1022" s="54"/>
      <c r="E1022" s="354"/>
      <c r="F1022" s="242"/>
      <c r="G1022" s="358"/>
      <c r="H1022" s="217"/>
      <c r="I1022" s="54"/>
      <c r="J1022" s="218"/>
      <c r="K1022" s="218"/>
      <c r="L1022" s="54"/>
      <c r="M1022" s="54"/>
      <c r="N1022" s="54"/>
      <c r="O1022" s="54"/>
      <c r="P1022" s="54"/>
      <c r="Q1022" s="54"/>
      <c r="R1022" s="54"/>
      <c r="S1022" s="54"/>
      <c r="T1022" s="54"/>
      <c r="U1022" s="54"/>
      <c r="V1022" s="54"/>
      <c r="W1022" s="54"/>
      <c r="X1022" s="54"/>
      <c r="Y1022" s="54"/>
      <c r="Z1022" s="54"/>
      <c r="AA1022" s="54"/>
      <c r="AB1022" s="54"/>
    </row>
    <row r="1023" ht="12.75" customHeight="1">
      <c r="A1023" s="353"/>
      <c r="B1023" s="54"/>
      <c r="E1023" s="354"/>
      <c r="F1023" s="242"/>
      <c r="G1023" s="358"/>
      <c r="H1023" s="217"/>
      <c r="I1023" s="54"/>
      <c r="J1023" s="218"/>
      <c r="K1023" s="218"/>
      <c r="L1023" s="54"/>
      <c r="M1023" s="54"/>
      <c r="N1023" s="54"/>
      <c r="O1023" s="54"/>
      <c r="P1023" s="54"/>
      <c r="Q1023" s="54"/>
      <c r="R1023" s="54"/>
      <c r="S1023" s="54"/>
      <c r="T1023" s="54"/>
      <c r="U1023" s="54"/>
      <c r="V1023" s="54"/>
      <c r="W1023" s="54"/>
      <c r="X1023" s="54"/>
      <c r="Y1023" s="54"/>
      <c r="Z1023" s="54"/>
      <c r="AA1023" s="54"/>
      <c r="AB1023" s="54"/>
    </row>
    <row r="1024" ht="12.75" customHeight="1">
      <c r="A1024" s="353"/>
      <c r="B1024" s="54"/>
      <c r="E1024" s="354"/>
      <c r="F1024" s="242"/>
      <c r="G1024" s="358"/>
      <c r="H1024" s="217"/>
      <c r="I1024" s="54"/>
      <c r="J1024" s="218"/>
      <c r="K1024" s="218"/>
      <c r="L1024" s="54"/>
      <c r="M1024" s="54"/>
      <c r="N1024" s="54"/>
      <c r="O1024" s="54"/>
      <c r="P1024" s="54"/>
      <c r="Q1024" s="54"/>
      <c r="R1024" s="54"/>
      <c r="S1024" s="54"/>
      <c r="T1024" s="54"/>
      <c r="U1024" s="54"/>
      <c r="V1024" s="54"/>
      <c r="W1024" s="54"/>
      <c r="X1024" s="54"/>
      <c r="Y1024" s="54"/>
      <c r="Z1024" s="54"/>
      <c r="AA1024" s="54"/>
      <c r="AB1024" s="54"/>
    </row>
    <row r="1025" ht="12.75" customHeight="1">
      <c r="A1025" s="353"/>
      <c r="B1025" s="54"/>
      <c r="E1025" s="354"/>
      <c r="F1025" s="242"/>
      <c r="G1025" s="358"/>
      <c r="H1025" s="217"/>
      <c r="I1025" s="54"/>
      <c r="J1025" s="218"/>
      <c r="K1025" s="218"/>
      <c r="L1025" s="54"/>
      <c r="M1025" s="54"/>
      <c r="N1025" s="54"/>
      <c r="O1025" s="54"/>
      <c r="P1025" s="54"/>
      <c r="Q1025" s="54"/>
      <c r="R1025" s="54"/>
      <c r="S1025" s="54"/>
      <c r="T1025" s="54"/>
      <c r="U1025" s="54"/>
      <c r="V1025" s="54"/>
      <c r="W1025" s="54"/>
      <c r="X1025" s="54"/>
      <c r="Y1025" s="54"/>
      <c r="Z1025" s="54"/>
      <c r="AA1025" s="54"/>
      <c r="AB1025" s="54"/>
    </row>
    <row r="1026" ht="12.75" customHeight="1">
      <c r="A1026" s="353"/>
      <c r="B1026" s="54"/>
      <c r="E1026" s="354"/>
      <c r="F1026" s="242"/>
      <c r="G1026" s="358"/>
      <c r="H1026" s="217"/>
      <c r="I1026" s="54"/>
      <c r="J1026" s="218"/>
      <c r="K1026" s="218"/>
      <c r="L1026" s="54"/>
      <c r="M1026" s="54"/>
      <c r="N1026" s="54"/>
      <c r="O1026" s="54"/>
      <c r="P1026" s="54"/>
      <c r="Q1026" s="54"/>
      <c r="R1026" s="54"/>
      <c r="S1026" s="54"/>
      <c r="T1026" s="54"/>
      <c r="U1026" s="54"/>
      <c r="V1026" s="54"/>
      <c r="W1026" s="54"/>
      <c r="X1026" s="54"/>
      <c r="Y1026" s="54"/>
      <c r="Z1026" s="54"/>
      <c r="AA1026" s="54"/>
      <c r="AB1026" s="54"/>
    </row>
  </sheetData>
  <mergeCells count="1006">
    <mergeCell ref="A1:G1"/>
    <mergeCell ref="B2:D2"/>
    <mergeCell ref="B3:C3"/>
    <mergeCell ref="B4:C4"/>
    <mergeCell ref="B6:C6"/>
    <mergeCell ref="B7:C7"/>
    <mergeCell ref="B8:C8"/>
    <mergeCell ref="B9:C9"/>
    <mergeCell ref="B10:C10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A89:D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A103:D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A112:D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A132:D132"/>
    <mergeCell ref="B133:C133"/>
    <mergeCell ref="B134:C134"/>
    <mergeCell ref="B135:C135"/>
    <mergeCell ref="B136:C136"/>
    <mergeCell ref="B137:C137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707:D707"/>
    <mergeCell ref="B708:D708"/>
    <mergeCell ref="B709:D709"/>
    <mergeCell ref="B710:D710"/>
    <mergeCell ref="B711:D711"/>
    <mergeCell ref="B712:D712"/>
    <mergeCell ref="B713:D713"/>
    <mergeCell ref="B714:D714"/>
    <mergeCell ref="B715:D715"/>
    <mergeCell ref="B716:D716"/>
    <mergeCell ref="B717:D717"/>
    <mergeCell ref="B718:D718"/>
    <mergeCell ref="B719:D719"/>
    <mergeCell ref="B720:D720"/>
    <mergeCell ref="B721:D721"/>
    <mergeCell ref="B722:D722"/>
    <mergeCell ref="B723:D723"/>
    <mergeCell ref="B724:D724"/>
    <mergeCell ref="B725:D725"/>
    <mergeCell ref="B726:D726"/>
    <mergeCell ref="B727:D727"/>
    <mergeCell ref="B728:D728"/>
    <mergeCell ref="B729:D729"/>
    <mergeCell ref="B730:D730"/>
    <mergeCell ref="B731:D731"/>
    <mergeCell ref="B732:D732"/>
    <mergeCell ref="B733:D733"/>
    <mergeCell ref="B734:D734"/>
    <mergeCell ref="B735:D735"/>
    <mergeCell ref="B736:D736"/>
    <mergeCell ref="B737:D737"/>
    <mergeCell ref="B738:D738"/>
    <mergeCell ref="B739:D739"/>
    <mergeCell ref="B740:D740"/>
    <mergeCell ref="B741:D741"/>
    <mergeCell ref="B742:D742"/>
    <mergeCell ref="B743:D743"/>
    <mergeCell ref="B744:D744"/>
    <mergeCell ref="B745:D745"/>
    <mergeCell ref="B746:D746"/>
    <mergeCell ref="B747:D747"/>
    <mergeCell ref="B748:D748"/>
    <mergeCell ref="B749:D749"/>
    <mergeCell ref="B750:D750"/>
    <mergeCell ref="B751:D751"/>
    <mergeCell ref="B752:D752"/>
    <mergeCell ref="B753:D753"/>
    <mergeCell ref="B754:D754"/>
    <mergeCell ref="B755:D755"/>
    <mergeCell ref="B756:D756"/>
    <mergeCell ref="B757:D757"/>
    <mergeCell ref="B758:D758"/>
    <mergeCell ref="B759:D759"/>
    <mergeCell ref="B760:D760"/>
    <mergeCell ref="B761:D761"/>
    <mergeCell ref="B762:D762"/>
    <mergeCell ref="B763:D763"/>
    <mergeCell ref="B764:D764"/>
    <mergeCell ref="B765:D765"/>
    <mergeCell ref="B766:D766"/>
    <mergeCell ref="B767:D767"/>
    <mergeCell ref="B768:D768"/>
    <mergeCell ref="B769:D769"/>
    <mergeCell ref="B770:D770"/>
    <mergeCell ref="B771:D771"/>
    <mergeCell ref="B772:D772"/>
    <mergeCell ref="B773:D773"/>
    <mergeCell ref="B774:D774"/>
    <mergeCell ref="B775:D775"/>
    <mergeCell ref="B776:D776"/>
    <mergeCell ref="B777:D777"/>
    <mergeCell ref="B778:D778"/>
    <mergeCell ref="B779:D779"/>
    <mergeCell ref="B780:D780"/>
    <mergeCell ref="B781:D781"/>
    <mergeCell ref="B782:D782"/>
    <mergeCell ref="B783:D783"/>
    <mergeCell ref="B784:D784"/>
    <mergeCell ref="B785:D785"/>
    <mergeCell ref="B786:D786"/>
    <mergeCell ref="B787:D787"/>
    <mergeCell ref="B788:D788"/>
    <mergeCell ref="B789:D789"/>
    <mergeCell ref="B790:D790"/>
    <mergeCell ref="B791:D791"/>
    <mergeCell ref="B792:D792"/>
    <mergeCell ref="B793:D793"/>
    <mergeCell ref="B794:D794"/>
    <mergeCell ref="B795:D795"/>
    <mergeCell ref="B796:D796"/>
    <mergeCell ref="B797:D797"/>
    <mergeCell ref="B798:D798"/>
    <mergeCell ref="B799:D799"/>
    <mergeCell ref="B800:D800"/>
    <mergeCell ref="B801:D801"/>
    <mergeCell ref="B802:D802"/>
    <mergeCell ref="B803:D803"/>
    <mergeCell ref="B804:D804"/>
    <mergeCell ref="B805:D805"/>
    <mergeCell ref="B806:D806"/>
    <mergeCell ref="B807:D807"/>
    <mergeCell ref="B808:D808"/>
    <mergeCell ref="B809:D809"/>
    <mergeCell ref="B810:D810"/>
    <mergeCell ref="B811:D811"/>
    <mergeCell ref="B812:D812"/>
    <mergeCell ref="B813:D813"/>
    <mergeCell ref="B814:D814"/>
    <mergeCell ref="B815:D815"/>
    <mergeCell ref="B816:D816"/>
    <mergeCell ref="B817:D817"/>
    <mergeCell ref="B818:D818"/>
    <mergeCell ref="B819:D819"/>
    <mergeCell ref="B820:D820"/>
    <mergeCell ref="B821:D821"/>
    <mergeCell ref="B822:D822"/>
    <mergeCell ref="B823:D823"/>
    <mergeCell ref="B824:D824"/>
    <mergeCell ref="B825:D825"/>
    <mergeCell ref="B826:D826"/>
    <mergeCell ref="B827:D827"/>
    <mergeCell ref="B828:D828"/>
    <mergeCell ref="B829:D829"/>
    <mergeCell ref="B830:D830"/>
    <mergeCell ref="B831:D831"/>
    <mergeCell ref="B832:D832"/>
    <mergeCell ref="B833:D833"/>
    <mergeCell ref="B834:D834"/>
    <mergeCell ref="B835:D835"/>
    <mergeCell ref="B836:D836"/>
    <mergeCell ref="B837:D837"/>
    <mergeCell ref="B838:D838"/>
    <mergeCell ref="B839:D839"/>
    <mergeCell ref="B840:D840"/>
    <mergeCell ref="B841:D841"/>
    <mergeCell ref="B842:D842"/>
    <mergeCell ref="B843:D843"/>
    <mergeCell ref="B844:D844"/>
    <mergeCell ref="B845:D845"/>
    <mergeCell ref="B846:D846"/>
    <mergeCell ref="B847:D847"/>
    <mergeCell ref="B848:D848"/>
    <mergeCell ref="B849:D849"/>
    <mergeCell ref="B850:D850"/>
    <mergeCell ref="B851:D851"/>
    <mergeCell ref="B852:D852"/>
    <mergeCell ref="B853:D853"/>
    <mergeCell ref="B854:D854"/>
    <mergeCell ref="B855:D855"/>
    <mergeCell ref="B856:D856"/>
    <mergeCell ref="B857:D857"/>
    <mergeCell ref="B858:D858"/>
    <mergeCell ref="B859:D859"/>
    <mergeCell ref="B860:D860"/>
    <mergeCell ref="B861:D861"/>
    <mergeCell ref="B862:D862"/>
    <mergeCell ref="B863:D863"/>
    <mergeCell ref="B864:D864"/>
    <mergeCell ref="B865:D865"/>
    <mergeCell ref="B866:D866"/>
    <mergeCell ref="B867:D867"/>
    <mergeCell ref="B868:D868"/>
    <mergeCell ref="B869:D869"/>
    <mergeCell ref="B870:D870"/>
    <mergeCell ref="B871:D871"/>
    <mergeCell ref="B872:D872"/>
    <mergeCell ref="B873:D873"/>
    <mergeCell ref="B874:D874"/>
    <mergeCell ref="B875:D875"/>
    <mergeCell ref="B876:D876"/>
    <mergeCell ref="B877:D877"/>
    <mergeCell ref="B878:D878"/>
    <mergeCell ref="B879:D879"/>
    <mergeCell ref="B880:D880"/>
    <mergeCell ref="B881:D881"/>
    <mergeCell ref="B882:D882"/>
    <mergeCell ref="B883:D883"/>
    <mergeCell ref="B884:D884"/>
    <mergeCell ref="B885:D885"/>
    <mergeCell ref="B886:D886"/>
    <mergeCell ref="B887:D887"/>
    <mergeCell ref="B888:D888"/>
    <mergeCell ref="B889:D889"/>
    <mergeCell ref="B890:D890"/>
    <mergeCell ref="B891:D891"/>
    <mergeCell ref="B892:D892"/>
    <mergeCell ref="B893:D893"/>
    <mergeCell ref="B894:D894"/>
    <mergeCell ref="B895:D895"/>
    <mergeCell ref="B896:D896"/>
    <mergeCell ref="B897:D897"/>
    <mergeCell ref="B898:D898"/>
    <mergeCell ref="B899:D899"/>
    <mergeCell ref="B900:D900"/>
    <mergeCell ref="B901:D901"/>
    <mergeCell ref="B902:D902"/>
    <mergeCell ref="B903:D903"/>
    <mergeCell ref="B904:D904"/>
    <mergeCell ref="B905:D905"/>
    <mergeCell ref="B906:D906"/>
    <mergeCell ref="B907:D907"/>
    <mergeCell ref="B908:D908"/>
    <mergeCell ref="B909:D909"/>
    <mergeCell ref="B910:D910"/>
    <mergeCell ref="B911:D911"/>
    <mergeCell ref="B912:D912"/>
    <mergeCell ref="B913:D913"/>
    <mergeCell ref="B914:D914"/>
    <mergeCell ref="B915:D915"/>
    <mergeCell ref="B916:D916"/>
    <mergeCell ref="B917:D917"/>
    <mergeCell ref="B918:D918"/>
    <mergeCell ref="B919:D919"/>
    <mergeCell ref="B920:D920"/>
    <mergeCell ref="B921:D921"/>
    <mergeCell ref="B922:D922"/>
    <mergeCell ref="B923:D923"/>
    <mergeCell ref="B924:D924"/>
    <mergeCell ref="B925:D925"/>
    <mergeCell ref="B926:D926"/>
    <mergeCell ref="B927:D927"/>
    <mergeCell ref="B928:D928"/>
    <mergeCell ref="B929:D929"/>
    <mergeCell ref="B930:D930"/>
    <mergeCell ref="B931:D931"/>
    <mergeCell ref="B932:D932"/>
    <mergeCell ref="B933:D933"/>
    <mergeCell ref="B934:D934"/>
    <mergeCell ref="B935:D935"/>
    <mergeCell ref="B936:D936"/>
    <mergeCell ref="B937:D937"/>
    <mergeCell ref="B938:D938"/>
    <mergeCell ref="B939:D939"/>
    <mergeCell ref="B940:D940"/>
    <mergeCell ref="B941:D941"/>
    <mergeCell ref="B942:D942"/>
    <mergeCell ref="B943:D943"/>
    <mergeCell ref="B944:D944"/>
    <mergeCell ref="B945:D945"/>
    <mergeCell ref="B946:D946"/>
    <mergeCell ref="B947:D947"/>
    <mergeCell ref="B948:D948"/>
    <mergeCell ref="B949:D949"/>
    <mergeCell ref="B950:D950"/>
    <mergeCell ref="B951:D951"/>
    <mergeCell ref="B1001:D1001"/>
    <mergeCell ref="B1002:D1002"/>
    <mergeCell ref="B1003:D1003"/>
    <mergeCell ref="B1004:D1004"/>
    <mergeCell ref="B1005:D1005"/>
    <mergeCell ref="B1006:D1006"/>
    <mergeCell ref="B1007:D1007"/>
    <mergeCell ref="B1008:D1008"/>
    <mergeCell ref="B1009:D1009"/>
    <mergeCell ref="B1010:D1010"/>
    <mergeCell ref="B1011:D1011"/>
    <mergeCell ref="B1012:D1012"/>
    <mergeCell ref="B1013:D1013"/>
    <mergeCell ref="B1014:D1014"/>
    <mergeCell ref="B1022:D1022"/>
    <mergeCell ref="B1023:D1023"/>
    <mergeCell ref="B1024:D1024"/>
    <mergeCell ref="B1025:D1025"/>
    <mergeCell ref="B1026:D1026"/>
    <mergeCell ref="B1015:D1015"/>
    <mergeCell ref="B1016:D1016"/>
    <mergeCell ref="B1017:D1017"/>
    <mergeCell ref="B1018:D1018"/>
    <mergeCell ref="B1019:D1019"/>
    <mergeCell ref="B1020:D1020"/>
    <mergeCell ref="B1021:D1021"/>
    <mergeCell ref="B952:D952"/>
    <mergeCell ref="B953:D953"/>
    <mergeCell ref="B954:D954"/>
    <mergeCell ref="B955:D955"/>
    <mergeCell ref="B956:D956"/>
    <mergeCell ref="B957:D957"/>
    <mergeCell ref="B958:D958"/>
    <mergeCell ref="B959:D959"/>
    <mergeCell ref="B960:D960"/>
    <mergeCell ref="B961:D961"/>
    <mergeCell ref="B962:D962"/>
    <mergeCell ref="B963:D963"/>
    <mergeCell ref="B964:D964"/>
    <mergeCell ref="B965:D965"/>
    <mergeCell ref="B966:D966"/>
    <mergeCell ref="B967:D967"/>
    <mergeCell ref="B968:D968"/>
    <mergeCell ref="B969:D969"/>
    <mergeCell ref="B970:D970"/>
    <mergeCell ref="B971:D971"/>
    <mergeCell ref="B972:D972"/>
    <mergeCell ref="B973:D973"/>
    <mergeCell ref="B974:D974"/>
    <mergeCell ref="B975:D975"/>
    <mergeCell ref="B976:D976"/>
    <mergeCell ref="B977:D977"/>
    <mergeCell ref="B978:D978"/>
    <mergeCell ref="B979:D979"/>
    <mergeCell ref="B980:D980"/>
    <mergeCell ref="B981:D981"/>
    <mergeCell ref="B982:D982"/>
    <mergeCell ref="B983:D983"/>
    <mergeCell ref="B984:D984"/>
    <mergeCell ref="B985:D985"/>
    <mergeCell ref="B986:D986"/>
    <mergeCell ref="B987:D987"/>
    <mergeCell ref="B988:D988"/>
    <mergeCell ref="B989:D989"/>
    <mergeCell ref="B990:D990"/>
    <mergeCell ref="B991:D991"/>
    <mergeCell ref="B992:D992"/>
    <mergeCell ref="B993:D993"/>
    <mergeCell ref="B994:D994"/>
    <mergeCell ref="B995:D995"/>
    <mergeCell ref="B996:D996"/>
    <mergeCell ref="B997:D997"/>
    <mergeCell ref="B998:D998"/>
    <mergeCell ref="B999:D999"/>
    <mergeCell ref="B1000:D1000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D449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79:D579"/>
    <mergeCell ref="B580:D580"/>
    <mergeCell ref="B581:D581"/>
    <mergeCell ref="B582:D582"/>
    <mergeCell ref="B583:D583"/>
    <mergeCell ref="B584:D584"/>
    <mergeCell ref="B585:D585"/>
    <mergeCell ref="B586:D586"/>
    <mergeCell ref="B587:D587"/>
    <mergeCell ref="B588:D588"/>
    <mergeCell ref="B589:D589"/>
    <mergeCell ref="B590:D590"/>
    <mergeCell ref="B591:D591"/>
    <mergeCell ref="B592:D592"/>
    <mergeCell ref="B593:D593"/>
    <mergeCell ref="B594:D594"/>
    <mergeCell ref="B595:D595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13:D613"/>
    <mergeCell ref="B614:D614"/>
    <mergeCell ref="B615:D615"/>
    <mergeCell ref="B616:D616"/>
    <mergeCell ref="B617:D617"/>
    <mergeCell ref="B618:D618"/>
    <mergeCell ref="B619:D619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D640"/>
    <mergeCell ref="B641:D641"/>
    <mergeCell ref="B642:D642"/>
    <mergeCell ref="B643:D643"/>
    <mergeCell ref="B644:D644"/>
    <mergeCell ref="B645:D645"/>
    <mergeCell ref="B646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  <mergeCell ref="B671:D671"/>
    <mergeCell ref="B672:D672"/>
    <mergeCell ref="B673:D673"/>
    <mergeCell ref="B674:D674"/>
    <mergeCell ref="B675:D675"/>
    <mergeCell ref="B676:D676"/>
    <mergeCell ref="B677:D677"/>
    <mergeCell ref="B678:D678"/>
    <mergeCell ref="B679:D679"/>
    <mergeCell ref="B680:D680"/>
    <mergeCell ref="B681:D681"/>
    <mergeCell ref="B682:D682"/>
    <mergeCell ref="B683:D683"/>
    <mergeCell ref="B684:D684"/>
    <mergeCell ref="B685:D685"/>
    <mergeCell ref="B686:D686"/>
    <mergeCell ref="B687:D687"/>
    <mergeCell ref="B688:D688"/>
    <mergeCell ref="B689:D689"/>
    <mergeCell ref="B690:D690"/>
    <mergeCell ref="B691:D691"/>
    <mergeCell ref="B692:D692"/>
    <mergeCell ref="B693:D693"/>
    <mergeCell ref="B694:D694"/>
    <mergeCell ref="B695:D695"/>
    <mergeCell ref="B696:D696"/>
    <mergeCell ref="B697:D697"/>
    <mergeCell ref="B698:D698"/>
    <mergeCell ref="B699:D699"/>
    <mergeCell ref="B700:D700"/>
    <mergeCell ref="B701:D701"/>
    <mergeCell ref="B702:D702"/>
    <mergeCell ref="B703:D703"/>
    <mergeCell ref="B704:D704"/>
    <mergeCell ref="B705:D705"/>
    <mergeCell ref="B706:D70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62.71"/>
    <col customWidth="1" min="3" max="3" width="43.86"/>
    <col customWidth="1" min="4" max="4" width="3.43"/>
    <col customWidth="1" min="5" max="7" width="7.57"/>
    <col customWidth="1" min="8" max="8" width="14.0"/>
    <col customWidth="1" min="9" max="9" width="12.86"/>
    <col customWidth="1" min="10" max="10" width="8.57"/>
    <col customWidth="1" min="11" max="11" width="13.14"/>
    <col customWidth="1" min="12" max="12" width="9.0"/>
    <col customWidth="1" min="13" max="13" width="11.14"/>
    <col customWidth="1" min="14" max="14" width="12.57"/>
    <col customWidth="1" min="15" max="15" width="11.0"/>
    <col customWidth="1" min="16" max="30" width="9.0"/>
  </cols>
  <sheetData>
    <row r="1" ht="54.75" customHeight="1">
      <c r="A1" s="216"/>
      <c r="J1" s="217"/>
      <c r="K1" s="54"/>
      <c r="L1" s="218"/>
      <c r="M1" s="218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</row>
    <row r="2" ht="48.0" customHeight="1">
      <c r="A2" s="219" t="s">
        <v>394</v>
      </c>
      <c r="B2" s="220" t="s">
        <v>16</v>
      </c>
      <c r="C2" s="34"/>
      <c r="D2" s="35"/>
      <c r="E2" s="221" t="s">
        <v>395</v>
      </c>
      <c r="F2" s="360" t="s">
        <v>651</v>
      </c>
      <c r="G2" s="361" t="s">
        <v>652</v>
      </c>
      <c r="H2" s="222" t="s">
        <v>396</v>
      </c>
      <c r="I2" s="223" t="s">
        <v>24</v>
      </c>
      <c r="J2" s="224"/>
      <c r="K2" s="225" t="s">
        <v>263</v>
      </c>
      <c r="L2" s="226" t="s">
        <v>25</v>
      </c>
      <c r="M2" s="227" t="s">
        <v>26</v>
      </c>
      <c r="N2" s="228" t="s">
        <v>27</v>
      </c>
      <c r="O2" s="229" t="s">
        <v>140</v>
      </c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</row>
    <row r="3" ht="21.0" customHeight="1">
      <c r="A3" s="231" t="s">
        <v>397</v>
      </c>
      <c r="B3" s="232" t="s">
        <v>398</v>
      </c>
      <c r="C3" s="34"/>
      <c r="D3" s="233"/>
      <c r="E3" s="234">
        <v>30.0</v>
      </c>
      <c r="F3" s="234">
        <f t="shared" ref="F3:F137" si="1">(H3*100)/121</f>
        <v>1002.958678</v>
      </c>
      <c r="G3" s="362">
        <f t="shared" ref="G3:G137" si="2">I3*0.79</f>
        <v>1438.0923</v>
      </c>
      <c r="H3" s="235">
        <v>1213.58</v>
      </c>
      <c r="I3" s="236">
        <f t="shared" ref="I3:I137" si="3">H3*1.5</f>
        <v>1820.37</v>
      </c>
      <c r="J3" s="237"/>
      <c r="K3" s="238">
        <f t="shared" ref="K3:K137" si="4">H3*1.45</f>
        <v>1759.691</v>
      </c>
      <c r="L3" s="239"/>
      <c r="M3" s="240">
        <f t="shared" ref="M3:M4" si="5">E3-L3</f>
        <v>30</v>
      </c>
      <c r="N3" s="241">
        <f t="shared" ref="N3:N4" si="6">ROUNDUP(I3,-2)</f>
        <v>1900</v>
      </c>
      <c r="O3" s="241">
        <f t="shared" ref="O3:O4" si="7">ROUNDUP(K3,-2)</f>
        <v>1800</v>
      </c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</row>
    <row r="4" ht="17.25" customHeight="1">
      <c r="A4" s="231" t="s">
        <v>399</v>
      </c>
      <c r="B4" s="232" t="s">
        <v>400</v>
      </c>
      <c r="C4" s="34"/>
      <c r="D4" s="233"/>
      <c r="E4" s="234">
        <v>30.0</v>
      </c>
      <c r="F4" s="234">
        <f t="shared" si="1"/>
        <v>1002.958678</v>
      </c>
      <c r="G4" s="362">
        <f t="shared" si="2"/>
        <v>1438.0923</v>
      </c>
      <c r="H4" s="235">
        <v>1213.58</v>
      </c>
      <c r="I4" s="236">
        <f t="shared" si="3"/>
        <v>1820.37</v>
      </c>
      <c r="J4" s="237"/>
      <c r="K4" s="238">
        <f t="shared" si="4"/>
        <v>1759.691</v>
      </c>
      <c r="L4" s="239"/>
      <c r="M4" s="240">
        <f t="shared" si="5"/>
        <v>30</v>
      </c>
      <c r="N4" s="241">
        <f t="shared" si="6"/>
        <v>1900</v>
      </c>
      <c r="O4" s="241">
        <f t="shared" si="7"/>
        <v>1800</v>
      </c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</row>
    <row r="5">
      <c r="F5" s="234">
        <f t="shared" si="1"/>
        <v>0</v>
      </c>
      <c r="G5" s="362">
        <f t="shared" si="2"/>
        <v>0</v>
      </c>
      <c r="I5" s="236">
        <f t="shared" si="3"/>
        <v>0</v>
      </c>
      <c r="K5" s="238">
        <f t="shared" si="4"/>
        <v>0</v>
      </c>
    </row>
    <row r="6" ht="18.75" customHeight="1">
      <c r="A6" s="231" t="s">
        <v>401</v>
      </c>
      <c r="B6" s="243" t="s">
        <v>402</v>
      </c>
      <c r="C6" s="34"/>
      <c r="D6" s="244"/>
      <c r="E6" s="234">
        <v>6.0</v>
      </c>
      <c r="F6" s="234">
        <f t="shared" si="1"/>
        <v>5880.909091</v>
      </c>
      <c r="G6" s="362">
        <f t="shared" si="2"/>
        <v>8432.3415</v>
      </c>
      <c r="H6" s="235">
        <v>7115.9</v>
      </c>
      <c r="I6" s="236">
        <f t="shared" si="3"/>
        <v>10673.85</v>
      </c>
      <c r="J6" s="237"/>
      <c r="K6" s="238">
        <f t="shared" si="4"/>
        <v>10318.055</v>
      </c>
      <c r="L6" s="239"/>
      <c r="M6" s="240">
        <f t="shared" ref="M6:M10" si="8">E6-L6</f>
        <v>6</v>
      </c>
      <c r="N6" s="241">
        <f t="shared" ref="N6:N10" si="9">ROUNDUP(I6,-2)</f>
        <v>10700</v>
      </c>
      <c r="O6" s="241">
        <f t="shared" ref="O6:O10" si="10">ROUNDUP(K6,-2)</f>
        <v>10400</v>
      </c>
      <c r="P6" s="242"/>
      <c r="Q6" s="242"/>
      <c r="R6" s="242"/>
      <c r="S6" s="242"/>
      <c r="T6" s="242"/>
      <c r="U6" s="242"/>
      <c r="V6" s="242"/>
      <c r="W6" s="242"/>
      <c r="X6" s="242"/>
      <c r="Y6" s="242"/>
      <c r="Z6" s="242"/>
      <c r="AA6" s="242"/>
      <c r="AB6" s="242"/>
      <c r="AC6" s="242"/>
      <c r="AD6" s="242"/>
    </row>
    <row r="7" ht="18.0" customHeight="1">
      <c r="A7" s="231" t="s">
        <v>403</v>
      </c>
      <c r="B7" s="245" t="s">
        <v>404</v>
      </c>
      <c r="C7" s="34"/>
      <c r="D7" s="246"/>
      <c r="E7" s="234">
        <v>2.0</v>
      </c>
      <c r="F7" s="234">
        <f t="shared" si="1"/>
        <v>13554.18182</v>
      </c>
      <c r="G7" s="362">
        <f t="shared" si="2"/>
        <v>19434.6636</v>
      </c>
      <c r="H7" s="235">
        <v>16400.56</v>
      </c>
      <c r="I7" s="236">
        <f t="shared" si="3"/>
        <v>24600.84</v>
      </c>
      <c r="J7" s="237"/>
      <c r="K7" s="238">
        <f t="shared" si="4"/>
        <v>23780.812</v>
      </c>
      <c r="L7" s="239"/>
      <c r="M7" s="240">
        <f t="shared" si="8"/>
        <v>2</v>
      </c>
      <c r="N7" s="241">
        <f t="shared" si="9"/>
        <v>24700</v>
      </c>
      <c r="O7" s="241">
        <f t="shared" si="10"/>
        <v>23800</v>
      </c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  <c r="AA7" s="242"/>
      <c r="AB7" s="242"/>
      <c r="AC7" s="242"/>
      <c r="AD7" s="242"/>
    </row>
    <row r="8" ht="18.0" customHeight="1">
      <c r="A8" s="231" t="s">
        <v>405</v>
      </c>
      <c r="B8" s="245" t="s">
        <v>406</v>
      </c>
      <c r="C8" s="34"/>
      <c r="D8" s="246"/>
      <c r="E8" s="234">
        <v>2.0</v>
      </c>
      <c r="F8" s="234">
        <f t="shared" si="1"/>
        <v>13554.18182</v>
      </c>
      <c r="G8" s="362">
        <f t="shared" si="2"/>
        <v>19434.6636</v>
      </c>
      <c r="H8" s="235">
        <v>16400.56</v>
      </c>
      <c r="I8" s="236">
        <f t="shared" si="3"/>
        <v>24600.84</v>
      </c>
      <c r="J8" s="237"/>
      <c r="K8" s="238">
        <f t="shared" si="4"/>
        <v>23780.812</v>
      </c>
      <c r="L8" s="239"/>
      <c r="M8" s="240">
        <f t="shared" si="8"/>
        <v>2</v>
      </c>
      <c r="N8" s="241">
        <f t="shared" si="9"/>
        <v>24700</v>
      </c>
      <c r="O8" s="241">
        <f t="shared" si="10"/>
        <v>23800</v>
      </c>
      <c r="P8" s="242"/>
      <c r="Q8" s="242"/>
      <c r="R8" s="242"/>
      <c r="S8" s="242"/>
      <c r="T8" s="242"/>
      <c r="U8" s="242"/>
      <c r="V8" s="242"/>
      <c r="W8" s="242"/>
      <c r="X8" s="242"/>
      <c r="Y8" s="242"/>
      <c r="Z8" s="242"/>
      <c r="AA8" s="242"/>
      <c r="AB8" s="242"/>
      <c r="AC8" s="242"/>
      <c r="AD8" s="242"/>
    </row>
    <row r="9" ht="18.0" customHeight="1">
      <c r="A9" s="231" t="s">
        <v>407</v>
      </c>
      <c r="B9" s="245" t="s">
        <v>408</v>
      </c>
      <c r="C9" s="34"/>
      <c r="D9" s="246"/>
      <c r="E9" s="234">
        <v>2.0</v>
      </c>
      <c r="F9" s="234">
        <f t="shared" si="1"/>
        <v>8058.495868</v>
      </c>
      <c r="G9" s="362">
        <f t="shared" si="2"/>
        <v>11554.6743</v>
      </c>
      <c r="H9" s="235">
        <v>9750.78</v>
      </c>
      <c r="I9" s="236">
        <f t="shared" si="3"/>
        <v>14626.17</v>
      </c>
      <c r="J9" s="237"/>
      <c r="K9" s="238">
        <f t="shared" si="4"/>
        <v>14138.631</v>
      </c>
      <c r="L9" s="239"/>
      <c r="M9" s="240">
        <f t="shared" si="8"/>
        <v>2</v>
      </c>
      <c r="N9" s="241">
        <f t="shared" si="9"/>
        <v>14700</v>
      </c>
      <c r="O9" s="241">
        <f t="shared" si="10"/>
        <v>14200</v>
      </c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  <c r="AC9" s="242"/>
      <c r="AD9" s="242"/>
    </row>
    <row r="10" ht="18.75" customHeight="1">
      <c r="A10" s="231" t="s">
        <v>409</v>
      </c>
      <c r="B10" s="245" t="s">
        <v>410</v>
      </c>
      <c r="C10" s="34"/>
      <c r="D10" s="246"/>
      <c r="E10" s="234">
        <v>2.0</v>
      </c>
      <c r="F10" s="234">
        <f t="shared" si="1"/>
        <v>8058.495868</v>
      </c>
      <c r="G10" s="362">
        <f t="shared" si="2"/>
        <v>11554.6743</v>
      </c>
      <c r="H10" s="235">
        <v>9750.78</v>
      </c>
      <c r="I10" s="236">
        <f t="shared" si="3"/>
        <v>14626.17</v>
      </c>
      <c r="J10" s="237"/>
      <c r="K10" s="238">
        <f t="shared" si="4"/>
        <v>14138.631</v>
      </c>
      <c r="L10" s="239"/>
      <c r="M10" s="240">
        <f t="shared" si="8"/>
        <v>2</v>
      </c>
      <c r="N10" s="241">
        <f t="shared" si="9"/>
        <v>14700</v>
      </c>
      <c r="O10" s="241">
        <f t="shared" si="10"/>
        <v>14200</v>
      </c>
      <c r="P10" s="242"/>
      <c r="Q10" s="242"/>
      <c r="R10" s="242"/>
      <c r="S10" s="242"/>
      <c r="T10" s="242"/>
      <c r="U10" s="242"/>
      <c r="V10" s="242"/>
      <c r="W10" s="242"/>
      <c r="X10" s="242"/>
      <c r="Y10" s="242"/>
      <c r="Z10" s="242"/>
      <c r="AA10" s="242"/>
      <c r="AB10" s="242"/>
      <c r="AC10" s="242"/>
      <c r="AD10" s="242"/>
    </row>
    <row r="11">
      <c r="F11" s="234">
        <f t="shared" si="1"/>
        <v>0</v>
      </c>
      <c r="G11" s="362">
        <f t="shared" si="2"/>
        <v>0</v>
      </c>
      <c r="I11" s="236">
        <f t="shared" si="3"/>
        <v>0</v>
      </c>
      <c r="K11" s="238">
        <f t="shared" si="4"/>
        <v>0</v>
      </c>
    </row>
    <row r="12">
      <c r="F12" s="234">
        <f t="shared" si="1"/>
        <v>0</v>
      </c>
      <c r="G12" s="362">
        <f t="shared" si="2"/>
        <v>0</v>
      </c>
      <c r="I12" s="236">
        <f t="shared" si="3"/>
        <v>0</v>
      </c>
      <c r="K12" s="238">
        <f t="shared" si="4"/>
        <v>0</v>
      </c>
    </row>
    <row r="13">
      <c r="F13" s="234">
        <f t="shared" si="1"/>
        <v>0</v>
      </c>
      <c r="G13" s="362">
        <f t="shared" si="2"/>
        <v>0</v>
      </c>
      <c r="I13" s="236">
        <f t="shared" si="3"/>
        <v>0</v>
      </c>
      <c r="K13" s="238">
        <f t="shared" si="4"/>
        <v>0</v>
      </c>
    </row>
    <row r="14" ht="19.5" customHeight="1">
      <c r="A14" s="231" t="s">
        <v>411</v>
      </c>
      <c r="B14" s="247" t="s">
        <v>412</v>
      </c>
      <c r="C14" s="34"/>
      <c r="D14" s="248"/>
      <c r="E14" s="234">
        <v>6.0</v>
      </c>
      <c r="F14" s="234">
        <f t="shared" si="1"/>
        <v>5659.214876</v>
      </c>
      <c r="G14" s="362">
        <f t="shared" si="2"/>
        <v>8114.46525</v>
      </c>
      <c r="H14" s="235">
        <v>6847.65</v>
      </c>
      <c r="I14" s="236">
        <f t="shared" si="3"/>
        <v>10271.475</v>
      </c>
      <c r="J14" s="237"/>
      <c r="K14" s="238">
        <f t="shared" si="4"/>
        <v>9929.0925</v>
      </c>
      <c r="L14" s="239"/>
      <c r="M14" s="240">
        <f t="shared" ref="M14:M28" si="11">E14-L14</f>
        <v>6</v>
      </c>
      <c r="N14" s="241">
        <f t="shared" ref="N14:N28" si="12">ROUNDUP(I14,-2)</f>
        <v>10300</v>
      </c>
      <c r="O14" s="241">
        <f t="shared" ref="O14:O28" si="13">ROUNDUP(K14,-2)</f>
        <v>10000</v>
      </c>
      <c r="P14" s="242"/>
      <c r="Q14" s="242"/>
      <c r="R14" s="242"/>
      <c r="S14" s="242"/>
      <c r="T14" s="242"/>
      <c r="U14" s="242"/>
      <c r="V14" s="242"/>
      <c r="W14" s="242"/>
      <c r="X14" s="242"/>
      <c r="Y14" s="242"/>
      <c r="Z14" s="242"/>
      <c r="AA14" s="242"/>
      <c r="AB14" s="242"/>
      <c r="AC14" s="242"/>
      <c r="AD14" s="242"/>
    </row>
    <row r="15" ht="18.75" customHeight="1">
      <c r="A15" s="231" t="s">
        <v>413</v>
      </c>
      <c r="B15" s="247" t="s">
        <v>414</v>
      </c>
      <c r="C15" s="34"/>
      <c r="D15" s="248"/>
      <c r="E15" s="234">
        <v>8.0</v>
      </c>
      <c r="F15" s="234">
        <f t="shared" si="1"/>
        <v>2218.016529</v>
      </c>
      <c r="G15" s="362">
        <f t="shared" si="2"/>
        <v>3180.303</v>
      </c>
      <c r="H15" s="235">
        <v>2683.8</v>
      </c>
      <c r="I15" s="236">
        <f t="shared" si="3"/>
        <v>4025.7</v>
      </c>
      <c r="J15" s="237"/>
      <c r="K15" s="238">
        <f t="shared" si="4"/>
        <v>3891.51</v>
      </c>
      <c r="L15" s="239"/>
      <c r="M15" s="240">
        <f t="shared" si="11"/>
        <v>8</v>
      </c>
      <c r="N15" s="241">
        <f t="shared" si="12"/>
        <v>4100</v>
      </c>
      <c r="O15" s="241">
        <f t="shared" si="13"/>
        <v>3900</v>
      </c>
      <c r="P15" s="242"/>
      <c r="Q15" s="242"/>
      <c r="R15" s="242"/>
      <c r="S15" s="242"/>
      <c r="T15" s="242"/>
      <c r="U15" s="242"/>
      <c r="V15" s="242"/>
      <c r="W15" s="242"/>
      <c r="X15" s="242"/>
      <c r="Y15" s="242"/>
      <c r="Z15" s="242"/>
      <c r="AA15" s="242"/>
      <c r="AB15" s="242"/>
      <c r="AC15" s="242"/>
      <c r="AD15" s="242"/>
    </row>
    <row r="16" ht="17.25" customHeight="1">
      <c r="A16" s="231" t="s">
        <v>415</v>
      </c>
      <c r="B16" s="249" t="s">
        <v>653</v>
      </c>
      <c r="C16" s="34"/>
      <c r="D16" s="250"/>
      <c r="E16" s="251">
        <v>1000.0</v>
      </c>
      <c r="F16" s="234">
        <f t="shared" si="1"/>
        <v>14765.65289</v>
      </c>
      <c r="G16" s="362">
        <f t="shared" si="2"/>
        <v>21171.7314</v>
      </c>
      <c r="H16" s="235">
        <v>17866.44</v>
      </c>
      <c r="I16" s="236">
        <f t="shared" si="3"/>
        <v>26799.66</v>
      </c>
      <c r="J16" s="237">
        <f t="shared" ref="J16:J19" si="14">K16/1000</f>
        <v>25.906338</v>
      </c>
      <c r="K16" s="238">
        <f t="shared" si="4"/>
        <v>25906.338</v>
      </c>
      <c r="L16" s="239"/>
      <c r="M16" s="240">
        <f t="shared" si="11"/>
        <v>1000</v>
      </c>
      <c r="N16" s="241">
        <f t="shared" si="12"/>
        <v>26800</v>
      </c>
      <c r="O16" s="241">
        <f t="shared" si="13"/>
        <v>26000</v>
      </c>
      <c r="P16" s="242"/>
      <c r="Q16" s="242"/>
      <c r="R16" s="242"/>
      <c r="S16" s="242"/>
      <c r="T16" s="242"/>
      <c r="U16" s="242"/>
      <c r="V16" s="242"/>
      <c r="W16" s="242"/>
      <c r="X16" s="242"/>
      <c r="Y16" s="242"/>
      <c r="Z16" s="242"/>
      <c r="AA16" s="242"/>
      <c r="AB16" s="242"/>
      <c r="AC16" s="242"/>
      <c r="AD16" s="242"/>
    </row>
    <row r="17">
      <c r="A17" s="231" t="s">
        <v>417</v>
      </c>
      <c r="B17" s="249" t="s">
        <v>654</v>
      </c>
      <c r="C17" s="34"/>
      <c r="D17" s="250"/>
      <c r="E17" s="251">
        <v>1000.0</v>
      </c>
      <c r="F17" s="234">
        <f t="shared" si="1"/>
        <v>6643.487603</v>
      </c>
      <c r="G17" s="362">
        <f t="shared" si="2"/>
        <v>9525.7647</v>
      </c>
      <c r="H17" s="235">
        <v>8038.62</v>
      </c>
      <c r="I17" s="236">
        <f t="shared" si="3"/>
        <v>12057.93</v>
      </c>
      <c r="J17" s="237">
        <f t="shared" si="14"/>
        <v>11.655999</v>
      </c>
      <c r="K17" s="238">
        <f t="shared" si="4"/>
        <v>11655.999</v>
      </c>
      <c r="L17" s="239"/>
      <c r="M17" s="240">
        <f t="shared" si="11"/>
        <v>1000</v>
      </c>
      <c r="N17" s="241">
        <f t="shared" si="12"/>
        <v>12100</v>
      </c>
      <c r="O17" s="241">
        <f t="shared" si="13"/>
        <v>11700</v>
      </c>
      <c r="P17" s="242"/>
      <c r="Q17" s="242"/>
      <c r="R17" s="242"/>
      <c r="S17" s="242"/>
      <c r="T17" s="242"/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</row>
    <row r="18" ht="15.75" customHeight="1">
      <c r="A18" s="231" t="s">
        <v>419</v>
      </c>
      <c r="B18" s="249" t="s">
        <v>655</v>
      </c>
      <c r="C18" s="34"/>
      <c r="D18" s="250"/>
      <c r="E18" s="234">
        <v>1000.0</v>
      </c>
      <c r="F18" s="234">
        <f t="shared" si="1"/>
        <v>9273.421488</v>
      </c>
      <c r="G18" s="362">
        <f t="shared" si="2"/>
        <v>13296.6954</v>
      </c>
      <c r="H18" s="235">
        <v>11220.84</v>
      </c>
      <c r="I18" s="236">
        <f t="shared" si="3"/>
        <v>16831.26</v>
      </c>
      <c r="J18" s="237">
        <f t="shared" si="14"/>
        <v>16.270218</v>
      </c>
      <c r="K18" s="238">
        <f t="shared" si="4"/>
        <v>16270.218</v>
      </c>
      <c r="L18" s="252">
        <v>51.0</v>
      </c>
      <c r="M18" s="240">
        <f t="shared" si="11"/>
        <v>949</v>
      </c>
      <c r="N18" s="241">
        <f t="shared" si="12"/>
        <v>16900</v>
      </c>
      <c r="O18" s="241">
        <f t="shared" si="13"/>
        <v>16300</v>
      </c>
      <c r="P18" s="242"/>
      <c r="Q18" s="242"/>
      <c r="R18" s="242"/>
      <c r="S18" s="242"/>
      <c r="T18" s="242"/>
      <c r="U18" s="242"/>
      <c r="V18" s="242"/>
      <c r="W18" s="242"/>
      <c r="X18" s="242"/>
      <c r="Y18" s="242"/>
      <c r="Z18" s="242"/>
      <c r="AA18" s="242"/>
      <c r="AB18" s="242"/>
      <c r="AC18" s="242"/>
      <c r="AD18" s="242"/>
    </row>
    <row r="19" ht="15.75" customHeight="1">
      <c r="A19" s="231" t="s">
        <v>421</v>
      </c>
      <c r="B19" s="249" t="s">
        <v>656</v>
      </c>
      <c r="C19" s="34"/>
      <c r="D19" s="250"/>
      <c r="E19" s="234">
        <v>1000.0</v>
      </c>
      <c r="F19" s="234">
        <f t="shared" si="1"/>
        <v>14258.67769</v>
      </c>
      <c r="G19" s="362">
        <f t="shared" si="2"/>
        <v>20444.805</v>
      </c>
      <c r="H19" s="235">
        <v>17253.0</v>
      </c>
      <c r="I19" s="236">
        <f t="shared" si="3"/>
        <v>25879.5</v>
      </c>
      <c r="J19" s="237">
        <f t="shared" si="14"/>
        <v>25.01685</v>
      </c>
      <c r="K19" s="238">
        <f t="shared" si="4"/>
        <v>25016.85</v>
      </c>
      <c r="L19" s="239"/>
      <c r="M19" s="240">
        <f t="shared" si="11"/>
        <v>1000</v>
      </c>
      <c r="N19" s="241">
        <f t="shared" si="12"/>
        <v>25900</v>
      </c>
      <c r="O19" s="241">
        <f t="shared" si="13"/>
        <v>25100</v>
      </c>
      <c r="P19" s="242"/>
      <c r="Q19" s="242"/>
      <c r="R19" s="242"/>
      <c r="S19" s="242"/>
      <c r="T19" s="242"/>
      <c r="U19" s="242"/>
      <c r="V19" s="242"/>
      <c r="W19" s="242"/>
      <c r="X19" s="242"/>
      <c r="Y19" s="242"/>
      <c r="Z19" s="242"/>
      <c r="AA19" s="242"/>
      <c r="AB19" s="242"/>
      <c r="AC19" s="242"/>
      <c r="AD19" s="242"/>
    </row>
    <row r="20">
      <c r="A20" s="231" t="s">
        <v>423</v>
      </c>
      <c r="B20" s="253" t="s">
        <v>424</v>
      </c>
      <c r="C20" s="34"/>
      <c r="D20" s="254"/>
      <c r="E20" s="234">
        <v>4.0</v>
      </c>
      <c r="F20" s="234">
        <f t="shared" si="1"/>
        <v>7604.628099</v>
      </c>
      <c r="G20" s="362">
        <f t="shared" si="2"/>
        <v>10903.896</v>
      </c>
      <c r="H20" s="235">
        <v>9201.6</v>
      </c>
      <c r="I20" s="236">
        <f t="shared" si="3"/>
        <v>13802.4</v>
      </c>
      <c r="J20" s="237"/>
      <c r="K20" s="238">
        <f t="shared" si="4"/>
        <v>13342.32</v>
      </c>
      <c r="L20" s="239"/>
      <c r="M20" s="240">
        <f t="shared" si="11"/>
        <v>4</v>
      </c>
      <c r="N20" s="241">
        <f t="shared" si="12"/>
        <v>13900</v>
      </c>
      <c r="O20" s="241">
        <f t="shared" si="13"/>
        <v>13400</v>
      </c>
      <c r="P20" s="242"/>
      <c r="Q20" s="242"/>
      <c r="R20" s="242"/>
      <c r="S20" s="242"/>
      <c r="T20" s="242"/>
      <c r="U20" s="242"/>
      <c r="V20" s="242"/>
      <c r="W20" s="242"/>
      <c r="X20" s="242"/>
      <c r="Y20" s="242"/>
      <c r="Z20" s="242"/>
      <c r="AA20" s="242"/>
      <c r="AB20" s="242"/>
      <c r="AC20" s="242"/>
      <c r="AD20" s="242"/>
    </row>
    <row r="21" ht="15.75" customHeight="1">
      <c r="A21" s="231" t="s">
        <v>425</v>
      </c>
      <c r="B21" s="253" t="s">
        <v>426</v>
      </c>
      <c r="C21" s="34"/>
      <c r="D21" s="254"/>
      <c r="E21" s="234">
        <v>4.0</v>
      </c>
      <c r="F21" s="234">
        <f t="shared" si="1"/>
        <v>2927.785124</v>
      </c>
      <c r="G21" s="362">
        <f t="shared" si="2"/>
        <v>4198.0047</v>
      </c>
      <c r="H21" s="235">
        <v>3542.62</v>
      </c>
      <c r="I21" s="236">
        <f t="shared" si="3"/>
        <v>5313.93</v>
      </c>
      <c r="J21" s="237"/>
      <c r="K21" s="238">
        <f t="shared" si="4"/>
        <v>5136.799</v>
      </c>
      <c r="L21" s="239"/>
      <c r="M21" s="240">
        <f t="shared" si="11"/>
        <v>4</v>
      </c>
      <c r="N21" s="241">
        <f t="shared" si="12"/>
        <v>5400</v>
      </c>
      <c r="O21" s="241">
        <f t="shared" si="13"/>
        <v>5200</v>
      </c>
      <c r="P21" s="242"/>
      <c r="Q21" s="242"/>
      <c r="R21" s="242"/>
      <c r="S21" s="242"/>
      <c r="T21" s="242"/>
      <c r="U21" s="242"/>
      <c r="V21" s="242"/>
      <c r="W21" s="242"/>
      <c r="X21" s="242"/>
      <c r="Y21" s="242"/>
      <c r="Z21" s="242"/>
      <c r="AA21" s="242"/>
      <c r="AB21" s="242"/>
      <c r="AC21" s="242"/>
      <c r="AD21" s="242"/>
    </row>
    <row r="22">
      <c r="A22" s="231" t="s">
        <v>427</v>
      </c>
      <c r="B22" s="253" t="s">
        <v>428</v>
      </c>
      <c r="C22" s="34"/>
      <c r="D22" s="254"/>
      <c r="E22" s="234">
        <v>4.0</v>
      </c>
      <c r="F22" s="234">
        <f t="shared" si="1"/>
        <v>3371.38843</v>
      </c>
      <c r="G22" s="362">
        <f t="shared" si="2"/>
        <v>4834.0653</v>
      </c>
      <c r="H22" s="235">
        <v>4079.38</v>
      </c>
      <c r="I22" s="236">
        <f t="shared" si="3"/>
        <v>6119.07</v>
      </c>
      <c r="J22" s="237"/>
      <c r="K22" s="238">
        <f t="shared" si="4"/>
        <v>5915.101</v>
      </c>
      <c r="L22" s="239"/>
      <c r="M22" s="240">
        <f t="shared" si="11"/>
        <v>4</v>
      </c>
      <c r="N22" s="241">
        <f t="shared" si="12"/>
        <v>6200</v>
      </c>
      <c r="O22" s="241">
        <f t="shared" si="13"/>
        <v>6000</v>
      </c>
      <c r="P22" s="242"/>
      <c r="Q22" s="242"/>
      <c r="R22" s="242"/>
      <c r="S22" s="242"/>
      <c r="T22" s="242"/>
      <c r="U22" s="242"/>
      <c r="V22" s="242"/>
      <c r="W22" s="242"/>
      <c r="X22" s="242"/>
      <c r="Y22" s="242"/>
      <c r="Z22" s="242"/>
      <c r="AA22" s="242"/>
      <c r="AB22" s="242"/>
      <c r="AC22" s="242"/>
      <c r="AD22" s="242"/>
    </row>
    <row r="23">
      <c r="A23" s="231" t="s">
        <v>429</v>
      </c>
      <c r="B23" s="253" t="s">
        <v>430</v>
      </c>
      <c r="C23" s="34"/>
      <c r="D23" s="254"/>
      <c r="E23" s="234">
        <v>4.0</v>
      </c>
      <c r="F23" s="234">
        <f t="shared" si="1"/>
        <v>3105.22314</v>
      </c>
      <c r="G23" s="362">
        <f t="shared" si="2"/>
        <v>4452.4242</v>
      </c>
      <c r="H23" s="235">
        <v>3757.32</v>
      </c>
      <c r="I23" s="236">
        <f t="shared" si="3"/>
        <v>5635.98</v>
      </c>
      <c r="J23" s="237"/>
      <c r="K23" s="238">
        <f t="shared" si="4"/>
        <v>5448.114</v>
      </c>
      <c r="L23" s="239"/>
      <c r="M23" s="240">
        <f t="shared" si="11"/>
        <v>4</v>
      </c>
      <c r="N23" s="241">
        <f t="shared" si="12"/>
        <v>5700</v>
      </c>
      <c r="O23" s="241">
        <f t="shared" si="13"/>
        <v>5500</v>
      </c>
      <c r="P23" s="242"/>
      <c r="Q23" s="242"/>
      <c r="R23" s="242"/>
      <c r="S23" s="242"/>
      <c r="T23" s="242"/>
      <c r="U23" s="242"/>
      <c r="V23" s="242"/>
      <c r="W23" s="242"/>
      <c r="X23" s="242"/>
      <c r="Y23" s="242"/>
      <c r="Z23" s="242"/>
      <c r="AA23" s="242"/>
      <c r="AB23" s="242"/>
      <c r="AC23" s="242"/>
      <c r="AD23" s="242"/>
    </row>
    <row r="24">
      <c r="A24" s="231" t="s">
        <v>431</v>
      </c>
      <c r="B24" s="255" t="s">
        <v>432</v>
      </c>
      <c r="C24" s="34"/>
      <c r="D24" s="256"/>
      <c r="E24" s="234">
        <v>4.0</v>
      </c>
      <c r="F24" s="234">
        <f t="shared" si="1"/>
        <v>2560.22314</v>
      </c>
      <c r="G24" s="362">
        <f t="shared" si="2"/>
        <v>3670.97595</v>
      </c>
      <c r="H24" s="235">
        <v>3097.87</v>
      </c>
      <c r="I24" s="236">
        <f t="shared" si="3"/>
        <v>4646.805</v>
      </c>
      <c r="J24" s="237"/>
      <c r="K24" s="238">
        <f t="shared" si="4"/>
        <v>4491.9115</v>
      </c>
      <c r="L24" s="239"/>
      <c r="M24" s="240">
        <f t="shared" si="11"/>
        <v>4</v>
      </c>
      <c r="N24" s="241">
        <f t="shared" si="12"/>
        <v>4700</v>
      </c>
      <c r="O24" s="241">
        <f t="shared" si="13"/>
        <v>4500</v>
      </c>
      <c r="P24" s="242"/>
      <c r="Q24" s="242"/>
      <c r="R24" s="242"/>
      <c r="S24" s="242"/>
      <c r="T24" s="242"/>
      <c r="U24" s="242"/>
      <c r="V24" s="242"/>
      <c r="W24" s="242"/>
      <c r="X24" s="242"/>
      <c r="Y24" s="242"/>
      <c r="Z24" s="242"/>
      <c r="AA24" s="242"/>
      <c r="AB24" s="242"/>
      <c r="AC24" s="242"/>
      <c r="AD24" s="242"/>
    </row>
    <row r="25">
      <c r="A25" s="231" t="s">
        <v>433</v>
      </c>
      <c r="B25" s="253" t="s">
        <v>434</v>
      </c>
      <c r="C25" s="34"/>
      <c r="D25" s="254"/>
      <c r="E25" s="234">
        <v>4.0</v>
      </c>
      <c r="F25" s="234">
        <f t="shared" si="1"/>
        <v>1242.090909</v>
      </c>
      <c r="G25" s="362">
        <f t="shared" si="2"/>
        <v>1780.97205</v>
      </c>
      <c r="H25" s="235">
        <v>1502.93</v>
      </c>
      <c r="I25" s="236">
        <f t="shared" si="3"/>
        <v>2254.395</v>
      </c>
      <c r="J25" s="237"/>
      <c r="K25" s="238">
        <f t="shared" si="4"/>
        <v>2179.2485</v>
      </c>
      <c r="L25" s="239"/>
      <c r="M25" s="240">
        <f t="shared" si="11"/>
        <v>4</v>
      </c>
      <c r="N25" s="241">
        <f t="shared" si="12"/>
        <v>2300</v>
      </c>
      <c r="O25" s="241">
        <f t="shared" si="13"/>
        <v>2200</v>
      </c>
      <c r="P25" s="242"/>
      <c r="Q25" s="242"/>
      <c r="R25" s="242"/>
      <c r="S25" s="242"/>
      <c r="T25" s="242"/>
      <c r="U25" s="242"/>
      <c r="V25" s="242"/>
      <c r="W25" s="242"/>
      <c r="X25" s="242"/>
      <c r="Y25" s="242"/>
      <c r="Z25" s="242"/>
      <c r="AA25" s="242"/>
      <c r="AB25" s="242"/>
      <c r="AC25" s="242"/>
      <c r="AD25" s="242"/>
    </row>
    <row r="26">
      <c r="A26" s="231" t="s">
        <v>435</v>
      </c>
      <c r="B26" s="257" t="s">
        <v>436</v>
      </c>
      <c r="C26" s="34"/>
      <c r="D26" s="258"/>
      <c r="E26" s="234">
        <v>2.0</v>
      </c>
      <c r="F26" s="234">
        <f t="shared" si="1"/>
        <v>7338.380165</v>
      </c>
      <c r="G26" s="362">
        <f t="shared" si="2"/>
        <v>10522.1364</v>
      </c>
      <c r="H26" s="235">
        <v>8879.44</v>
      </c>
      <c r="I26" s="236">
        <f t="shared" si="3"/>
        <v>13319.16</v>
      </c>
      <c r="J26" s="237"/>
      <c r="K26" s="238">
        <f t="shared" si="4"/>
        <v>12875.188</v>
      </c>
      <c r="L26" s="239"/>
      <c r="M26" s="240">
        <f t="shared" si="11"/>
        <v>2</v>
      </c>
      <c r="N26" s="241">
        <f t="shared" si="12"/>
        <v>13400</v>
      </c>
      <c r="O26" s="241">
        <f t="shared" si="13"/>
        <v>12900</v>
      </c>
      <c r="P26" s="242"/>
      <c r="Q26" s="242"/>
      <c r="R26" s="242"/>
      <c r="S26" s="242"/>
      <c r="T26" s="242"/>
      <c r="U26" s="242"/>
      <c r="V26" s="242"/>
      <c r="W26" s="242"/>
      <c r="X26" s="242"/>
      <c r="Y26" s="242"/>
      <c r="Z26" s="242"/>
      <c r="AA26" s="242"/>
      <c r="AB26" s="242"/>
      <c r="AC26" s="242"/>
      <c r="AD26" s="242"/>
    </row>
    <row r="27">
      <c r="A27" s="231" t="s">
        <v>437</v>
      </c>
      <c r="B27" s="259" t="s">
        <v>438</v>
      </c>
      <c r="C27" s="34"/>
      <c r="D27" s="260"/>
      <c r="E27" s="234">
        <v>2.0</v>
      </c>
      <c r="F27" s="234">
        <f t="shared" si="1"/>
        <v>23232.1405</v>
      </c>
      <c r="G27" s="362">
        <f t="shared" si="2"/>
        <v>33311.40465</v>
      </c>
      <c r="H27" s="235">
        <v>28110.89</v>
      </c>
      <c r="I27" s="236">
        <f t="shared" si="3"/>
        <v>42166.335</v>
      </c>
      <c r="J27" s="237"/>
      <c r="K27" s="238">
        <f t="shared" si="4"/>
        <v>40760.7905</v>
      </c>
      <c r="L27" s="239"/>
      <c r="M27" s="240">
        <f t="shared" si="11"/>
        <v>2</v>
      </c>
      <c r="N27" s="241">
        <f t="shared" si="12"/>
        <v>42200</v>
      </c>
      <c r="O27" s="241">
        <f t="shared" si="13"/>
        <v>40800</v>
      </c>
      <c r="P27" s="242"/>
      <c r="Q27" s="242"/>
      <c r="R27" s="242"/>
      <c r="S27" s="242"/>
      <c r="T27" s="242"/>
      <c r="U27" s="242"/>
      <c r="V27" s="242"/>
      <c r="W27" s="242"/>
      <c r="X27" s="242"/>
      <c r="Y27" s="242"/>
      <c r="Z27" s="242"/>
      <c r="AA27" s="242"/>
      <c r="AB27" s="242"/>
      <c r="AC27" s="242"/>
      <c r="AD27" s="242"/>
    </row>
    <row r="28">
      <c r="A28" s="231" t="s">
        <v>439</v>
      </c>
      <c r="B28" s="259" t="s">
        <v>440</v>
      </c>
      <c r="C28" s="34"/>
      <c r="D28" s="260"/>
      <c r="E28" s="234">
        <v>2.0</v>
      </c>
      <c r="F28" s="234">
        <f t="shared" si="1"/>
        <v>9226.950413</v>
      </c>
      <c r="G28" s="362">
        <f t="shared" si="2"/>
        <v>13230.06285</v>
      </c>
      <c r="H28" s="235">
        <v>11164.61</v>
      </c>
      <c r="I28" s="236">
        <f t="shared" si="3"/>
        <v>16746.915</v>
      </c>
      <c r="J28" s="237"/>
      <c r="K28" s="238">
        <f t="shared" si="4"/>
        <v>16188.6845</v>
      </c>
      <c r="L28" s="239"/>
      <c r="M28" s="240">
        <f t="shared" si="11"/>
        <v>2</v>
      </c>
      <c r="N28" s="241">
        <f t="shared" si="12"/>
        <v>16800</v>
      </c>
      <c r="O28" s="241">
        <f t="shared" si="13"/>
        <v>16200</v>
      </c>
      <c r="P28" s="242"/>
      <c r="Q28" s="242"/>
      <c r="R28" s="242"/>
      <c r="S28" s="242"/>
      <c r="T28" s="242"/>
      <c r="U28" s="242"/>
      <c r="V28" s="242"/>
      <c r="W28" s="242"/>
      <c r="X28" s="242"/>
      <c r="Y28" s="242"/>
      <c r="Z28" s="242"/>
      <c r="AA28" s="242"/>
      <c r="AB28" s="242"/>
      <c r="AC28" s="242"/>
      <c r="AD28" s="242"/>
    </row>
    <row r="29">
      <c r="F29" s="234">
        <f t="shared" si="1"/>
        <v>0</v>
      </c>
      <c r="G29" s="362">
        <f t="shared" si="2"/>
        <v>0</v>
      </c>
      <c r="I29" s="236">
        <f t="shared" si="3"/>
        <v>0</v>
      </c>
      <c r="K29" s="238">
        <f t="shared" si="4"/>
        <v>0</v>
      </c>
    </row>
    <row r="30" ht="16.5" customHeight="1">
      <c r="A30" s="231" t="s">
        <v>441</v>
      </c>
      <c r="B30" s="261" t="s">
        <v>442</v>
      </c>
      <c r="C30" s="34"/>
      <c r="D30" s="262"/>
      <c r="E30" s="234">
        <v>20.0</v>
      </c>
      <c r="F30" s="234">
        <f t="shared" si="1"/>
        <v>281.8595041</v>
      </c>
      <c r="G30" s="362">
        <f t="shared" si="2"/>
        <v>404.14425</v>
      </c>
      <c r="H30" s="263">
        <v>341.05</v>
      </c>
      <c r="I30" s="236">
        <f t="shared" si="3"/>
        <v>511.575</v>
      </c>
      <c r="J30" s="265"/>
      <c r="K30" s="238">
        <f t="shared" si="4"/>
        <v>494.5225</v>
      </c>
      <c r="L30" s="252">
        <v>2.0</v>
      </c>
      <c r="M30" s="240">
        <f t="shared" ref="M30:M58" si="15">E30-L30</f>
        <v>18</v>
      </c>
      <c r="N30" s="241">
        <f t="shared" ref="N30:N58" si="16">ROUNDUP(I30,-2)</f>
        <v>600</v>
      </c>
      <c r="O30" s="241">
        <f t="shared" ref="O30:O84" si="17">ROUNDUP(K30,-2)</f>
        <v>500</v>
      </c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</row>
    <row r="31">
      <c r="A31" s="231" t="s">
        <v>443</v>
      </c>
      <c r="B31" s="261" t="s">
        <v>444</v>
      </c>
      <c r="C31" s="34"/>
      <c r="D31" s="262"/>
      <c r="E31" s="234">
        <v>20.0</v>
      </c>
      <c r="F31" s="234">
        <f t="shared" si="1"/>
        <v>281.8595041</v>
      </c>
      <c r="G31" s="362">
        <f t="shared" si="2"/>
        <v>404.14425</v>
      </c>
      <c r="H31" s="263">
        <v>341.05</v>
      </c>
      <c r="I31" s="236">
        <f t="shared" si="3"/>
        <v>511.575</v>
      </c>
      <c r="J31" s="265"/>
      <c r="K31" s="238">
        <f t="shared" si="4"/>
        <v>494.5225</v>
      </c>
      <c r="L31" s="252">
        <v>6.0</v>
      </c>
      <c r="M31" s="240">
        <f t="shared" si="15"/>
        <v>14</v>
      </c>
      <c r="N31" s="241">
        <f t="shared" si="16"/>
        <v>600</v>
      </c>
      <c r="O31" s="241">
        <f t="shared" si="17"/>
        <v>500</v>
      </c>
      <c r="P31" s="242"/>
      <c r="Q31" s="242"/>
      <c r="R31" s="242"/>
      <c r="S31" s="242"/>
      <c r="T31" s="242"/>
      <c r="U31" s="242"/>
      <c r="V31" s="242"/>
      <c r="W31" s="242"/>
      <c r="X31" s="242"/>
      <c r="Y31" s="242"/>
      <c r="Z31" s="242"/>
      <c r="AA31" s="242"/>
      <c r="AB31" s="242"/>
      <c r="AC31" s="242"/>
      <c r="AD31" s="242"/>
    </row>
    <row r="32">
      <c r="A32" s="231" t="s">
        <v>445</v>
      </c>
      <c r="B32" s="261" t="s">
        <v>446</v>
      </c>
      <c r="C32" s="34"/>
      <c r="D32" s="262"/>
      <c r="E32" s="234">
        <v>15.0</v>
      </c>
      <c r="F32" s="234">
        <f t="shared" si="1"/>
        <v>168.5702479</v>
      </c>
      <c r="G32" s="362">
        <f t="shared" si="2"/>
        <v>241.70445</v>
      </c>
      <c r="H32" s="263">
        <v>203.97</v>
      </c>
      <c r="I32" s="236">
        <f t="shared" si="3"/>
        <v>305.955</v>
      </c>
      <c r="J32" s="265"/>
      <c r="K32" s="238">
        <f t="shared" si="4"/>
        <v>295.7565</v>
      </c>
      <c r="L32" s="239"/>
      <c r="M32" s="240">
        <f t="shared" si="15"/>
        <v>15</v>
      </c>
      <c r="N32" s="241">
        <f t="shared" si="16"/>
        <v>400</v>
      </c>
      <c r="O32" s="241">
        <f t="shared" si="17"/>
        <v>300</v>
      </c>
      <c r="P32" s="242"/>
      <c r="Q32" s="242"/>
      <c r="R32" s="242"/>
      <c r="S32" s="242"/>
      <c r="T32" s="242"/>
      <c r="U32" s="242"/>
      <c r="V32" s="242"/>
      <c r="W32" s="242"/>
      <c r="X32" s="242"/>
      <c r="Y32" s="242"/>
      <c r="Z32" s="242"/>
      <c r="AA32" s="242"/>
      <c r="AB32" s="242"/>
      <c r="AC32" s="242"/>
      <c r="AD32" s="242"/>
    </row>
    <row r="33">
      <c r="A33" s="231" t="s">
        <v>447</v>
      </c>
      <c r="B33" s="261" t="s">
        <v>448</v>
      </c>
      <c r="C33" s="34"/>
      <c r="D33" s="262"/>
      <c r="E33" s="234">
        <v>15.0</v>
      </c>
      <c r="F33" s="234">
        <f t="shared" si="1"/>
        <v>168.5702479</v>
      </c>
      <c r="G33" s="362">
        <f t="shared" si="2"/>
        <v>241.70445</v>
      </c>
      <c r="H33" s="263">
        <v>203.97</v>
      </c>
      <c r="I33" s="236">
        <f t="shared" si="3"/>
        <v>305.955</v>
      </c>
      <c r="J33" s="265"/>
      <c r="K33" s="238">
        <f t="shared" si="4"/>
        <v>295.7565</v>
      </c>
      <c r="L33" s="239"/>
      <c r="M33" s="240">
        <f t="shared" si="15"/>
        <v>15</v>
      </c>
      <c r="N33" s="241">
        <f t="shared" si="16"/>
        <v>400</v>
      </c>
      <c r="O33" s="241">
        <f t="shared" si="17"/>
        <v>300</v>
      </c>
      <c r="P33" s="242"/>
      <c r="Q33" s="242"/>
      <c r="R33" s="242"/>
      <c r="S33" s="242"/>
      <c r="T33" s="242"/>
      <c r="U33" s="242"/>
      <c r="V33" s="242"/>
      <c r="W33" s="242"/>
      <c r="X33" s="242"/>
      <c r="Y33" s="242"/>
      <c r="Z33" s="242"/>
      <c r="AA33" s="242"/>
      <c r="AB33" s="242"/>
      <c r="AC33" s="242"/>
      <c r="AD33" s="242"/>
    </row>
    <row r="34">
      <c r="A34" s="231" t="s">
        <v>449</v>
      </c>
      <c r="B34" s="261" t="s">
        <v>450</v>
      </c>
      <c r="C34" s="34"/>
      <c r="D34" s="262"/>
      <c r="E34" s="234">
        <v>8.0</v>
      </c>
      <c r="F34" s="234">
        <f t="shared" si="1"/>
        <v>1348.553719</v>
      </c>
      <c r="G34" s="362">
        <f t="shared" si="2"/>
        <v>1933.62375</v>
      </c>
      <c r="H34" s="235">
        <v>1631.75</v>
      </c>
      <c r="I34" s="236">
        <f t="shared" si="3"/>
        <v>2447.625</v>
      </c>
      <c r="J34" s="265"/>
      <c r="K34" s="238">
        <f t="shared" si="4"/>
        <v>2366.0375</v>
      </c>
      <c r="L34" s="239"/>
      <c r="M34" s="240">
        <f t="shared" si="15"/>
        <v>8</v>
      </c>
      <c r="N34" s="241">
        <f t="shared" si="16"/>
        <v>2500</v>
      </c>
      <c r="O34" s="241">
        <f t="shared" si="17"/>
        <v>2400</v>
      </c>
      <c r="P34" s="242"/>
      <c r="Q34" s="242"/>
      <c r="R34" s="242"/>
      <c r="S34" s="242"/>
      <c r="T34" s="242"/>
      <c r="U34" s="242"/>
      <c r="V34" s="242"/>
      <c r="W34" s="242"/>
      <c r="X34" s="242"/>
      <c r="Y34" s="242"/>
      <c r="Z34" s="242"/>
      <c r="AA34" s="242"/>
      <c r="AB34" s="242"/>
      <c r="AC34" s="242"/>
      <c r="AD34" s="242"/>
    </row>
    <row r="35">
      <c r="A35" s="231" t="s">
        <v>451</v>
      </c>
      <c r="B35" s="247" t="s">
        <v>452</v>
      </c>
      <c r="C35" s="34"/>
      <c r="D35" s="248"/>
      <c r="E35" s="234">
        <v>2.0</v>
      </c>
      <c r="F35" s="234">
        <f t="shared" si="1"/>
        <v>6367.53719</v>
      </c>
      <c r="G35" s="362">
        <f t="shared" si="2"/>
        <v>9130.0932</v>
      </c>
      <c r="H35" s="235">
        <v>7704.72</v>
      </c>
      <c r="I35" s="236">
        <f t="shared" si="3"/>
        <v>11557.08</v>
      </c>
      <c r="J35" s="237"/>
      <c r="K35" s="238">
        <f t="shared" si="4"/>
        <v>11171.844</v>
      </c>
      <c r="L35" s="252">
        <v>2.0</v>
      </c>
      <c r="M35" s="240">
        <f t="shared" si="15"/>
        <v>0</v>
      </c>
      <c r="N35" s="241">
        <f t="shared" si="16"/>
        <v>11600</v>
      </c>
      <c r="O35" s="241">
        <f t="shared" si="17"/>
        <v>11200</v>
      </c>
      <c r="P35" s="242"/>
      <c r="Q35" s="242"/>
      <c r="R35" s="242"/>
      <c r="S35" s="242"/>
      <c r="T35" s="242"/>
      <c r="U35" s="242"/>
      <c r="V35" s="242"/>
      <c r="W35" s="242"/>
      <c r="X35" s="242"/>
      <c r="Y35" s="242"/>
      <c r="Z35" s="242"/>
      <c r="AA35" s="242"/>
      <c r="AB35" s="242"/>
      <c r="AC35" s="242"/>
      <c r="AD35" s="242"/>
    </row>
    <row r="36">
      <c r="A36" s="231" t="s">
        <v>453</v>
      </c>
      <c r="B36" s="257" t="s">
        <v>454</v>
      </c>
      <c r="C36" s="34"/>
      <c r="D36" s="248"/>
      <c r="E36" s="234">
        <v>90.0</v>
      </c>
      <c r="F36" s="234">
        <f t="shared" si="1"/>
        <v>923.9586777</v>
      </c>
      <c r="G36" s="362">
        <f t="shared" si="2"/>
        <v>1324.81815</v>
      </c>
      <c r="H36" s="235">
        <v>1117.99</v>
      </c>
      <c r="I36" s="236">
        <f t="shared" si="3"/>
        <v>1676.985</v>
      </c>
      <c r="J36" s="237"/>
      <c r="K36" s="238">
        <f t="shared" si="4"/>
        <v>1621.0855</v>
      </c>
      <c r="L36" s="239"/>
      <c r="M36" s="240">
        <f t="shared" si="15"/>
        <v>90</v>
      </c>
      <c r="N36" s="241">
        <f t="shared" si="16"/>
        <v>1700</v>
      </c>
      <c r="O36" s="241">
        <f t="shared" si="17"/>
        <v>1700</v>
      </c>
      <c r="P36" s="242"/>
      <c r="Q36" s="242"/>
      <c r="R36" s="242"/>
      <c r="S36" s="242"/>
      <c r="T36" s="242"/>
      <c r="U36" s="242"/>
      <c r="V36" s="242"/>
      <c r="W36" s="242"/>
      <c r="X36" s="242"/>
      <c r="Y36" s="242"/>
      <c r="Z36" s="242"/>
      <c r="AA36" s="242"/>
      <c r="AB36" s="242"/>
      <c r="AC36" s="242"/>
      <c r="AD36" s="242"/>
    </row>
    <row r="37">
      <c r="A37" s="231" t="s">
        <v>455</v>
      </c>
      <c r="B37" s="257" t="s">
        <v>456</v>
      </c>
      <c r="C37" s="34"/>
      <c r="D37" s="267"/>
      <c r="E37" s="234">
        <v>90.0</v>
      </c>
      <c r="F37" s="234">
        <f t="shared" si="1"/>
        <v>1610.561983</v>
      </c>
      <c r="G37" s="362">
        <f t="shared" si="2"/>
        <v>2309.3043</v>
      </c>
      <c r="H37" s="235">
        <v>1948.78</v>
      </c>
      <c r="I37" s="236">
        <f t="shared" si="3"/>
        <v>2923.17</v>
      </c>
      <c r="J37" s="237"/>
      <c r="K37" s="238">
        <f t="shared" si="4"/>
        <v>2825.731</v>
      </c>
      <c r="L37" s="239"/>
      <c r="M37" s="240">
        <f t="shared" si="15"/>
        <v>90</v>
      </c>
      <c r="N37" s="241">
        <f t="shared" si="16"/>
        <v>3000</v>
      </c>
      <c r="O37" s="241">
        <f t="shared" si="17"/>
        <v>2900</v>
      </c>
      <c r="P37" s="242"/>
      <c r="Q37" s="242"/>
      <c r="R37" s="242"/>
      <c r="S37" s="242"/>
      <c r="T37" s="242"/>
      <c r="U37" s="242"/>
      <c r="V37" s="242"/>
      <c r="W37" s="242"/>
      <c r="X37" s="242"/>
      <c r="Y37" s="242"/>
      <c r="Z37" s="242"/>
      <c r="AA37" s="242"/>
      <c r="AB37" s="242"/>
      <c r="AC37" s="242"/>
      <c r="AD37" s="242"/>
    </row>
    <row r="38">
      <c r="A38" s="231" t="s">
        <v>457</v>
      </c>
      <c r="B38" s="268" t="s">
        <v>458</v>
      </c>
      <c r="C38" s="34"/>
      <c r="D38" s="269"/>
      <c r="E38" s="234">
        <v>6.0</v>
      </c>
      <c r="F38" s="234">
        <f t="shared" si="1"/>
        <v>1212.735537</v>
      </c>
      <c r="G38" s="362">
        <f t="shared" si="2"/>
        <v>1738.88085</v>
      </c>
      <c r="H38" s="235">
        <v>1467.41</v>
      </c>
      <c r="I38" s="236">
        <f t="shared" si="3"/>
        <v>2201.115</v>
      </c>
      <c r="J38" s="237"/>
      <c r="K38" s="238">
        <f t="shared" si="4"/>
        <v>2127.7445</v>
      </c>
      <c r="L38" s="239"/>
      <c r="M38" s="240">
        <f t="shared" si="15"/>
        <v>6</v>
      </c>
      <c r="N38" s="241">
        <f t="shared" si="16"/>
        <v>2300</v>
      </c>
      <c r="O38" s="241">
        <f t="shared" si="17"/>
        <v>2200</v>
      </c>
      <c r="P38" s="242"/>
      <c r="Q38" s="242"/>
      <c r="R38" s="242"/>
      <c r="S38" s="242"/>
      <c r="T38" s="242"/>
      <c r="U38" s="242"/>
      <c r="V38" s="242"/>
      <c r="W38" s="242"/>
      <c r="X38" s="242"/>
      <c r="Y38" s="242"/>
      <c r="Z38" s="242"/>
      <c r="AA38" s="242"/>
      <c r="AB38" s="242"/>
      <c r="AC38" s="242"/>
      <c r="AD38" s="242"/>
    </row>
    <row r="39" ht="15.75" customHeight="1">
      <c r="A39" s="231" t="s">
        <v>459</v>
      </c>
      <c r="B39" s="270" t="s">
        <v>460</v>
      </c>
      <c r="C39" s="34"/>
      <c r="D39" s="269"/>
      <c r="E39" s="234">
        <v>50.0</v>
      </c>
      <c r="F39" s="363">
        <f t="shared" si="1"/>
        <v>503.4049587</v>
      </c>
      <c r="G39" s="362">
        <f t="shared" si="2"/>
        <v>721.8072</v>
      </c>
      <c r="H39" s="364">
        <v>609.12</v>
      </c>
      <c r="I39" s="236">
        <f t="shared" si="3"/>
        <v>913.68</v>
      </c>
      <c r="J39" s="237"/>
      <c r="K39" s="238">
        <f t="shared" si="4"/>
        <v>883.224</v>
      </c>
      <c r="L39" s="271">
        <v>3.0</v>
      </c>
      <c r="M39" s="240">
        <f t="shared" si="15"/>
        <v>47</v>
      </c>
      <c r="N39" s="241">
        <f t="shared" si="16"/>
        <v>1000</v>
      </c>
      <c r="O39" s="241">
        <f t="shared" si="17"/>
        <v>900</v>
      </c>
      <c r="P39" s="242"/>
      <c r="Q39" s="242"/>
      <c r="R39" s="242"/>
      <c r="S39" s="242"/>
      <c r="T39" s="242"/>
      <c r="U39" s="242"/>
      <c r="V39" s="242"/>
      <c r="W39" s="242"/>
      <c r="X39" s="242"/>
      <c r="Y39" s="242"/>
      <c r="Z39" s="242"/>
      <c r="AA39" s="242"/>
      <c r="AB39" s="242"/>
      <c r="AC39" s="242"/>
      <c r="AD39" s="242"/>
    </row>
    <row r="40">
      <c r="A40" s="231" t="s">
        <v>461</v>
      </c>
      <c r="B40" s="272" t="s">
        <v>462</v>
      </c>
      <c r="C40" s="34"/>
      <c r="D40" s="269"/>
      <c r="E40" s="234">
        <v>80.0</v>
      </c>
      <c r="F40" s="234">
        <f t="shared" si="1"/>
        <v>981.6363636</v>
      </c>
      <c r="G40" s="362">
        <f t="shared" si="2"/>
        <v>1407.5193</v>
      </c>
      <c r="H40" s="235">
        <v>1187.78</v>
      </c>
      <c r="I40" s="236">
        <f t="shared" si="3"/>
        <v>1781.67</v>
      </c>
      <c r="J40" s="237"/>
      <c r="K40" s="238">
        <f t="shared" si="4"/>
        <v>1722.281</v>
      </c>
      <c r="L40" s="273"/>
      <c r="M40" s="240">
        <f t="shared" si="15"/>
        <v>80</v>
      </c>
      <c r="N40" s="241">
        <f t="shared" si="16"/>
        <v>1800</v>
      </c>
      <c r="O40" s="241">
        <f t="shared" si="17"/>
        <v>1800</v>
      </c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242"/>
      <c r="AA40" s="242"/>
      <c r="AB40" s="242"/>
      <c r="AC40" s="242"/>
      <c r="AD40" s="242"/>
    </row>
    <row r="41" ht="20.25" customHeight="1">
      <c r="A41" s="231" t="s">
        <v>463</v>
      </c>
      <c r="B41" s="282" t="s">
        <v>464</v>
      </c>
      <c r="C41" s="34"/>
      <c r="D41" s="269"/>
      <c r="E41" s="234">
        <v>30.0</v>
      </c>
      <c r="F41" s="234">
        <f t="shared" si="1"/>
        <v>604.0826446</v>
      </c>
      <c r="G41" s="362">
        <f t="shared" si="2"/>
        <v>866.1639</v>
      </c>
      <c r="H41" s="263">
        <v>730.94</v>
      </c>
      <c r="I41" s="236">
        <f t="shared" si="3"/>
        <v>1096.41</v>
      </c>
      <c r="J41" s="237"/>
      <c r="K41" s="238">
        <f t="shared" si="4"/>
        <v>1059.863</v>
      </c>
      <c r="L41" s="271">
        <v>1.0</v>
      </c>
      <c r="M41" s="240">
        <f t="shared" si="15"/>
        <v>29</v>
      </c>
      <c r="N41" s="241">
        <f t="shared" si="16"/>
        <v>1100</v>
      </c>
      <c r="O41" s="241">
        <f t="shared" si="17"/>
        <v>1100</v>
      </c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242"/>
      <c r="AA41" s="242"/>
      <c r="AB41" s="242"/>
      <c r="AC41" s="242"/>
      <c r="AD41" s="242"/>
    </row>
    <row r="42" ht="16.5" customHeight="1">
      <c r="A42" s="231" t="s">
        <v>465</v>
      </c>
      <c r="B42" s="282" t="s">
        <v>466</v>
      </c>
      <c r="C42" s="34"/>
      <c r="D42" s="269"/>
      <c r="E42" s="234">
        <v>80.0</v>
      </c>
      <c r="F42" s="234">
        <f t="shared" si="1"/>
        <v>604.0826446</v>
      </c>
      <c r="G42" s="362">
        <f t="shared" si="2"/>
        <v>866.1639</v>
      </c>
      <c r="H42" s="263">
        <v>730.94</v>
      </c>
      <c r="I42" s="236">
        <f t="shared" si="3"/>
        <v>1096.41</v>
      </c>
      <c r="J42" s="237"/>
      <c r="K42" s="238">
        <f t="shared" si="4"/>
        <v>1059.863</v>
      </c>
      <c r="L42" s="273"/>
      <c r="M42" s="240">
        <f t="shared" si="15"/>
        <v>80</v>
      </c>
      <c r="N42" s="241">
        <f t="shared" si="16"/>
        <v>1100</v>
      </c>
      <c r="O42" s="241">
        <f t="shared" si="17"/>
        <v>1100</v>
      </c>
      <c r="P42" s="242"/>
      <c r="Q42" s="242"/>
      <c r="R42" s="242"/>
      <c r="S42" s="242"/>
      <c r="T42" s="242"/>
      <c r="U42" s="242"/>
      <c r="V42" s="242"/>
      <c r="W42" s="242"/>
      <c r="X42" s="242"/>
      <c r="Y42" s="242"/>
      <c r="Z42" s="242"/>
      <c r="AA42" s="242"/>
      <c r="AB42" s="242"/>
      <c r="AC42" s="242"/>
      <c r="AD42" s="242"/>
    </row>
    <row r="43" ht="16.5" customHeight="1">
      <c r="A43" s="231" t="s">
        <v>467</v>
      </c>
      <c r="B43" s="293" t="s">
        <v>468</v>
      </c>
      <c r="C43" s="34"/>
      <c r="D43" s="269"/>
      <c r="E43" s="234">
        <v>40.0</v>
      </c>
      <c r="F43" s="234">
        <f t="shared" si="1"/>
        <v>453.0661157</v>
      </c>
      <c r="G43" s="362">
        <f t="shared" si="2"/>
        <v>649.62885</v>
      </c>
      <c r="H43" s="263">
        <v>548.21</v>
      </c>
      <c r="I43" s="236">
        <f t="shared" si="3"/>
        <v>822.315</v>
      </c>
      <c r="J43" s="237"/>
      <c r="K43" s="238">
        <f t="shared" si="4"/>
        <v>794.9045</v>
      </c>
      <c r="L43" s="271">
        <v>6.0</v>
      </c>
      <c r="M43" s="240">
        <f t="shared" si="15"/>
        <v>34</v>
      </c>
      <c r="N43" s="241">
        <f t="shared" si="16"/>
        <v>900</v>
      </c>
      <c r="O43" s="241">
        <f t="shared" si="17"/>
        <v>800</v>
      </c>
      <c r="P43" s="242"/>
      <c r="Q43" s="242"/>
      <c r="R43" s="242"/>
      <c r="S43" s="242"/>
      <c r="T43" s="242"/>
      <c r="U43" s="242"/>
      <c r="V43" s="242"/>
      <c r="W43" s="242"/>
      <c r="X43" s="242"/>
      <c r="Y43" s="242"/>
      <c r="Z43" s="242"/>
      <c r="AA43" s="242"/>
      <c r="AB43" s="242"/>
      <c r="AC43" s="242"/>
      <c r="AD43" s="242"/>
    </row>
    <row r="44" ht="18.0" customHeight="1">
      <c r="A44" s="231" t="s">
        <v>469</v>
      </c>
      <c r="B44" s="293" t="s">
        <v>470</v>
      </c>
      <c r="C44" s="34"/>
      <c r="D44" s="269"/>
      <c r="E44" s="234">
        <v>80.0</v>
      </c>
      <c r="F44" s="234">
        <f t="shared" si="1"/>
        <v>453.0661157</v>
      </c>
      <c r="G44" s="362">
        <f t="shared" si="2"/>
        <v>649.62885</v>
      </c>
      <c r="H44" s="263">
        <v>548.21</v>
      </c>
      <c r="I44" s="236">
        <f t="shared" si="3"/>
        <v>822.315</v>
      </c>
      <c r="J44" s="237"/>
      <c r="K44" s="238">
        <f t="shared" si="4"/>
        <v>794.9045</v>
      </c>
      <c r="L44" s="271">
        <v>10.0</v>
      </c>
      <c r="M44" s="240">
        <f t="shared" si="15"/>
        <v>70</v>
      </c>
      <c r="N44" s="241">
        <f t="shared" si="16"/>
        <v>900</v>
      </c>
      <c r="O44" s="241">
        <f t="shared" si="17"/>
        <v>800</v>
      </c>
      <c r="P44" s="242"/>
      <c r="Q44" s="242"/>
      <c r="R44" s="242"/>
      <c r="S44" s="242"/>
      <c r="T44" s="242"/>
      <c r="U44" s="242"/>
      <c r="V44" s="242"/>
      <c r="W44" s="242"/>
      <c r="X44" s="242"/>
      <c r="Y44" s="242"/>
      <c r="Z44" s="242"/>
      <c r="AA44" s="242"/>
      <c r="AB44" s="242"/>
      <c r="AC44" s="242"/>
      <c r="AD44" s="242"/>
    </row>
    <row r="45">
      <c r="A45" s="231" t="s">
        <v>471</v>
      </c>
      <c r="B45" s="294" t="s">
        <v>472</v>
      </c>
      <c r="C45" s="34"/>
      <c r="D45" s="269"/>
      <c r="E45" s="234">
        <v>80.0</v>
      </c>
      <c r="F45" s="234">
        <f t="shared" si="1"/>
        <v>427.892562</v>
      </c>
      <c r="G45" s="362">
        <f t="shared" si="2"/>
        <v>613.53375</v>
      </c>
      <c r="H45" s="263">
        <v>517.75</v>
      </c>
      <c r="I45" s="236">
        <f t="shared" si="3"/>
        <v>776.625</v>
      </c>
      <c r="J45" s="237"/>
      <c r="K45" s="238">
        <f t="shared" si="4"/>
        <v>750.7375</v>
      </c>
      <c r="L45" s="273"/>
      <c r="M45" s="240">
        <f t="shared" si="15"/>
        <v>80</v>
      </c>
      <c r="N45" s="241">
        <f t="shared" si="16"/>
        <v>800</v>
      </c>
      <c r="O45" s="241">
        <f t="shared" si="17"/>
        <v>800</v>
      </c>
      <c r="P45" s="242"/>
      <c r="Q45" s="242"/>
      <c r="R45" s="242"/>
      <c r="S45" s="242"/>
      <c r="T45" s="242"/>
      <c r="U45" s="242"/>
      <c r="V45" s="242"/>
      <c r="W45" s="242"/>
      <c r="X45" s="242"/>
      <c r="Y45" s="242"/>
      <c r="Z45" s="242"/>
      <c r="AA45" s="242"/>
      <c r="AB45" s="242"/>
      <c r="AC45" s="242"/>
      <c r="AD45" s="242"/>
    </row>
    <row r="46" ht="15.0" customHeight="1">
      <c r="A46" s="231" t="s">
        <v>473</v>
      </c>
      <c r="B46" s="294" t="s">
        <v>474</v>
      </c>
      <c r="C46" s="34"/>
      <c r="D46" s="269"/>
      <c r="E46" s="234">
        <v>50.0</v>
      </c>
      <c r="F46" s="234">
        <f t="shared" si="1"/>
        <v>427.892562</v>
      </c>
      <c r="G46" s="362">
        <f t="shared" si="2"/>
        <v>613.53375</v>
      </c>
      <c r="H46" s="263">
        <v>517.75</v>
      </c>
      <c r="I46" s="236">
        <f t="shared" si="3"/>
        <v>776.625</v>
      </c>
      <c r="J46" s="237"/>
      <c r="K46" s="238">
        <f t="shared" si="4"/>
        <v>750.7375</v>
      </c>
      <c r="L46" s="273"/>
      <c r="M46" s="240">
        <f t="shared" si="15"/>
        <v>50</v>
      </c>
      <c r="N46" s="241">
        <f t="shared" si="16"/>
        <v>800</v>
      </c>
      <c r="O46" s="241">
        <f t="shared" si="17"/>
        <v>800</v>
      </c>
      <c r="P46" s="242"/>
      <c r="Q46" s="242"/>
      <c r="R46" s="242"/>
      <c r="S46" s="242"/>
      <c r="T46" s="242"/>
      <c r="U46" s="242"/>
      <c r="V46" s="242"/>
      <c r="W46" s="242"/>
      <c r="X46" s="242"/>
      <c r="Y46" s="242"/>
      <c r="Z46" s="242"/>
      <c r="AA46" s="242"/>
      <c r="AB46" s="242"/>
      <c r="AC46" s="242"/>
      <c r="AD46" s="242"/>
    </row>
    <row r="47">
      <c r="A47" s="231" t="s">
        <v>475</v>
      </c>
      <c r="B47" s="247" t="s">
        <v>476</v>
      </c>
      <c r="C47" s="34"/>
      <c r="D47" s="248"/>
      <c r="E47" s="234">
        <v>30.0</v>
      </c>
      <c r="F47" s="234">
        <f t="shared" si="1"/>
        <v>773.1404959</v>
      </c>
      <c r="G47" s="362">
        <f t="shared" si="2"/>
        <v>1108.5675</v>
      </c>
      <c r="H47" s="263">
        <v>935.5</v>
      </c>
      <c r="I47" s="236">
        <f t="shared" si="3"/>
        <v>1403.25</v>
      </c>
      <c r="J47" s="237"/>
      <c r="K47" s="238">
        <f t="shared" si="4"/>
        <v>1356.475</v>
      </c>
      <c r="L47" s="273"/>
      <c r="M47" s="240">
        <f t="shared" si="15"/>
        <v>30</v>
      </c>
      <c r="N47" s="241">
        <f t="shared" si="16"/>
        <v>1500</v>
      </c>
      <c r="O47" s="241">
        <f t="shared" si="17"/>
        <v>1400</v>
      </c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2"/>
      <c r="AA47" s="242"/>
      <c r="AB47" s="242"/>
      <c r="AC47" s="242"/>
      <c r="AD47" s="242"/>
    </row>
    <row r="48">
      <c r="A48" s="231" t="s">
        <v>477</v>
      </c>
      <c r="B48" s="247" t="s">
        <v>478</v>
      </c>
      <c r="C48" s="34"/>
      <c r="D48" s="248"/>
      <c r="E48" s="234">
        <v>30.0</v>
      </c>
      <c r="F48" s="234">
        <f t="shared" si="1"/>
        <v>380.231405</v>
      </c>
      <c r="G48" s="362">
        <f t="shared" si="2"/>
        <v>545.1948</v>
      </c>
      <c r="H48" s="263">
        <v>460.08</v>
      </c>
      <c r="I48" s="236">
        <f t="shared" si="3"/>
        <v>690.12</v>
      </c>
      <c r="J48" s="237"/>
      <c r="K48" s="238">
        <f t="shared" si="4"/>
        <v>667.116</v>
      </c>
      <c r="L48" s="273"/>
      <c r="M48" s="240">
        <f t="shared" si="15"/>
        <v>30</v>
      </c>
      <c r="N48" s="241">
        <f t="shared" si="16"/>
        <v>700</v>
      </c>
      <c r="O48" s="241">
        <f t="shared" si="17"/>
        <v>700</v>
      </c>
      <c r="P48" s="242"/>
      <c r="Q48" s="242"/>
      <c r="R48" s="242"/>
      <c r="S48" s="242"/>
      <c r="T48" s="242"/>
      <c r="U48" s="242"/>
      <c r="V48" s="242"/>
      <c r="W48" s="242"/>
      <c r="X48" s="242"/>
      <c r="Y48" s="242"/>
      <c r="Z48" s="242"/>
      <c r="AA48" s="242"/>
      <c r="AB48" s="242"/>
      <c r="AC48" s="242"/>
      <c r="AD48" s="242"/>
    </row>
    <row r="49">
      <c r="A49" s="231" t="s">
        <v>479</v>
      </c>
      <c r="B49" s="247" t="s">
        <v>480</v>
      </c>
      <c r="C49" s="34"/>
      <c r="D49" s="248"/>
      <c r="E49" s="234">
        <v>2.0</v>
      </c>
      <c r="F49" s="234">
        <f t="shared" si="1"/>
        <v>2856.826446</v>
      </c>
      <c r="G49" s="362">
        <f t="shared" si="2"/>
        <v>4096.2606</v>
      </c>
      <c r="H49" s="235">
        <v>3456.76</v>
      </c>
      <c r="I49" s="236">
        <f t="shared" si="3"/>
        <v>5185.14</v>
      </c>
      <c r="J49" s="237"/>
      <c r="K49" s="238">
        <f t="shared" si="4"/>
        <v>5012.302</v>
      </c>
      <c r="L49" s="273"/>
      <c r="M49" s="240">
        <f t="shared" si="15"/>
        <v>2</v>
      </c>
      <c r="N49" s="241">
        <f t="shared" si="16"/>
        <v>5200</v>
      </c>
      <c r="O49" s="241">
        <f t="shared" si="17"/>
        <v>5100</v>
      </c>
      <c r="P49" s="242"/>
      <c r="Q49" s="242"/>
      <c r="R49" s="242"/>
      <c r="S49" s="242"/>
      <c r="T49" s="242"/>
      <c r="U49" s="242"/>
      <c r="V49" s="242"/>
      <c r="W49" s="242"/>
      <c r="X49" s="242"/>
      <c r="Y49" s="242"/>
      <c r="Z49" s="242"/>
      <c r="AA49" s="242"/>
      <c r="AB49" s="242"/>
      <c r="AC49" s="242"/>
      <c r="AD49" s="242"/>
    </row>
    <row r="50">
      <c r="A50" s="231" t="s">
        <v>481</v>
      </c>
      <c r="B50" s="295" t="s">
        <v>482</v>
      </c>
      <c r="C50" s="34"/>
      <c r="D50" s="296"/>
      <c r="E50" s="234">
        <v>80.0</v>
      </c>
      <c r="F50" s="234">
        <f t="shared" si="1"/>
        <v>805.446281</v>
      </c>
      <c r="G50" s="362">
        <f t="shared" si="2"/>
        <v>1154.88915</v>
      </c>
      <c r="H50" s="263">
        <v>974.59</v>
      </c>
      <c r="I50" s="236">
        <f t="shared" si="3"/>
        <v>1461.885</v>
      </c>
      <c r="J50" s="237"/>
      <c r="K50" s="238">
        <f t="shared" si="4"/>
        <v>1413.1555</v>
      </c>
      <c r="L50" s="271">
        <v>2.0</v>
      </c>
      <c r="M50" s="240">
        <f t="shared" si="15"/>
        <v>78</v>
      </c>
      <c r="N50" s="241">
        <f t="shared" si="16"/>
        <v>1500</v>
      </c>
      <c r="O50" s="241">
        <f t="shared" si="17"/>
        <v>1500</v>
      </c>
      <c r="P50" s="242"/>
      <c r="Q50" s="242"/>
      <c r="R50" s="242"/>
      <c r="S50" s="242"/>
      <c r="T50" s="242"/>
      <c r="U50" s="242"/>
      <c r="V50" s="242"/>
      <c r="W50" s="242"/>
      <c r="X50" s="242"/>
      <c r="Y50" s="242"/>
      <c r="Z50" s="242"/>
      <c r="AA50" s="242"/>
      <c r="AB50" s="242"/>
      <c r="AC50" s="242"/>
      <c r="AD50" s="242"/>
    </row>
    <row r="51">
      <c r="A51" s="231" t="s">
        <v>483</v>
      </c>
      <c r="B51" s="295" t="s">
        <v>484</v>
      </c>
      <c r="C51" s="34"/>
      <c r="D51" s="296"/>
      <c r="E51" s="234">
        <v>30.0</v>
      </c>
      <c r="F51" s="234">
        <f t="shared" si="1"/>
        <v>805.446281</v>
      </c>
      <c r="G51" s="362">
        <f t="shared" si="2"/>
        <v>1154.88915</v>
      </c>
      <c r="H51" s="263">
        <v>974.59</v>
      </c>
      <c r="I51" s="236">
        <f t="shared" si="3"/>
        <v>1461.885</v>
      </c>
      <c r="J51" s="237"/>
      <c r="K51" s="238">
        <f t="shared" si="4"/>
        <v>1413.1555</v>
      </c>
      <c r="L51" s="271">
        <v>3.0</v>
      </c>
      <c r="M51" s="240">
        <f t="shared" si="15"/>
        <v>27</v>
      </c>
      <c r="N51" s="241">
        <f t="shared" si="16"/>
        <v>1500</v>
      </c>
      <c r="O51" s="241">
        <f t="shared" si="17"/>
        <v>1500</v>
      </c>
      <c r="P51" s="242"/>
      <c r="Q51" s="242"/>
      <c r="R51" s="242"/>
      <c r="S51" s="242"/>
      <c r="T51" s="242"/>
      <c r="U51" s="242"/>
      <c r="V51" s="242"/>
      <c r="W51" s="242"/>
      <c r="X51" s="242"/>
      <c r="Y51" s="242"/>
      <c r="Z51" s="242"/>
      <c r="AA51" s="242"/>
      <c r="AB51" s="242"/>
      <c r="AC51" s="242"/>
      <c r="AD51" s="242"/>
    </row>
    <row r="52">
      <c r="A52" s="231" t="s">
        <v>485</v>
      </c>
      <c r="B52" s="297" t="s">
        <v>486</v>
      </c>
      <c r="C52" s="34"/>
      <c r="D52" s="298"/>
      <c r="E52" s="234">
        <v>2.0</v>
      </c>
      <c r="F52" s="234">
        <f t="shared" si="1"/>
        <v>6277.380165</v>
      </c>
      <c r="G52" s="362">
        <f t="shared" si="2"/>
        <v>9000.82155</v>
      </c>
      <c r="H52" s="235">
        <v>7595.63</v>
      </c>
      <c r="I52" s="236">
        <f t="shared" si="3"/>
        <v>11393.445</v>
      </c>
      <c r="J52" s="237"/>
      <c r="K52" s="238">
        <f t="shared" si="4"/>
        <v>11013.6635</v>
      </c>
      <c r="L52" s="273"/>
      <c r="M52" s="240">
        <f t="shared" si="15"/>
        <v>2</v>
      </c>
      <c r="N52" s="241">
        <f t="shared" si="16"/>
        <v>11400</v>
      </c>
      <c r="O52" s="241">
        <f t="shared" si="17"/>
        <v>11100</v>
      </c>
      <c r="P52" s="242"/>
      <c r="Q52" s="242"/>
      <c r="R52" s="242"/>
      <c r="S52" s="242"/>
      <c r="T52" s="242"/>
      <c r="U52" s="242"/>
      <c r="V52" s="242"/>
      <c r="W52" s="242"/>
      <c r="X52" s="242"/>
      <c r="Y52" s="242"/>
      <c r="Z52" s="242"/>
      <c r="AA52" s="242"/>
      <c r="AB52" s="242"/>
      <c r="AC52" s="242"/>
      <c r="AD52" s="242"/>
    </row>
    <row r="53">
      <c r="A53" s="231" t="s">
        <v>487</v>
      </c>
      <c r="B53" s="297" t="s">
        <v>488</v>
      </c>
      <c r="C53" s="34"/>
      <c r="D53" s="298"/>
      <c r="E53" s="234">
        <v>1000.0</v>
      </c>
      <c r="F53" s="234">
        <f t="shared" si="1"/>
        <v>11615.85124</v>
      </c>
      <c r="G53" s="362">
        <f t="shared" si="2"/>
        <v>16655.3883</v>
      </c>
      <c r="H53" s="235">
        <v>14055.18</v>
      </c>
      <c r="I53" s="236">
        <f t="shared" si="3"/>
        <v>21082.77</v>
      </c>
      <c r="J53" s="237"/>
      <c r="K53" s="238">
        <f t="shared" si="4"/>
        <v>20380.011</v>
      </c>
      <c r="L53" s="273"/>
      <c r="M53" s="240">
        <f t="shared" si="15"/>
        <v>1000</v>
      </c>
      <c r="N53" s="241">
        <f t="shared" si="16"/>
        <v>21100</v>
      </c>
      <c r="O53" s="241">
        <f t="shared" si="17"/>
        <v>20400</v>
      </c>
      <c r="P53" s="242"/>
      <c r="Q53" s="242"/>
      <c r="R53" s="242"/>
      <c r="S53" s="242"/>
      <c r="T53" s="242"/>
      <c r="U53" s="242"/>
      <c r="V53" s="242"/>
      <c r="W53" s="242"/>
      <c r="X53" s="242"/>
      <c r="Y53" s="242"/>
      <c r="Z53" s="242"/>
      <c r="AA53" s="242"/>
      <c r="AB53" s="242"/>
      <c r="AC53" s="242"/>
      <c r="AD53" s="242"/>
    </row>
    <row r="54">
      <c r="A54" s="231" t="s">
        <v>489</v>
      </c>
      <c r="B54" s="247" t="s">
        <v>490</v>
      </c>
      <c r="C54" s="34"/>
      <c r="D54" s="248"/>
      <c r="E54" s="234">
        <v>4.0</v>
      </c>
      <c r="F54" s="234">
        <f t="shared" si="1"/>
        <v>2810.471074</v>
      </c>
      <c r="G54" s="362">
        <f t="shared" si="2"/>
        <v>4029.79395</v>
      </c>
      <c r="H54" s="235">
        <v>3400.67</v>
      </c>
      <c r="I54" s="236">
        <f t="shared" si="3"/>
        <v>5101.005</v>
      </c>
      <c r="J54" s="237">
        <f>I54/1000</f>
        <v>5.101005</v>
      </c>
      <c r="K54" s="238">
        <f t="shared" si="4"/>
        <v>4930.9715</v>
      </c>
      <c r="L54" s="271">
        <v>1.0</v>
      </c>
      <c r="M54" s="240">
        <f t="shared" si="15"/>
        <v>3</v>
      </c>
      <c r="N54" s="241">
        <f t="shared" si="16"/>
        <v>5200</v>
      </c>
      <c r="O54" s="241">
        <f t="shared" si="17"/>
        <v>5000</v>
      </c>
      <c r="P54" s="242"/>
      <c r="Q54" s="242"/>
      <c r="R54" s="242"/>
      <c r="S54" s="242"/>
      <c r="T54" s="242"/>
      <c r="U54" s="242"/>
      <c r="V54" s="242"/>
      <c r="W54" s="242"/>
      <c r="X54" s="242"/>
      <c r="Y54" s="242"/>
      <c r="Z54" s="242"/>
      <c r="AA54" s="242"/>
      <c r="AB54" s="242"/>
      <c r="AC54" s="242"/>
      <c r="AD54" s="242"/>
    </row>
    <row r="55">
      <c r="A55" s="231" t="s">
        <v>491</v>
      </c>
      <c r="B55" s="299" t="s">
        <v>492</v>
      </c>
      <c r="C55" s="34"/>
      <c r="D55" s="300"/>
      <c r="E55" s="234">
        <v>20.0</v>
      </c>
      <c r="F55" s="234">
        <f t="shared" si="1"/>
        <v>367.553719</v>
      </c>
      <c r="G55" s="362">
        <f t="shared" si="2"/>
        <v>527.0169</v>
      </c>
      <c r="H55" s="263">
        <v>444.74</v>
      </c>
      <c r="I55" s="236">
        <f t="shared" si="3"/>
        <v>667.11</v>
      </c>
      <c r="J55" s="237"/>
      <c r="K55" s="238">
        <f t="shared" si="4"/>
        <v>644.873</v>
      </c>
      <c r="L55" s="273"/>
      <c r="M55" s="240">
        <f t="shared" si="15"/>
        <v>20</v>
      </c>
      <c r="N55" s="241">
        <f t="shared" si="16"/>
        <v>700</v>
      </c>
      <c r="O55" s="241">
        <f t="shared" si="17"/>
        <v>700</v>
      </c>
      <c r="P55" s="242"/>
      <c r="Q55" s="242"/>
      <c r="R55" s="242"/>
      <c r="S55" s="242"/>
      <c r="T55" s="242"/>
      <c r="U55" s="242"/>
      <c r="V55" s="242"/>
      <c r="W55" s="242"/>
      <c r="X55" s="242"/>
      <c r="Y55" s="242"/>
      <c r="Z55" s="242"/>
      <c r="AA55" s="242"/>
      <c r="AB55" s="242"/>
      <c r="AC55" s="242"/>
      <c r="AD55" s="242"/>
    </row>
    <row r="56">
      <c r="A56" s="231" t="s">
        <v>493</v>
      </c>
      <c r="B56" s="243" t="s">
        <v>494</v>
      </c>
      <c r="C56" s="34"/>
      <c r="D56" s="244"/>
      <c r="E56" s="234">
        <v>1.0</v>
      </c>
      <c r="F56" s="234">
        <f t="shared" si="1"/>
        <v>5046.041322</v>
      </c>
      <c r="G56" s="362">
        <f t="shared" si="2"/>
        <v>7235.26635</v>
      </c>
      <c r="H56" s="235">
        <v>6105.71</v>
      </c>
      <c r="I56" s="236">
        <f t="shared" si="3"/>
        <v>9158.565</v>
      </c>
      <c r="J56" s="237"/>
      <c r="K56" s="238">
        <f t="shared" si="4"/>
        <v>8853.2795</v>
      </c>
      <c r="L56" s="273"/>
      <c r="M56" s="240">
        <f t="shared" si="15"/>
        <v>1</v>
      </c>
      <c r="N56" s="241">
        <f t="shared" si="16"/>
        <v>9200</v>
      </c>
      <c r="O56" s="241">
        <f t="shared" si="17"/>
        <v>8900</v>
      </c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242"/>
      <c r="AA56" s="242"/>
      <c r="AB56" s="242"/>
      <c r="AC56" s="242"/>
      <c r="AD56" s="242"/>
    </row>
    <row r="57">
      <c r="A57" s="231" t="s">
        <v>495</v>
      </c>
      <c r="B57" s="243" t="s">
        <v>496</v>
      </c>
      <c r="C57" s="34"/>
      <c r="D57" s="244"/>
      <c r="E57" s="234">
        <v>1.0</v>
      </c>
      <c r="F57" s="234">
        <f t="shared" si="1"/>
        <v>5046.041322</v>
      </c>
      <c r="G57" s="362">
        <f t="shared" si="2"/>
        <v>7235.26635</v>
      </c>
      <c r="H57" s="235">
        <v>6105.71</v>
      </c>
      <c r="I57" s="236">
        <f t="shared" si="3"/>
        <v>9158.565</v>
      </c>
      <c r="J57" s="237"/>
      <c r="K57" s="238">
        <f t="shared" si="4"/>
        <v>8853.2795</v>
      </c>
      <c r="L57" s="273"/>
      <c r="M57" s="240">
        <f t="shared" si="15"/>
        <v>1</v>
      </c>
      <c r="N57" s="241">
        <f t="shared" si="16"/>
        <v>9200</v>
      </c>
      <c r="O57" s="241">
        <f t="shared" si="17"/>
        <v>8900</v>
      </c>
      <c r="P57" s="242"/>
      <c r="Q57" s="242"/>
      <c r="R57" s="242"/>
      <c r="S57" s="242"/>
      <c r="T57" s="242"/>
      <c r="U57" s="242"/>
      <c r="V57" s="242"/>
      <c r="W57" s="242"/>
      <c r="X57" s="242"/>
      <c r="Y57" s="242"/>
      <c r="Z57" s="242"/>
      <c r="AA57" s="242"/>
      <c r="AB57" s="242"/>
      <c r="AC57" s="242"/>
      <c r="AD57" s="242"/>
    </row>
    <row r="58" ht="18.0" customHeight="1">
      <c r="A58" s="231" t="s">
        <v>497</v>
      </c>
      <c r="B58" s="247" t="s">
        <v>498</v>
      </c>
      <c r="C58" s="34"/>
      <c r="D58" s="248"/>
      <c r="E58" s="234">
        <v>2.0</v>
      </c>
      <c r="F58" s="234">
        <f t="shared" si="1"/>
        <v>12877.17355</v>
      </c>
      <c r="G58" s="362">
        <f t="shared" si="2"/>
        <v>18463.9353</v>
      </c>
      <c r="H58" s="235">
        <v>15581.38</v>
      </c>
      <c r="I58" s="236">
        <f t="shared" si="3"/>
        <v>23372.07</v>
      </c>
      <c r="J58" s="237"/>
      <c r="K58" s="238">
        <f t="shared" si="4"/>
        <v>22593.001</v>
      </c>
      <c r="L58" s="271">
        <v>1.0</v>
      </c>
      <c r="M58" s="240">
        <f t="shared" si="15"/>
        <v>1</v>
      </c>
      <c r="N58" s="241">
        <f t="shared" si="16"/>
        <v>23400</v>
      </c>
      <c r="O58" s="241">
        <f t="shared" si="17"/>
        <v>22600</v>
      </c>
      <c r="P58" s="242"/>
      <c r="Q58" s="242"/>
      <c r="R58" s="242"/>
      <c r="S58" s="242"/>
      <c r="T58" s="242"/>
      <c r="U58" s="242"/>
      <c r="V58" s="242"/>
      <c r="W58" s="242"/>
      <c r="X58" s="242"/>
      <c r="Y58" s="242"/>
      <c r="Z58" s="242"/>
      <c r="AA58" s="242"/>
      <c r="AB58" s="242"/>
      <c r="AC58" s="242"/>
      <c r="AD58" s="242"/>
    </row>
    <row r="59">
      <c r="A59" s="231">
        <v>378216.0</v>
      </c>
      <c r="B59" s="247" t="s">
        <v>499</v>
      </c>
      <c r="C59" s="34"/>
      <c r="D59" s="248"/>
      <c r="E59" s="234">
        <v>2.0</v>
      </c>
      <c r="F59" s="234">
        <f t="shared" si="1"/>
        <v>9809.966942</v>
      </c>
      <c r="G59" s="362">
        <f t="shared" si="2"/>
        <v>14066.0211</v>
      </c>
      <c r="H59" s="235">
        <v>11870.06</v>
      </c>
      <c r="I59" s="236">
        <f t="shared" si="3"/>
        <v>17805.09</v>
      </c>
      <c r="J59" s="301">
        <f>2.19*1300</f>
        <v>2847</v>
      </c>
      <c r="K59" s="238">
        <f t="shared" si="4"/>
        <v>17211.587</v>
      </c>
      <c r="L59" s="302">
        <v>462.0</v>
      </c>
      <c r="M59" s="302">
        <v>140.0</v>
      </c>
      <c r="N59" s="302">
        <v>900.0</v>
      </c>
      <c r="O59" s="241">
        <f t="shared" si="17"/>
        <v>17300</v>
      </c>
      <c r="P59" s="242"/>
      <c r="Q59" s="242"/>
      <c r="R59" s="242"/>
      <c r="S59" s="242"/>
      <c r="T59" s="242"/>
      <c r="U59" s="242"/>
      <c r="V59" s="242"/>
      <c r="W59" s="242"/>
      <c r="X59" s="242"/>
      <c r="Y59" s="242"/>
      <c r="Z59" s="242"/>
      <c r="AA59" s="242"/>
      <c r="AB59" s="242"/>
      <c r="AC59" s="242"/>
      <c r="AD59" s="242"/>
    </row>
    <row r="60">
      <c r="A60" s="231">
        <v>378201.0</v>
      </c>
      <c r="B60" s="297" t="s">
        <v>500</v>
      </c>
      <c r="C60" s="34"/>
      <c r="D60" s="298"/>
      <c r="E60" s="234">
        <v>15.0</v>
      </c>
      <c r="F60" s="234">
        <f t="shared" si="1"/>
        <v>1254.760331</v>
      </c>
      <c r="G60" s="362">
        <f t="shared" si="2"/>
        <v>1799.1381</v>
      </c>
      <c r="H60" s="235">
        <v>1518.26</v>
      </c>
      <c r="I60" s="236">
        <f t="shared" si="3"/>
        <v>2277.39</v>
      </c>
      <c r="J60" s="237"/>
      <c r="K60" s="238">
        <f t="shared" si="4"/>
        <v>2201.477</v>
      </c>
      <c r="L60" s="271">
        <v>1.0</v>
      </c>
      <c r="M60" s="240">
        <f t="shared" ref="M60:M84" si="18">E60-L60</f>
        <v>14</v>
      </c>
      <c r="N60" s="241">
        <f t="shared" ref="N60:N84" si="19">ROUNDUP(I60,-2)</f>
        <v>2300</v>
      </c>
      <c r="O60" s="241">
        <f t="shared" si="17"/>
        <v>2300</v>
      </c>
      <c r="P60" s="242"/>
      <c r="Q60" s="242"/>
      <c r="R60" s="242"/>
      <c r="S60" s="242"/>
      <c r="T60" s="242"/>
      <c r="U60" s="242"/>
      <c r="V60" s="242"/>
      <c r="W60" s="242"/>
      <c r="X60" s="242"/>
      <c r="Y60" s="242"/>
      <c r="Z60" s="242"/>
      <c r="AA60" s="242"/>
      <c r="AB60" s="242"/>
      <c r="AC60" s="242"/>
      <c r="AD60" s="242"/>
    </row>
    <row r="61">
      <c r="A61" s="231">
        <v>378200.0</v>
      </c>
      <c r="B61" s="297" t="s">
        <v>501</v>
      </c>
      <c r="C61" s="34"/>
      <c r="D61" s="298"/>
      <c r="E61" s="234">
        <v>20.0</v>
      </c>
      <c r="F61" s="234">
        <f t="shared" si="1"/>
        <v>975.9256198</v>
      </c>
      <c r="G61" s="362">
        <f t="shared" si="2"/>
        <v>1399.33095</v>
      </c>
      <c r="H61" s="235">
        <v>1180.87</v>
      </c>
      <c r="I61" s="236">
        <f t="shared" si="3"/>
        <v>1771.305</v>
      </c>
      <c r="J61" s="237"/>
      <c r="K61" s="238">
        <f t="shared" si="4"/>
        <v>1712.2615</v>
      </c>
      <c r="L61" s="273"/>
      <c r="M61" s="240">
        <f t="shared" si="18"/>
        <v>20</v>
      </c>
      <c r="N61" s="241">
        <f t="shared" si="19"/>
        <v>1800</v>
      </c>
      <c r="O61" s="241">
        <f t="shared" si="17"/>
        <v>1800</v>
      </c>
      <c r="P61" s="242"/>
      <c r="Q61" s="242"/>
      <c r="R61" s="242"/>
      <c r="S61" s="242"/>
      <c r="T61" s="242"/>
      <c r="U61" s="242"/>
      <c r="V61" s="242"/>
      <c r="W61" s="242"/>
      <c r="X61" s="242"/>
      <c r="Y61" s="242"/>
      <c r="Z61" s="242"/>
      <c r="AA61" s="242"/>
      <c r="AB61" s="242"/>
      <c r="AC61" s="242"/>
      <c r="AD61" s="242"/>
    </row>
    <row r="62">
      <c r="A62" s="231" t="s">
        <v>502</v>
      </c>
      <c r="B62" s="303" t="s">
        <v>503</v>
      </c>
      <c r="C62" s="34"/>
      <c r="D62" s="304"/>
      <c r="E62" s="234">
        <v>15.0</v>
      </c>
      <c r="F62" s="234">
        <f t="shared" si="1"/>
        <v>1226.280992</v>
      </c>
      <c r="G62" s="362">
        <f t="shared" si="2"/>
        <v>1758.303</v>
      </c>
      <c r="H62" s="235">
        <v>1483.8</v>
      </c>
      <c r="I62" s="236">
        <f t="shared" si="3"/>
        <v>2225.7</v>
      </c>
      <c r="J62" s="237"/>
      <c r="K62" s="238">
        <f t="shared" si="4"/>
        <v>2151.51</v>
      </c>
      <c r="L62" s="273"/>
      <c r="M62" s="240">
        <f t="shared" si="18"/>
        <v>15</v>
      </c>
      <c r="N62" s="241">
        <f t="shared" si="19"/>
        <v>2300</v>
      </c>
      <c r="O62" s="241">
        <f t="shared" si="17"/>
        <v>2200</v>
      </c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242"/>
      <c r="AA62" s="242"/>
      <c r="AB62" s="242"/>
      <c r="AC62" s="242"/>
      <c r="AD62" s="242"/>
    </row>
    <row r="63">
      <c r="A63" s="231" t="s">
        <v>504</v>
      </c>
      <c r="B63" s="303" t="s">
        <v>505</v>
      </c>
      <c r="C63" s="34"/>
      <c r="D63" s="304"/>
      <c r="E63" s="234">
        <v>15.0</v>
      </c>
      <c r="F63" s="234">
        <f t="shared" si="1"/>
        <v>1277.438017</v>
      </c>
      <c r="G63" s="362">
        <f t="shared" si="2"/>
        <v>1831.6545</v>
      </c>
      <c r="H63" s="235">
        <v>1545.7</v>
      </c>
      <c r="I63" s="236">
        <f t="shared" si="3"/>
        <v>2318.55</v>
      </c>
      <c r="J63" s="237"/>
      <c r="K63" s="238">
        <f t="shared" si="4"/>
        <v>2241.265</v>
      </c>
      <c r="L63" s="273"/>
      <c r="M63" s="240">
        <f t="shared" si="18"/>
        <v>15</v>
      </c>
      <c r="N63" s="241">
        <f t="shared" si="19"/>
        <v>2400</v>
      </c>
      <c r="O63" s="241">
        <f t="shared" si="17"/>
        <v>2300</v>
      </c>
      <c r="P63" s="242"/>
      <c r="Q63" s="242"/>
      <c r="R63" s="242"/>
      <c r="S63" s="242"/>
      <c r="T63" s="242"/>
      <c r="U63" s="242"/>
      <c r="V63" s="242"/>
      <c r="W63" s="242"/>
      <c r="X63" s="242"/>
      <c r="Y63" s="242"/>
      <c r="Z63" s="242"/>
      <c r="AA63" s="242"/>
      <c r="AB63" s="242"/>
      <c r="AC63" s="242"/>
      <c r="AD63" s="242"/>
    </row>
    <row r="64" ht="17.25" customHeight="1">
      <c r="A64" s="231" t="s">
        <v>506</v>
      </c>
      <c r="B64" s="303" t="s">
        <v>507</v>
      </c>
      <c r="C64" s="34"/>
      <c r="D64" s="304"/>
      <c r="E64" s="234">
        <v>15.0</v>
      </c>
      <c r="F64" s="234">
        <f t="shared" si="1"/>
        <v>964.0413223</v>
      </c>
      <c r="G64" s="362">
        <f t="shared" si="2"/>
        <v>1382.29065</v>
      </c>
      <c r="H64" s="235">
        <v>1166.49</v>
      </c>
      <c r="I64" s="236">
        <f t="shared" si="3"/>
        <v>1749.735</v>
      </c>
      <c r="J64" s="237"/>
      <c r="K64" s="238">
        <f t="shared" si="4"/>
        <v>1691.4105</v>
      </c>
      <c r="L64" s="273"/>
      <c r="M64" s="240">
        <f t="shared" si="18"/>
        <v>15</v>
      </c>
      <c r="N64" s="241">
        <f t="shared" si="19"/>
        <v>1800</v>
      </c>
      <c r="O64" s="241">
        <f t="shared" si="17"/>
        <v>1700</v>
      </c>
      <c r="P64" s="242"/>
      <c r="Q64" s="242"/>
      <c r="R64" s="242"/>
      <c r="S64" s="242"/>
      <c r="T64" s="242"/>
      <c r="U64" s="242"/>
      <c r="V64" s="242"/>
      <c r="W64" s="242"/>
      <c r="X64" s="242"/>
      <c r="Y64" s="242"/>
      <c r="Z64" s="242"/>
      <c r="AA64" s="242"/>
      <c r="AB64" s="242"/>
      <c r="AC64" s="242"/>
      <c r="AD64" s="242"/>
    </row>
    <row r="65">
      <c r="A65" s="231" t="s">
        <v>508</v>
      </c>
      <c r="B65" s="305" t="s">
        <v>509</v>
      </c>
      <c r="C65" s="34"/>
      <c r="D65" s="306"/>
      <c r="E65" s="234">
        <v>30.0</v>
      </c>
      <c r="F65" s="234">
        <f t="shared" si="1"/>
        <v>405.9669421</v>
      </c>
      <c r="G65" s="362">
        <f t="shared" si="2"/>
        <v>582.0957</v>
      </c>
      <c r="H65" s="263">
        <v>491.22</v>
      </c>
      <c r="I65" s="236">
        <f t="shared" si="3"/>
        <v>736.83</v>
      </c>
      <c r="J65" s="237"/>
      <c r="K65" s="238">
        <f t="shared" si="4"/>
        <v>712.269</v>
      </c>
      <c r="L65" s="273"/>
      <c r="M65" s="240">
        <f t="shared" si="18"/>
        <v>30</v>
      </c>
      <c r="N65" s="241">
        <f t="shared" si="19"/>
        <v>800</v>
      </c>
      <c r="O65" s="241">
        <f t="shared" si="17"/>
        <v>800</v>
      </c>
      <c r="P65" s="242"/>
      <c r="Q65" s="242"/>
      <c r="R65" s="242"/>
      <c r="S65" s="242"/>
      <c r="T65" s="242"/>
      <c r="U65" s="242"/>
      <c r="V65" s="242"/>
      <c r="W65" s="242"/>
      <c r="X65" s="242"/>
      <c r="Y65" s="242"/>
      <c r="Z65" s="242"/>
      <c r="AA65" s="242"/>
      <c r="AB65" s="242"/>
      <c r="AC65" s="242"/>
      <c r="AD65" s="242"/>
    </row>
    <row r="66">
      <c r="A66" s="231" t="s">
        <v>510</v>
      </c>
      <c r="B66" s="305" t="s">
        <v>511</v>
      </c>
      <c r="C66" s="34"/>
      <c r="D66" s="306"/>
      <c r="E66" s="234">
        <v>30.0</v>
      </c>
      <c r="F66" s="234">
        <f t="shared" si="1"/>
        <v>405.9669421</v>
      </c>
      <c r="G66" s="362">
        <f t="shared" si="2"/>
        <v>582.0957</v>
      </c>
      <c r="H66" s="263">
        <v>491.22</v>
      </c>
      <c r="I66" s="236">
        <f t="shared" si="3"/>
        <v>736.83</v>
      </c>
      <c r="J66" s="237"/>
      <c r="K66" s="238">
        <f t="shared" si="4"/>
        <v>712.269</v>
      </c>
      <c r="L66" s="273"/>
      <c r="M66" s="240">
        <f t="shared" si="18"/>
        <v>30</v>
      </c>
      <c r="N66" s="241">
        <f t="shared" si="19"/>
        <v>800</v>
      </c>
      <c r="O66" s="241">
        <f t="shared" si="17"/>
        <v>800</v>
      </c>
      <c r="P66" s="242"/>
      <c r="Q66" s="242"/>
      <c r="R66" s="242"/>
      <c r="S66" s="242"/>
      <c r="T66" s="242"/>
      <c r="U66" s="242"/>
      <c r="V66" s="242"/>
      <c r="W66" s="242"/>
      <c r="X66" s="242"/>
      <c r="Y66" s="242"/>
      <c r="Z66" s="242"/>
      <c r="AA66" s="242"/>
      <c r="AB66" s="242"/>
      <c r="AC66" s="242"/>
      <c r="AD66" s="242"/>
    </row>
    <row r="67">
      <c r="A67" s="231" t="s">
        <v>512</v>
      </c>
      <c r="B67" s="307" t="s">
        <v>657</v>
      </c>
      <c r="C67" s="34"/>
      <c r="D67" s="308"/>
      <c r="E67" s="234">
        <v>30.0</v>
      </c>
      <c r="F67" s="234">
        <f t="shared" si="1"/>
        <v>569.0495868</v>
      </c>
      <c r="G67" s="362">
        <f t="shared" si="2"/>
        <v>815.93175</v>
      </c>
      <c r="H67" s="263">
        <v>688.55</v>
      </c>
      <c r="I67" s="236">
        <f t="shared" si="3"/>
        <v>1032.825</v>
      </c>
      <c r="J67" s="237"/>
      <c r="K67" s="238">
        <f t="shared" si="4"/>
        <v>998.3975</v>
      </c>
      <c r="L67" s="271">
        <v>5.0</v>
      </c>
      <c r="M67" s="240">
        <f t="shared" si="18"/>
        <v>25</v>
      </c>
      <c r="N67" s="241">
        <f t="shared" si="19"/>
        <v>1100</v>
      </c>
      <c r="O67" s="241">
        <f t="shared" si="17"/>
        <v>1000</v>
      </c>
      <c r="P67" s="242"/>
      <c r="Q67" s="242"/>
      <c r="R67" s="242"/>
      <c r="S67" s="242"/>
      <c r="T67" s="242"/>
      <c r="U67" s="242"/>
      <c r="V67" s="242"/>
      <c r="W67" s="242"/>
      <c r="X67" s="242"/>
      <c r="Y67" s="242"/>
      <c r="Z67" s="242"/>
      <c r="AA67" s="242"/>
      <c r="AB67" s="242"/>
      <c r="AC67" s="242"/>
      <c r="AD67" s="242"/>
    </row>
    <row r="68" ht="20.25" customHeight="1">
      <c r="A68" s="231" t="s">
        <v>514</v>
      </c>
      <c r="B68" s="307" t="s">
        <v>658</v>
      </c>
      <c r="C68" s="34"/>
      <c r="D68" s="308"/>
      <c r="E68" s="234">
        <v>30.0</v>
      </c>
      <c r="F68" s="234">
        <f t="shared" si="1"/>
        <v>600.7933884</v>
      </c>
      <c r="G68" s="362">
        <f t="shared" si="2"/>
        <v>861.4476</v>
      </c>
      <c r="H68" s="263">
        <v>726.96</v>
      </c>
      <c r="I68" s="236">
        <f t="shared" si="3"/>
        <v>1090.44</v>
      </c>
      <c r="J68" s="237"/>
      <c r="K68" s="238">
        <f t="shared" si="4"/>
        <v>1054.092</v>
      </c>
      <c r="L68" s="271">
        <v>9.0</v>
      </c>
      <c r="M68" s="240">
        <f t="shared" si="18"/>
        <v>21</v>
      </c>
      <c r="N68" s="241">
        <f t="shared" si="19"/>
        <v>1100</v>
      </c>
      <c r="O68" s="241">
        <f t="shared" si="17"/>
        <v>1100</v>
      </c>
      <c r="P68" s="242"/>
      <c r="Q68" s="242"/>
      <c r="R68" s="242"/>
      <c r="S68" s="242"/>
      <c r="T68" s="242"/>
      <c r="U68" s="242"/>
      <c r="V68" s="242"/>
      <c r="W68" s="242"/>
      <c r="X68" s="242"/>
      <c r="Y68" s="242"/>
      <c r="Z68" s="242"/>
      <c r="AA68" s="242"/>
      <c r="AB68" s="242"/>
      <c r="AC68" s="242"/>
      <c r="AD68" s="242"/>
    </row>
    <row r="69">
      <c r="A69" s="231" t="s">
        <v>516</v>
      </c>
      <c r="B69" s="309" t="s">
        <v>659</v>
      </c>
      <c r="C69" s="34"/>
      <c r="D69" s="310"/>
      <c r="E69" s="234">
        <v>30.0</v>
      </c>
      <c r="F69" s="234">
        <f t="shared" si="1"/>
        <v>1550.900826</v>
      </c>
      <c r="G69" s="362">
        <f t="shared" si="2"/>
        <v>2223.75915</v>
      </c>
      <c r="H69" s="235">
        <v>1876.59</v>
      </c>
      <c r="I69" s="236">
        <f t="shared" si="3"/>
        <v>2814.885</v>
      </c>
      <c r="J69" s="237"/>
      <c r="K69" s="238">
        <f t="shared" si="4"/>
        <v>2721.0555</v>
      </c>
      <c r="L69" s="271">
        <v>1.0</v>
      </c>
      <c r="M69" s="240">
        <f t="shared" si="18"/>
        <v>29</v>
      </c>
      <c r="N69" s="241">
        <f t="shared" si="19"/>
        <v>2900</v>
      </c>
      <c r="O69" s="241">
        <f t="shared" si="17"/>
        <v>2800</v>
      </c>
      <c r="P69" s="242"/>
      <c r="Q69" s="242"/>
      <c r="R69" s="242"/>
      <c r="S69" s="242"/>
      <c r="T69" s="242"/>
      <c r="U69" s="242"/>
      <c r="V69" s="242"/>
      <c r="W69" s="242"/>
      <c r="X69" s="242"/>
      <c r="Y69" s="242"/>
      <c r="Z69" s="242"/>
      <c r="AA69" s="242"/>
      <c r="AB69" s="242"/>
      <c r="AC69" s="242"/>
      <c r="AD69" s="242"/>
    </row>
    <row r="70" ht="18.75" customHeight="1">
      <c r="A70" s="231" t="s">
        <v>518</v>
      </c>
      <c r="B70" s="309" t="s">
        <v>660</v>
      </c>
      <c r="C70" s="34"/>
      <c r="D70" s="310"/>
      <c r="E70" s="234">
        <v>15.0</v>
      </c>
      <c r="F70" s="234">
        <f t="shared" si="1"/>
        <v>1953.900826</v>
      </c>
      <c r="G70" s="362">
        <f t="shared" si="2"/>
        <v>2801.6007</v>
      </c>
      <c r="H70" s="235">
        <v>2364.22</v>
      </c>
      <c r="I70" s="236">
        <f t="shared" si="3"/>
        <v>3546.33</v>
      </c>
      <c r="J70" s="237"/>
      <c r="K70" s="238">
        <f t="shared" si="4"/>
        <v>3428.119</v>
      </c>
      <c r="L70" s="273"/>
      <c r="M70" s="240">
        <f t="shared" si="18"/>
        <v>15</v>
      </c>
      <c r="N70" s="241">
        <f t="shared" si="19"/>
        <v>3600</v>
      </c>
      <c r="O70" s="241">
        <f t="shared" si="17"/>
        <v>3500</v>
      </c>
      <c r="P70" s="242"/>
      <c r="Q70" s="242"/>
      <c r="R70" s="242"/>
      <c r="S70" s="242"/>
      <c r="T70" s="242"/>
      <c r="U70" s="242"/>
      <c r="V70" s="242"/>
      <c r="W70" s="242"/>
      <c r="X70" s="242"/>
      <c r="Y70" s="242"/>
      <c r="Z70" s="242"/>
      <c r="AA70" s="242"/>
      <c r="AB70" s="242"/>
      <c r="AC70" s="242"/>
      <c r="AD70" s="242"/>
    </row>
    <row r="71">
      <c r="A71" s="231" t="s">
        <v>520</v>
      </c>
      <c r="B71" s="311" t="s">
        <v>661</v>
      </c>
      <c r="C71" s="34"/>
      <c r="D71" s="312"/>
      <c r="E71" s="234">
        <v>30.0</v>
      </c>
      <c r="F71" s="234">
        <f t="shared" si="1"/>
        <v>537.9338843</v>
      </c>
      <c r="G71" s="362">
        <f t="shared" si="2"/>
        <v>771.3165</v>
      </c>
      <c r="H71" s="263">
        <v>650.9</v>
      </c>
      <c r="I71" s="236">
        <f t="shared" si="3"/>
        <v>976.35</v>
      </c>
      <c r="J71" s="237"/>
      <c r="K71" s="238">
        <f t="shared" si="4"/>
        <v>943.805</v>
      </c>
      <c r="L71" s="273"/>
      <c r="M71" s="240">
        <f t="shared" si="18"/>
        <v>30</v>
      </c>
      <c r="N71" s="241">
        <f t="shared" si="19"/>
        <v>1000</v>
      </c>
      <c r="O71" s="241">
        <f t="shared" si="17"/>
        <v>1000</v>
      </c>
      <c r="P71" s="242"/>
      <c r="Q71" s="242"/>
      <c r="R71" s="242"/>
      <c r="S71" s="242"/>
      <c r="T71" s="242"/>
      <c r="U71" s="242"/>
      <c r="V71" s="242"/>
      <c r="W71" s="242"/>
      <c r="X71" s="242"/>
      <c r="Y71" s="242"/>
      <c r="Z71" s="242"/>
      <c r="AA71" s="242"/>
      <c r="AB71" s="242"/>
      <c r="AC71" s="242"/>
      <c r="AD71" s="242"/>
    </row>
    <row r="72" ht="20.25" customHeight="1">
      <c r="A72" s="231" t="s">
        <v>522</v>
      </c>
      <c r="B72" s="311" t="s">
        <v>662</v>
      </c>
      <c r="C72" s="34"/>
      <c r="D72" s="312"/>
      <c r="E72" s="234">
        <v>30.0</v>
      </c>
      <c r="F72" s="234">
        <f t="shared" si="1"/>
        <v>548.2644628</v>
      </c>
      <c r="G72" s="362">
        <f t="shared" si="2"/>
        <v>786.129</v>
      </c>
      <c r="H72" s="263">
        <v>663.4</v>
      </c>
      <c r="I72" s="236">
        <f t="shared" si="3"/>
        <v>995.1</v>
      </c>
      <c r="J72" s="237"/>
      <c r="K72" s="238">
        <f t="shared" si="4"/>
        <v>961.93</v>
      </c>
      <c r="L72" s="273"/>
      <c r="M72" s="240">
        <f t="shared" si="18"/>
        <v>30</v>
      </c>
      <c r="N72" s="241">
        <f t="shared" si="19"/>
        <v>1000</v>
      </c>
      <c r="O72" s="241">
        <f t="shared" si="17"/>
        <v>1000</v>
      </c>
      <c r="P72" s="242"/>
      <c r="Q72" s="242"/>
      <c r="R72" s="242"/>
      <c r="S72" s="242"/>
      <c r="T72" s="242"/>
      <c r="U72" s="242"/>
      <c r="V72" s="242"/>
      <c r="W72" s="242"/>
      <c r="X72" s="242"/>
      <c r="Y72" s="242"/>
      <c r="Z72" s="242"/>
      <c r="AA72" s="242"/>
      <c r="AB72" s="242"/>
      <c r="AC72" s="242"/>
      <c r="AD72" s="242"/>
    </row>
    <row r="73">
      <c r="A73" s="231" t="s">
        <v>524</v>
      </c>
      <c r="B73" s="313" t="s">
        <v>525</v>
      </c>
      <c r="C73" s="34"/>
      <c r="D73" s="314"/>
      <c r="E73" s="234">
        <v>30.0</v>
      </c>
      <c r="F73" s="234">
        <f t="shared" si="1"/>
        <v>1881.785124</v>
      </c>
      <c r="G73" s="362">
        <f t="shared" si="2"/>
        <v>2698.1976</v>
      </c>
      <c r="H73" s="235">
        <v>2276.96</v>
      </c>
      <c r="I73" s="236">
        <f t="shared" si="3"/>
        <v>3415.44</v>
      </c>
      <c r="J73" s="237"/>
      <c r="K73" s="238">
        <f t="shared" si="4"/>
        <v>3301.592</v>
      </c>
      <c r="L73" s="273"/>
      <c r="M73" s="240">
        <f t="shared" si="18"/>
        <v>30</v>
      </c>
      <c r="N73" s="241">
        <f t="shared" si="19"/>
        <v>3500</v>
      </c>
      <c r="O73" s="241">
        <f t="shared" si="17"/>
        <v>3400</v>
      </c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</row>
    <row r="74">
      <c r="A74" s="231" t="s">
        <v>526</v>
      </c>
      <c r="B74" s="253" t="s">
        <v>527</v>
      </c>
      <c r="C74" s="34"/>
      <c r="D74" s="254"/>
      <c r="E74" s="234">
        <v>10.0</v>
      </c>
      <c r="F74" s="234">
        <f t="shared" si="1"/>
        <v>1179.07438</v>
      </c>
      <c r="G74" s="362">
        <f t="shared" si="2"/>
        <v>1690.6158</v>
      </c>
      <c r="H74" s="235">
        <v>1426.68</v>
      </c>
      <c r="I74" s="236">
        <f t="shared" si="3"/>
        <v>2140.02</v>
      </c>
      <c r="J74" s="237"/>
      <c r="K74" s="238">
        <f t="shared" si="4"/>
        <v>2068.686</v>
      </c>
      <c r="L74" s="273"/>
      <c r="M74" s="240">
        <f t="shared" si="18"/>
        <v>10</v>
      </c>
      <c r="N74" s="241">
        <f t="shared" si="19"/>
        <v>2200</v>
      </c>
      <c r="O74" s="241">
        <f t="shared" si="17"/>
        <v>2100</v>
      </c>
      <c r="P74" s="242"/>
      <c r="Q74" s="242"/>
      <c r="R74" s="242"/>
      <c r="S74" s="242"/>
      <c r="T74" s="242"/>
      <c r="U74" s="242"/>
      <c r="V74" s="242"/>
      <c r="W74" s="242"/>
      <c r="X74" s="242"/>
      <c r="Y74" s="242"/>
      <c r="Z74" s="242"/>
      <c r="AA74" s="242"/>
      <c r="AB74" s="242"/>
      <c r="AC74" s="242"/>
      <c r="AD74" s="242"/>
    </row>
    <row r="75" ht="18.75" customHeight="1">
      <c r="A75" s="231" t="s">
        <v>528</v>
      </c>
      <c r="B75" s="315" t="s">
        <v>529</v>
      </c>
      <c r="C75" s="34"/>
      <c r="D75" s="316"/>
      <c r="E75" s="234">
        <v>6.0</v>
      </c>
      <c r="F75" s="234">
        <f t="shared" si="1"/>
        <v>2052.173554</v>
      </c>
      <c r="G75" s="362">
        <f t="shared" si="2"/>
        <v>2942.50905</v>
      </c>
      <c r="H75" s="235">
        <v>2483.13</v>
      </c>
      <c r="I75" s="236">
        <f t="shared" si="3"/>
        <v>3724.695</v>
      </c>
      <c r="J75" s="237"/>
      <c r="K75" s="238">
        <f t="shared" si="4"/>
        <v>3600.5385</v>
      </c>
      <c r="L75" s="273"/>
      <c r="M75" s="240">
        <f t="shared" si="18"/>
        <v>6</v>
      </c>
      <c r="N75" s="241">
        <f t="shared" si="19"/>
        <v>3800</v>
      </c>
      <c r="O75" s="241">
        <f t="shared" si="17"/>
        <v>3700</v>
      </c>
      <c r="P75" s="242"/>
      <c r="Q75" s="242"/>
      <c r="R75" s="242"/>
      <c r="S75" s="242"/>
      <c r="T75" s="242"/>
      <c r="U75" s="242"/>
      <c r="V75" s="242"/>
      <c r="W75" s="242"/>
      <c r="X75" s="242"/>
      <c r="Y75" s="242"/>
      <c r="Z75" s="242"/>
      <c r="AA75" s="242"/>
      <c r="AB75" s="242"/>
      <c r="AC75" s="242"/>
      <c r="AD75" s="242"/>
    </row>
    <row r="76" ht="15.75" customHeight="1">
      <c r="A76" s="231" t="s">
        <v>530</v>
      </c>
      <c r="B76" s="315" t="s">
        <v>531</v>
      </c>
      <c r="C76" s="34"/>
      <c r="D76" s="316"/>
      <c r="E76" s="234">
        <v>6.0</v>
      </c>
      <c r="F76" s="234">
        <f t="shared" si="1"/>
        <v>652.0826446</v>
      </c>
      <c r="G76" s="362">
        <f t="shared" si="2"/>
        <v>934.9887</v>
      </c>
      <c r="H76" s="263">
        <v>789.02</v>
      </c>
      <c r="I76" s="236">
        <f t="shared" si="3"/>
        <v>1183.53</v>
      </c>
      <c r="J76" s="237"/>
      <c r="K76" s="238">
        <f t="shared" si="4"/>
        <v>1144.079</v>
      </c>
      <c r="L76" s="273"/>
      <c r="M76" s="240">
        <f t="shared" si="18"/>
        <v>6</v>
      </c>
      <c r="N76" s="241">
        <f t="shared" si="19"/>
        <v>1200</v>
      </c>
      <c r="O76" s="241">
        <f t="shared" si="17"/>
        <v>1200</v>
      </c>
      <c r="P76" s="242"/>
      <c r="Q76" s="242"/>
      <c r="R76" s="242"/>
      <c r="S76" s="242"/>
      <c r="T76" s="242"/>
      <c r="U76" s="242"/>
      <c r="V76" s="242"/>
      <c r="W76" s="242"/>
      <c r="X76" s="242"/>
      <c r="Y76" s="242"/>
      <c r="Z76" s="242"/>
      <c r="AA76" s="242"/>
      <c r="AB76" s="242"/>
      <c r="AC76" s="242"/>
      <c r="AD76" s="242"/>
    </row>
    <row r="77">
      <c r="A77" s="231" t="s">
        <v>532</v>
      </c>
      <c r="B77" s="247" t="s">
        <v>533</v>
      </c>
      <c r="C77" s="34"/>
      <c r="D77" s="248"/>
      <c r="E77" s="234">
        <v>6.0</v>
      </c>
      <c r="F77" s="234">
        <f t="shared" si="1"/>
        <v>12674.38017</v>
      </c>
      <c r="G77" s="362">
        <f t="shared" si="2"/>
        <v>18173.16</v>
      </c>
      <c r="H77" s="235">
        <v>15336.0</v>
      </c>
      <c r="I77" s="236">
        <f t="shared" si="3"/>
        <v>23004</v>
      </c>
      <c r="J77" s="237"/>
      <c r="K77" s="238">
        <f t="shared" si="4"/>
        <v>22237.2</v>
      </c>
      <c r="L77" s="273"/>
      <c r="M77" s="240">
        <f t="shared" si="18"/>
        <v>6</v>
      </c>
      <c r="N77" s="241">
        <f t="shared" si="19"/>
        <v>23100</v>
      </c>
      <c r="O77" s="241">
        <f t="shared" si="17"/>
        <v>22300</v>
      </c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242"/>
      <c r="AB77" s="242"/>
      <c r="AC77" s="242"/>
      <c r="AD77" s="242"/>
    </row>
    <row r="78">
      <c r="A78" s="231" t="s">
        <v>534</v>
      </c>
      <c r="B78" s="247" t="s">
        <v>535</v>
      </c>
      <c r="C78" s="34"/>
      <c r="D78" s="248"/>
      <c r="E78" s="234">
        <v>1.0</v>
      </c>
      <c r="F78" s="234">
        <f t="shared" si="1"/>
        <v>24269.75207</v>
      </c>
      <c r="G78" s="362">
        <f t="shared" si="2"/>
        <v>34799.184</v>
      </c>
      <c r="H78" s="235">
        <v>29366.4</v>
      </c>
      <c r="I78" s="236">
        <f t="shared" si="3"/>
        <v>44049.6</v>
      </c>
      <c r="J78" s="237"/>
      <c r="K78" s="238">
        <f t="shared" si="4"/>
        <v>42581.28</v>
      </c>
      <c r="L78" s="273"/>
      <c r="M78" s="240">
        <f t="shared" si="18"/>
        <v>1</v>
      </c>
      <c r="N78" s="241">
        <f t="shared" si="19"/>
        <v>44100</v>
      </c>
      <c r="O78" s="241">
        <f t="shared" si="17"/>
        <v>42600</v>
      </c>
      <c r="P78" s="242"/>
      <c r="Q78" s="242">
        <f>I78*0.29</f>
        <v>12774.384</v>
      </c>
      <c r="R78" s="242"/>
      <c r="S78" s="242"/>
      <c r="T78" s="242"/>
      <c r="U78" s="242"/>
      <c r="V78" s="242"/>
      <c r="W78" s="242"/>
      <c r="X78" s="242"/>
      <c r="Y78" s="242"/>
      <c r="Z78" s="242"/>
      <c r="AA78" s="242"/>
      <c r="AB78" s="242"/>
      <c r="AC78" s="242"/>
      <c r="AD78" s="242"/>
    </row>
    <row r="79">
      <c r="A79" s="231" t="s">
        <v>536</v>
      </c>
      <c r="B79" s="247" t="s">
        <v>537</v>
      </c>
      <c r="C79" s="34"/>
      <c r="D79" s="248"/>
      <c r="E79" s="234">
        <v>8.0</v>
      </c>
      <c r="F79" s="234">
        <f t="shared" si="1"/>
        <v>7745.272727</v>
      </c>
      <c r="G79" s="362">
        <f t="shared" si="2"/>
        <v>11105.5593</v>
      </c>
      <c r="H79" s="235">
        <v>9371.78</v>
      </c>
      <c r="I79" s="236">
        <f t="shared" si="3"/>
        <v>14057.67</v>
      </c>
      <c r="J79" s="237"/>
      <c r="K79" s="238">
        <f t="shared" si="4"/>
        <v>13589.081</v>
      </c>
      <c r="L79" s="273"/>
      <c r="M79" s="240">
        <f t="shared" si="18"/>
        <v>8</v>
      </c>
      <c r="N79" s="241">
        <f t="shared" si="19"/>
        <v>14100</v>
      </c>
      <c r="O79" s="241">
        <f t="shared" si="17"/>
        <v>13600</v>
      </c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242"/>
      <c r="AB79" s="242"/>
      <c r="AC79" s="242"/>
      <c r="AD79" s="242"/>
    </row>
    <row r="80" ht="20.25" customHeight="1">
      <c r="A80" s="231" t="s">
        <v>538</v>
      </c>
      <c r="B80" s="297" t="s">
        <v>539</v>
      </c>
      <c r="C80" s="34"/>
      <c r="D80" s="298"/>
      <c r="E80" s="234">
        <v>100.0</v>
      </c>
      <c r="F80" s="234">
        <f t="shared" si="1"/>
        <v>253.4876033</v>
      </c>
      <c r="G80" s="362">
        <f t="shared" si="2"/>
        <v>363.4632</v>
      </c>
      <c r="H80" s="263">
        <v>306.72</v>
      </c>
      <c r="I80" s="236">
        <f t="shared" si="3"/>
        <v>460.08</v>
      </c>
      <c r="J80" s="237"/>
      <c r="K80" s="238">
        <f t="shared" si="4"/>
        <v>444.744</v>
      </c>
      <c r="L80" s="273"/>
      <c r="M80" s="240">
        <f t="shared" si="18"/>
        <v>100</v>
      </c>
      <c r="N80" s="241">
        <f t="shared" si="19"/>
        <v>500</v>
      </c>
      <c r="O80" s="241">
        <f t="shared" si="17"/>
        <v>500</v>
      </c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242"/>
      <c r="AB80" s="242"/>
      <c r="AC80" s="242"/>
      <c r="AD80" s="242"/>
    </row>
    <row r="81">
      <c r="A81" s="231" t="s">
        <v>540</v>
      </c>
      <c r="B81" s="317" t="s">
        <v>541</v>
      </c>
      <c r="C81" s="34"/>
      <c r="D81" s="318"/>
      <c r="E81" s="234">
        <v>50.0</v>
      </c>
      <c r="F81" s="234">
        <f t="shared" si="1"/>
        <v>704.768595</v>
      </c>
      <c r="G81" s="362">
        <f t="shared" si="2"/>
        <v>1010.53245</v>
      </c>
      <c r="H81" s="263">
        <v>852.77</v>
      </c>
      <c r="I81" s="236">
        <f t="shared" si="3"/>
        <v>1279.155</v>
      </c>
      <c r="J81" s="237"/>
      <c r="K81" s="238">
        <f t="shared" si="4"/>
        <v>1236.5165</v>
      </c>
      <c r="L81" s="273"/>
      <c r="M81" s="240">
        <f t="shared" si="18"/>
        <v>50</v>
      </c>
      <c r="N81" s="241">
        <f t="shared" si="19"/>
        <v>1300</v>
      </c>
      <c r="O81" s="241">
        <f t="shared" si="17"/>
        <v>1300</v>
      </c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242"/>
      <c r="AA81" s="242"/>
      <c r="AB81" s="242"/>
      <c r="AC81" s="242"/>
      <c r="AD81" s="242"/>
    </row>
    <row r="82">
      <c r="A82" s="231" t="s">
        <v>542</v>
      </c>
      <c r="B82" s="317" t="s">
        <v>543</v>
      </c>
      <c r="C82" s="34"/>
      <c r="D82" s="318"/>
      <c r="E82" s="234">
        <v>50.0</v>
      </c>
      <c r="F82" s="234">
        <f t="shared" si="1"/>
        <v>956.4710744</v>
      </c>
      <c r="G82" s="362">
        <f t="shared" si="2"/>
        <v>1371.43605</v>
      </c>
      <c r="H82" s="235">
        <v>1157.33</v>
      </c>
      <c r="I82" s="236">
        <f t="shared" si="3"/>
        <v>1735.995</v>
      </c>
      <c r="J82" s="237"/>
      <c r="K82" s="238">
        <f t="shared" si="4"/>
        <v>1678.1285</v>
      </c>
      <c r="L82" s="273"/>
      <c r="M82" s="240">
        <f t="shared" si="18"/>
        <v>50</v>
      </c>
      <c r="N82" s="241">
        <f t="shared" si="19"/>
        <v>1800</v>
      </c>
      <c r="O82" s="241">
        <f t="shared" si="17"/>
        <v>1700</v>
      </c>
      <c r="P82" s="242"/>
      <c r="Q82" s="242"/>
      <c r="R82" s="242"/>
      <c r="S82" s="242"/>
      <c r="T82" s="242"/>
      <c r="U82" s="242"/>
      <c r="V82" s="242"/>
      <c r="W82" s="242"/>
      <c r="X82" s="242"/>
      <c r="Y82" s="242"/>
      <c r="Z82" s="242"/>
      <c r="AA82" s="242"/>
      <c r="AB82" s="242"/>
      <c r="AC82" s="242"/>
      <c r="AD82" s="242"/>
    </row>
    <row r="83">
      <c r="A83" s="231" t="s">
        <v>544</v>
      </c>
      <c r="B83" s="317" t="s">
        <v>545</v>
      </c>
      <c r="C83" s="34"/>
      <c r="D83" s="318"/>
      <c r="E83" s="234">
        <v>80.0</v>
      </c>
      <c r="F83" s="234">
        <f t="shared" si="1"/>
        <v>956.4710744</v>
      </c>
      <c r="G83" s="362">
        <f t="shared" si="2"/>
        <v>1371.43605</v>
      </c>
      <c r="H83" s="235">
        <v>1157.33</v>
      </c>
      <c r="I83" s="236">
        <f t="shared" si="3"/>
        <v>1735.995</v>
      </c>
      <c r="J83" s="237"/>
      <c r="K83" s="238">
        <f t="shared" si="4"/>
        <v>1678.1285</v>
      </c>
      <c r="L83" s="273"/>
      <c r="M83" s="240">
        <f t="shared" si="18"/>
        <v>80</v>
      </c>
      <c r="N83" s="241">
        <f t="shared" si="19"/>
        <v>1800</v>
      </c>
      <c r="O83" s="241">
        <f t="shared" si="17"/>
        <v>1700</v>
      </c>
      <c r="P83" s="242"/>
      <c r="Q83" s="242"/>
      <c r="R83" s="242"/>
      <c r="S83" s="242"/>
      <c r="T83" s="242"/>
      <c r="U83" s="242"/>
      <c r="V83" s="242"/>
      <c r="W83" s="242"/>
      <c r="X83" s="242"/>
      <c r="Y83" s="242"/>
      <c r="Z83" s="242"/>
      <c r="AA83" s="242"/>
      <c r="AB83" s="242"/>
      <c r="AC83" s="242"/>
      <c r="AD83" s="242"/>
    </row>
    <row r="84">
      <c r="A84" s="231" t="s">
        <v>546</v>
      </c>
      <c r="B84" s="317" t="s">
        <v>547</v>
      </c>
      <c r="C84" s="34"/>
      <c r="D84" s="318"/>
      <c r="E84" s="234">
        <v>50.0</v>
      </c>
      <c r="F84" s="234">
        <f t="shared" si="1"/>
        <v>956.4710744</v>
      </c>
      <c r="G84" s="362">
        <f t="shared" si="2"/>
        <v>1371.43605</v>
      </c>
      <c r="H84" s="235">
        <v>1157.33</v>
      </c>
      <c r="I84" s="236">
        <f t="shared" si="3"/>
        <v>1735.995</v>
      </c>
      <c r="J84" s="237"/>
      <c r="K84" s="238">
        <f t="shared" si="4"/>
        <v>1678.1285</v>
      </c>
      <c r="L84" s="271">
        <v>18.0</v>
      </c>
      <c r="M84" s="240">
        <f t="shared" si="18"/>
        <v>32</v>
      </c>
      <c r="N84" s="241">
        <f t="shared" si="19"/>
        <v>1800</v>
      </c>
      <c r="O84" s="241">
        <f t="shared" si="17"/>
        <v>1700</v>
      </c>
      <c r="P84" s="242"/>
      <c r="Q84" s="242"/>
      <c r="R84" s="242"/>
      <c r="S84" s="242"/>
      <c r="T84" s="242"/>
      <c r="U84" s="242"/>
      <c r="V84" s="242"/>
      <c r="W84" s="242"/>
      <c r="X84" s="242"/>
      <c r="Y84" s="242"/>
      <c r="Z84" s="242"/>
      <c r="AA84" s="242"/>
      <c r="AB84" s="242"/>
      <c r="AC84" s="242"/>
      <c r="AD84" s="242"/>
    </row>
    <row r="85">
      <c r="F85" s="234">
        <f t="shared" si="1"/>
        <v>0</v>
      </c>
      <c r="G85" s="362">
        <f t="shared" si="2"/>
        <v>0</v>
      </c>
      <c r="I85" s="236">
        <f t="shared" si="3"/>
        <v>0</v>
      </c>
      <c r="K85" s="238">
        <f t="shared" si="4"/>
        <v>0</v>
      </c>
    </row>
    <row r="86" ht="18.75" customHeight="1">
      <c r="A86" s="231" t="s">
        <v>548</v>
      </c>
      <c r="B86" s="319" t="s">
        <v>549</v>
      </c>
      <c r="C86" s="34"/>
      <c r="D86" s="320"/>
      <c r="E86" s="234">
        <v>10.0</v>
      </c>
      <c r="F86" s="234">
        <f t="shared" si="1"/>
        <v>3133.694215</v>
      </c>
      <c r="G86" s="362">
        <f t="shared" si="2"/>
        <v>4493.24745</v>
      </c>
      <c r="H86" s="235">
        <v>3791.77</v>
      </c>
      <c r="I86" s="236">
        <f t="shared" si="3"/>
        <v>5687.655</v>
      </c>
      <c r="J86" s="237"/>
      <c r="K86" s="238">
        <f t="shared" si="4"/>
        <v>5498.0665</v>
      </c>
      <c r="L86" s="273"/>
      <c r="M86" s="240">
        <f t="shared" ref="M86:M88" si="20">E86-L86</f>
        <v>10</v>
      </c>
      <c r="N86" s="241">
        <f t="shared" ref="N86:N88" si="21">ROUNDUP(I86,-2)</f>
        <v>5700</v>
      </c>
      <c r="O86" s="241">
        <f t="shared" ref="O86:O88" si="22">ROUNDUP(K86,-2)</f>
        <v>5500</v>
      </c>
      <c r="P86" s="242"/>
      <c r="Q86" s="242"/>
      <c r="R86" s="242"/>
      <c r="S86" s="242"/>
      <c r="T86" s="242"/>
      <c r="U86" s="242"/>
      <c r="V86" s="242"/>
      <c r="W86" s="242"/>
      <c r="X86" s="242"/>
      <c r="Y86" s="242"/>
      <c r="Z86" s="242"/>
      <c r="AA86" s="242"/>
      <c r="AB86" s="242"/>
      <c r="AC86" s="242"/>
      <c r="AD86" s="242"/>
    </row>
    <row r="87" ht="19.5" customHeight="1">
      <c r="A87" s="231" t="s">
        <v>550</v>
      </c>
      <c r="B87" s="247" t="s">
        <v>551</v>
      </c>
      <c r="C87" s="34"/>
      <c r="D87" s="248"/>
      <c r="E87" s="234">
        <v>10.0</v>
      </c>
      <c r="F87" s="234">
        <f t="shared" si="1"/>
        <v>2742.090909</v>
      </c>
      <c r="G87" s="362">
        <f t="shared" si="2"/>
        <v>3931.74705</v>
      </c>
      <c r="H87" s="235">
        <v>3317.93</v>
      </c>
      <c r="I87" s="236">
        <f t="shared" si="3"/>
        <v>4976.895</v>
      </c>
      <c r="J87" s="237"/>
      <c r="K87" s="238">
        <f t="shared" si="4"/>
        <v>4810.9985</v>
      </c>
      <c r="L87" s="273"/>
      <c r="M87" s="240">
        <f t="shared" si="20"/>
        <v>10</v>
      </c>
      <c r="N87" s="241">
        <f t="shared" si="21"/>
        <v>5000</v>
      </c>
      <c r="O87" s="241">
        <f t="shared" si="22"/>
        <v>4900</v>
      </c>
      <c r="P87" s="242"/>
      <c r="Q87" s="242"/>
      <c r="R87" s="242"/>
      <c r="S87" s="242"/>
      <c r="T87" s="242"/>
      <c r="U87" s="242"/>
      <c r="V87" s="242"/>
      <c r="W87" s="242"/>
      <c r="X87" s="242"/>
      <c r="Y87" s="242"/>
      <c r="Z87" s="242"/>
      <c r="AA87" s="242"/>
      <c r="AB87" s="242"/>
      <c r="AC87" s="242"/>
      <c r="AD87" s="242"/>
    </row>
    <row r="88" ht="20.25" customHeight="1">
      <c r="A88" s="274" t="s">
        <v>552</v>
      </c>
      <c r="B88" s="321" t="s">
        <v>553</v>
      </c>
      <c r="C88" s="3"/>
      <c r="D88" s="365"/>
      <c r="E88" s="234">
        <v>20.0</v>
      </c>
      <c r="F88" s="234">
        <f t="shared" si="1"/>
        <v>1145.247934</v>
      </c>
      <c r="G88" s="362">
        <f t="shared" si="2"/>
        <v>1642.11375</v>
      </c>
      <c r="H88" s="235">
        <v>1385.75</v>
      </c>
      <c r="I88" s="236">
        <f t="shared" si="3"/>
        <v>2078.625</v>
      </c>
      <c r="J88" s="237"/>
      <c r="K88" s="238">
        <f t="shared" si="4"/>
        <v>2009.3375</v>
      </c>
      <c r="L88" s="273"/>
      <c r="M88" s="240">
        <f t="shared" si="20"/>
        <v>20</v>
      </c>
      <c r="N88" s="241">
        <f t="shared" si="21"/>
        <v>2100</v>
      </c>
      <c r="O88" s="241">
        <f t="shared" si="22"/>
        <v>2100</v>
      </c>
      <c r="P88" s="242"/>
      <c r="Q88" s="242"/>
      <c r="R88" s="242"/>
      <c r="S88" s="242"/>
      <c r="T88" s="242"/>
      <c r="U88" s="242"/>
      <c r="V88" s="242"/>
      <c r="W88" s="242"/>
      <c r="X88" s="242"/>
      <c r="Y88" s="242"/>
      <c r="Z88" s="242"/>
      <c r="AA88" s="242"/>
      <c r="AB88" s="242"/>
      <c r="AC88" s="242"/>
      <c r="AD88" s="242"/>
    </row>
    <row r="89">
      <c r="A89" s="343" t="s">
        <v>554</v>
      </c>
      <c r="B89" s="335"/>
      <c r="C89" s="335"/>
      <c r="D89" s="336"/>
      <c r="E89" s="337"/>
      <c r="F89" s="234">
        <f t="shared" si="1"/>
        <v>0</v>
      </c>
      <c r="G89" s="362">
        <f t="shared" si="2"/>
        <v>0</v>
      </c>
      <c r="H89" s="235"/>
      <c r="I89" s="236">
        <f t="shared" si="3"/>
        <v>0</v>
      </c>
      <c r="J89" s="237"/>
      <c r="K89" s="238">
        <f t="shared" si="4"/>
        <v>0</v>
      </c>
      <c r="L89" s="273"/>
      <c r="M89" s="240"/>
      <c r="N89" s="241"/>
      <c r="O89" s="241"/>
      <c r="P89" s="242"/>
      <c r="Q89" s="242"/>
      <c r="R89" s="242"/>
      <c r="S89" s="242"/>
      <c r="T89" s="242"/>
      <c r="U89" s="242"/>
      <c r="V89" s="242"/>
      <c r="W89" s="242"/>
      <c r="X89" s="242"/>
      <c r="Y89" s="242"/>
      <c r="Z89" s="242"/>
      <c r="AA89" s="242"/>
      <c r="AB89" s="242"/>
      <c r="AC89" s="242"/>
      <c r="AD89" s="242"/>
    </row>
    <row r="90">
      <c r="A90" s="285" t="s">
        <v>555</v>
      </c>
      <c r="B90" s="330" t="s">
        <v>663</v>
      </c>
      <c r="C90" s="19"/>
      <c r="D90" s="331"/>
      <c r="E90" s="234">
        <v>8.0</v>
      </c>
      <c r="F90" s="234">
        <f t="shared" si="1"/>
        <v>1229.413223</v>
      </c>
      <c r="G90" s="362">
        <f t="shared" si="2"/>
        <v>1762.79415</v>
      </c>
      <c r="H90" s="235">
        <v>1487.59</v>
      </c>
      <c r="I90" s="236">
        <f t="shared" si="3"/>
        <v>2231.385</v>
      </c>
      <c r="J90" s="237"/>
      <c r="K90" s="238">
        <f t="shared" si="4"/>
        <v>2157.0055</v>
      </c>
      <c r="L90" s="273"/>
      <c r="M90" s="240">
        <f t="shared" ref="M90:M102" si="23">E90-L90</f>
        <v>8</v>
      </c>
      <c r="N90" s="241">
        <f t="shared" ref="N90:N102" si="24">ROUNDUP(I90,-2)</f>
        <v>2300</v>
      </c>
      <c r="O90" s="241">
        <f t="shared" ref="O90:O102" si="25">ROUNDUP(K90,-2)</f>
        <v>2200</v>
      </c>
      <c r="P90" s="242"/>
      <c r="Q90" s="242"/>
      <c r="R90" s="242"/>
      <c r="S90" s="242"/>
      <c r="T90" s="242"/>
      <c r="U90" s="242"/>
      <c r="V90" s="242"/>
      <c r="W90" s="242"/>
      <c r="X90" s="242"/>
      <c r="Y90" s="242"/>
      <c r="Z90" s="242"/>
      <c r="AA90" s="242"/>
      <c r="AB90" s="242"/>
      <c r="AC90" s="242"/>
      <c r="AD90" s="242"/>
    </row>
    <row r="91" ht="18.75" customHeight="1">
      <c r="A91" s="231" t="s">
        <v>557</v>
      </c>
      <c r="B91" s="319" t="s">
        <v>664</v>
      </c>
      <c r="C91" s="34"/>
      <c r="D91" s="320"/>
      <c r="E91" s="234">
        <v>8.0</v>
      </c>
      <c r="F91" s="234">
        <f t="shared" si="1"/>
        <v>1229.413223</v>
      </c>
      <c r="G91" s="362">
        <f t="shared" si="2"/>
        <v>1762.79415</v>
      </c>
      <c r="H91" s="235">
        <v>1487.59</v>
      </c>
      <c r="I91" s="236">
        <f t="shared" si="3"/>
        <v>2231.385</v>
      </c>
      <c r="J91" s="237"/>
      <c r="K91" s="238">
        <f t="shared" si="4"/>
        <v>2157.0055</v>
      </c>
      <c r="L91" s="273"/>
      <c r="M91" s="240">
        <f t="shared" si="23"/>
        <v>8</v>
      </c>
      <c r="N91" s="241">
        <f t="shared" si="24"/>
        <v>2300</v>
      </c>
      <c r="O91" s="241">
        <f t="shared" si="25"/>
        <v>2200</v>
      </c>
      <c r="P91" s="242"/>
      <c r="Q91" s="242"/>
      <c r="R91" s="242"/>
      <c r="S91" s="242"/>
      <c r="T91" s="242"/>
      <c r="U91" s="242"/>
      <c r="V91" s="242"/>
      <c r="W91" s="242"/>
      <c r="X91" s="242"/>
      <c r="Y91" s="242"/>
      <c r="Z91" s="242"/>
      <c r="AA91" s="242"/>
      <c r="AB91" s="242"/>
      <c r="AC91" s="242"/>
      <c r="AD91" s="242"/>
    </row>
    <row r="92">
      <c r="A92" s="231" t="s">
        <v>559</v>
      </c>
      <c r="B92" s="319" t="s">
        <v>665</v>
      </c>
      <c r="C92" s="34"/>
      <c r="D92" s="320"/>
      <c r="E92" s="234">
        <v>8.0</v>
      </c>
      <c r="F92" s="234">
        <f t="shared" si="1"/>
        <v>1090</v>
      </c>
      <c r="G92" s="362">
        <f t="shared" si="2"/>
        <v>1562.8965</v>
      </c>
      <c r="H92" s="235">
        <v>1318.9</v>
      </c>
      <c r="I92" s="236">
        <f t="shared" si="3"/>
        <v>1978.35</v>
      </c>
      <c r="J92" s="237"/>
      <c r="K92" s="238">
        <f t="shared" si="4"/>
        <v>1912.405</v>
      </c>
      <c r="L92" s="273"/>
      <c r="M92" s="240">
        <f t="shared" si="23"/>
        <v>8</v>
      </c>
      <c r="N92" s="241">
        <f t="shared" si="24"/>
        <v>2000</v>
      </c>
      <c r="O92" s="241">
        <f t="shared" si="25"/>
        <v>2000</v>
      </c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242"/>
      <c r="AA92" s="242"/>
      <c r="AB92" s="242"/>
      <c r="AC92" s="242"/>
      <c r="AD92" s="242"/>
    </row>
    <row r="93" ht="18.75" customHeight="1">
      <c r="A93" s="231" t="s">
        <v>561</v>
      </c>
      <c r="B93" s="319" t="s">
        <v>666</v>
      </c>
      <c r="C93" s="34"/>
      <c r="D93" s="320"/>
      <c r="E93" s="234">
        <v>8.0</v>
      </c>
      <c r="F93" s="234">
        <f t="shared" si="1"/>
        <v>1939.181818</v>
      </c>
      <c r="G93" s="362">
        <f t="shared" si="2"/>
        <v>2780.49585</v>
      </c>
      <c r="H93" s="235">
        <v>2346.41</v>
      </c>
      <c r="I93" s="236">
        <f t="shared" si="3"/>
        <v>3519.615</v>
      </c>
      <c r="J93" s="237"/>
      <c r="K93" s="238">
        <f t="shared" si="4"/>
        <v>3402.2945</v>
      </c>
      <c r="L93" s="273"/>
      <c r="M93" s="240">
        <f t="shared" si="23"/>
        <v>8</v>
      </c>
      <c r="N93" s="241">
        <f t="shared" si="24"/>
        <v>3600</v>
      </c>
      <c r="O93" s="241">
        <f t="shared" si="25"/>
        <v>3500</v>
      </c>
      <c r="P93" s="242"/>
      <c r="Q93" s="242"/>
      <c r="R93" s="242"/>
      <c r="S93" s="242"/>
      <c r="T93" s="242"/>
      <c r="U93" s="242"/>
      <c r="V93" s="242"/>
      <c r="W93" s="242"/>
      <c r="X93" s="242"/>
      <c r="Y93" s="242"/>
      <c r="Z93" s="242"/>
      <c r="AA93" s="242"/>
      <c r="AB93" s="242"/>
      <c r="AC93" s="242"/>
      <c r="AD93" s="242"/>
    </row>
    <row r="94">
      <c r="A94" s="231" t="s">
        <v>563</v>
      </c>
      <c r="B94" s="319" t="s">
        <v>667</v>
      </c>
      <c r="C94" s="34"/>
      <c r="D94" s="320"/>
      <c r="E94" s="234">
        <v>8.0</v>
      </c>
      <c r="F94" s="234">
        <f t="shared" si="1"/>
        <v>1673.016529</v>
      </c>
      <c r="G94" s="362">
        <f t="shared" si="2"/>
        <v>2398.85475</v>
      </c>
      <c r="H94" s="235">
        <v>2024.35</v>
      </c>
      <c r="I94" s="236">
        <f t="shared" si="3"/>
        <v>3036.525</v>
      </c>
      <c r="J94" s="237"/>
      <c r="K94" s="238">
        <f t="shared" si="4"/>
        <v>2935.3075</v>
      </c>
      <c r="L94" s="273"/>
      <c r="M94" s="240">
        <f t="shared" si="23"/>
        <v>8</v>
      </c>
      <c r="N94" s="241">
        <f t="shared" si="24"/>
        <v>3100</v>
      </c>
      <c r="O94" s="241">
        <f t="shared" si="25"/>
        <v>3000</v>
      </c>
      <c r="P94" s="242"/>
      <c r="Q94" s="242"/>
      <c r="R94" s="242"/>
      <c r="S94" s="242"/>
      <c r="T94" s="242"/>
      <c r="U94" s="242"/>
      <c r="V94" s="242"/>
      <c r="W94" s="242"/>
      <c r="X94" s="242"/>
      <c r="Y94" s="242"/>
      <c r="Z94" s="242"/>
      <c r="AA94" s="242"/>
      <c r="AB94" s="242"/>
      <c r="AC94" s="242"/>
      <c r="AD94" s="242"/>
    </row>
    <row r="95">
      <c r="A95" s="231" t="s">
        <v>565</v>
      </c>
      <c r="B95" s="319" t="s">
        <v>668</v>
      </c>
      <c r="C95" s="34"/>
      <c r="D95" s="320"/>
      <c r="E95" s="234">
        <v>8.0</v>
      </c>
      <c r="F95" s="234">
        <f t="shared" si="1"/>
        <v>1901.157025</v>
      </c>
      <c r="G95" s="362">
        <f t="shared" si="2"/>
        <v>2725.974</v>
      </c>
      <c r="H95" s="235">
        <v>2300.4</v>
      </c>
      <c r="I95" s="236">
        <f t="shared" si="3"/>
        <v>3450.6</v>
      </c>
      <c r="J95" s="237"/>
      <c r="K95" s="238">
        <f t="shared" si="4"/>
        <v>3335.58</v>
      </c>
      <c r="L95" s="273"/>
      <c r="M95" s="240">
        <f t="shared" si="23"/>
        <v>8</v>
      </c>
      <c r="N95" s="241">
        <f t="shared" si="24"/>
        <v>3500</v>
      </c>
      <c r="O95" s="241">
        <f t="shared" si="25"/>
        <v>3400</v>
      </c>
      <c r="P95" s="242"/>
      <c r="Q95" s="242"/>
      <c r="R95" s="242"/>
      <c r="S95" s="242"/>
      <c r="T95" s="242"/>
      <c r="U95" s="242"/>
      <c r="V95" s="242"/>
      <c r="W95" s="242"/>
      <c r="X95" s="242"/>
      <c r="Y95" s="242"/>
      <c r="Z95" s="242"/>
      <c r="AA95" s="242"/>
      <c r="AB95" s="242"/>
      <c r="AC95" s="242"/>
      <c r="AD95" s="242"/>
    </row>
    <row r="96" ht="18.0" customHeight="1">
      <c r="A96" s="231" t="s">
        <v>567</v>
      </c>
      <c r="B96" s="319" t="s">
        <v>669</v>
      </c>
      <c r="C96" s="34"/>
      <c r="D96" s="320"/>
      <c r="E96" s="234">
        <v>8.0</v>
      </c>
      <c r="F96" s="234">
        <f t="shared" si="1"/>
        <v>2344.760331</v>
      </c>
      <c r="G96" s="362">
        <f t="shared" si="2"/>
        <v>3362.0346</v>
      </c>
      <c r="H96" s="235">
        <v>2837.16</v>
      </c>
      <c r="I96" s="236">
        <f t="shared" si="3"/>
        <v>4255.74</v>
      </c>
      <c r="J96" s="237"/>
      <c r="K96" s="238">
        <f t="shared" si="4"/>
        <v>4113.882</v>
      </c>
      <c r="L96" s="271">
        <v>5.0</v>
      </c>
      <c r="M96" s="240">
        <f t="shared" si="23"/>
        <v>3</v>
      </c>
      <c r="N96" s="241">
        <f t="shared" si="24"/>
        <v>4300</v>
      </c>
      <c r="O96" s="241">
        <f t="shared" si="25"/>
        <v>4200</v>
      </c>
      <c r="P96" s="242"/>
      <c r="Q96" s="242"/>
      <c r="R96" s="242"/>
      <c r="S96" s="242"/>
      <c r="T96" s="242"/>
      <c r="U96" s="242"/>
      <c r="V96" s="242"/>
      <c r="W96" s="242"/>
      <c r="X96" s="242"/>
      <c r="Y96" s="242"/>
      <c r="Z96" s="242"/>
      <c r="AA96" s="242"/>
      <c r="AB96" s="242"/>
      <c r="AC96" s="242"/>
      <c r="AD96" s="242"/>
    </row>
    <row r="97" ht="18.0" customHeight="1">
      <c r="A97" s="231" t="s">
        <v>569</v>
      </c>
      <c r="B97" s="319" t="s">
        <v>670</v>
      </c>
      <c r="C97" s="34"/>
      <c r="D97" s="320"/>
      <c r="E97" s="234">
        <v>8.0</v>
      </c>
      <c r="F97" s="234">
        <f t="shared" si="1"/>
        <v>2344.760331</v>
      </c>
      <c r="G97" s="362">
        <f t="shared" si="2"/>
        <v>3362.0346</v>
      </c>
      <c r="H97" s="235">
        <v>2837.16</v>
      </c>
      <c r="I97" s="236">
        <f t="shared" si="3"/>
        <v>4255.74</v>
      </c>
      <c r="J97" s="237"/>
      <c r="K97" s="238">
        <f t="shared" si="4"/>
        <v>4113.882</v>
      </c>
      <c r="L97" s="271">
        <v>2.0</v>
      </c>
      <c r="M97" s="240">
        <f t="shared" si="23"/>
        <v>6</v>
      </c>
      <c r="N97" s="241">
        <f t="shared" si="24"/>
        <v>4300</v>
      </c>
      <c r="O97" s="241">
        <f t="shared" si="25"/>
        <v>4200</v>
      </c>
      <c r="P97" s="242"/>
      <c r="Q97" s="242"/>
      <c r="R97" s="242"/>
      <c r="S97" s="242"/>
      <c r="T97" s="242"/>
      <c r="U97" s="242"/>
      <c r="V97" s="242"/>
      <c r="W97" s="242"/>
      <c r="X97" s="242"/>
      <c r="Y97" s="242"/>
      <c r="Z97" s="242"/>
      <c r="AA97" s="242"/>
      <c r="AB97" s="242"/>
      <c r="AC97" s="242"/>
      <c r="AD97" s="242"/>
    </row>
    <row r="98">
      <c r="A98" s="231" t="s">
        <v>571</v>
      </c>
      <c r="B98" s="319" t="s">
        <v>671</v>
      </c>
      <c r="C98" s="34"/>
      <c r="D98" s="320"/>
      <c r="E98" s="234">
        <v>8.0</v>
      </c>
      <c r="F98" s="234">
        <f t="shared" si="1"/>
        <v>1964.528926</v>
      </c>
      <c r="G98" s="362">
        <f t="shared" si="2"/>
        <v>2816.8398</v>
      </c>
      <c r="H98" s="235">
        <v>2377.08</v>
      </c>
      <c r="I98" s="236">
        <f t="shared" si="3"/>
        <v>3565.62</v>
      </c>
      <c r="J98" s="237"/>
      <c r="K98" s="238">
        <f t="shared" si="4"/>
        <v>3446.766</v>
      </c>
      <c r="L98" s="273"/>
      <c r="M98" s="240">
        <f t="shared" si="23"/>
        <v>8</v>
      </c>
      <c r="N98" s="241">
        <f t="shared" si="24"/>
        <v>3600</v>
      </c>
      <c r="O98" s="241">
        <f t="shared" si="25"/>
        <v>3500</v>
      </c>
      <c r="P98" s="242"/>
      <c r="Q98" s="242"/>
      <c r="R98" s="242"/>
      <c r="S98" s="242"/>
      <c r="T98" s="242"/>
      <c r="U98" s="242"/>
      <c r="V98" s="242"/>
      <c r="W98" s="242"/>
      <c r="X98" s="242"/>
      <c r="Y98" s="242"/>
      <c r="Z98" s="242"/>
      <c r="AA98" s="242"/>
      <c r="AB98" s="242"/>
      <c r="AC98" s="242"/>
      <c r="AD98" s="242"/>
    </row>
    <row r="99" ht="18.0" customHeight="1">
      <c r="A99" s="231" t="s">
        <v>573</v>
      </c>
      <c r="B99" s="319" t="s">
        <v>672</v>
      </c>
      <c r="C99" s="34"/>
      <c r="D99" s="320"/>
      <c r="E99" s="234">
        <v>8.0</v>
      </c>
      <c r="F99" s="234">
        <f t="shared" si="1"/>
        <v>4157.198347</v>
      </c>
      <c r="G99" s="362">
        <f t="shared" si="2"/>
        <v>5960.79885</v>
      </c>
      <c r="H99" s="235">
        <v>5030.21</v>
      </c>
      <c r="I99" s="236">
        <f t="shared" si="3"/>
        <v>7545.315</v>
      </c>
      <c r="J99" s="237"/>
      <c r="K99" s="238">
        <f t="shared" si="4"/>
        <v>7293.8045</v>
      </c>
      <c r="L99" s="273"/>
      <c r="M99" s="240">
        <f t="shared" si="23"/>
        <v>8</v>
      </c>
      <c r="N99" s="241">
        <f t="shared" si="24"/>
        <v>7600</v>
      </c>
      <c r="O99" s="241">
        <f t="shared" si="25"/>
        <v>7300</v>
      </c>
      <c r="P99" s="242"/>
      <c r="Q99" s="242"/>
      <c r="R99" s="242"/>
      <c r="S99" s="242"/>
      <c r="T99" s="242"/>
      <c r="U99" s="242"/>
      <c r="V99" s="242"/>
      <c r="W99" s="242"/>
      <c r="X99" s="242"/>
      <c r="Y99" s="242"/>
      <c r="Z99" s="242"/>
      <c r="AA99" s="242"/>
      <c r="AB99" s="242"/>
      <c r="AC99" s="242"/>
      <c r="AD99" s="242"/>
    </row>
    <row r="100" ht="21.75" customHeight="1">
      <c r="A100" s="231" t="s">
        <v>575</v>
      </c>
      <c r="B100" s="319" t="s">
        <v>673</v>
      </c>
      <c r="C100" s="34"/>
      <c r="D100" s="320"/>
      <c r="E100" s="234">
        <v>8.0</v>
      </c>
      <c r="F100" s="234">
        <f t="shared" si="1"/>
        <v>4068.479339</v>
      </c>
      <c r="G100" s="362">
        <f t="shared" si="2"/>
        <v>5833.5891</v>
      </c>
      <c r="H100" s="235">
        <v>4922.86</v>
      </c>
      <c r="I100" s="236">
        <f t="shared" si="3"/>
        <v>7384.29</v>
      </c>
      <c r="J100" s="237"/>
      <c r="K100" s="238">
        <f t="shared" si="4"/>
        <v>7138.147</v>
      </c>
      <c r="L100" s="271">
        <v>1.0</v>
      </c>
      <c r="M100" s="240">
        <f t="shared" si="23"/>
        <v>7</v>
      </c>
      <c r="N100" s="241">
        <f t="shared" si="24"/>
        <v>7400</v>
      </c>
      <c r="O100" s="241">
        <f t="shared" si="25"/>
        <v>7200</v>
      </c>
      <c r="P100" s="242"/>
      <c r="Q100" s="242"/>
      <c r="R100" s="242"/>
      <c r="S100" s="242"/>
      <c r="T100" s="242"/>
      <c r="U100" s="242"/>
      <c r="V100" s="242"/>
      <c r="W100" s="242"/>
      <c r="X100" s="242"/>
      <c r="Y100" s="242"/>
      <c r="Z100" s="242"/>
      <c r="AA100" s="242"/>
      <c r="AB100" s="242"/>
      <c r="AC100" s="242"/>
      <c r="AD100" s="242"/>
    </row>
    <row r="101" ht="21.75" customHeight="1">
      <c r="A101" s="231" t="s">
        <v>577</v>
      </c>
      <c r="B101" s="319" t="s">
        <v>674</v>
      </c>
      <c r="C101" s="34"/>
      <c r="D101" s="320"/>
      <c r="E101" s="234">
        <v>8.0</v>
      </c>
      <c r="F101" s="234">
        <f t="shared" si="1"/>
        <v>4068.479339</v>
      </c>
      <c r="G101" s="362">
        <f t="shared" si="2"/>
        <v>5833.5891</v>
      </c>
      <c r="H101" s="235">
        <v>4922.86</v>
      </c>
      <c r="I101" s="236">
        <f t="shared" si="3"/>
        <v>7384.29</v>
      </c>
      <c r="J101" s="237"/>
      <c r="K101" s="238">
        <f t="shared" si="4"/>
        <v>7138.147</v>
      </c>
      <c r="L101" s="273"/>
      <c r="M101" s="240">
        <f t="shared" si="23"/>
        <v>8</v>
      </c>
      <c r="N101" s="241">
        <f t="shared" si="24"/>
        <v>7400</v>
      </c>
      <c r="O101" s="241">
        <f t="shared" si="25"/>
        <v>7200</v>
      </c>
      <c r="P101" s="242"/>
      <c r="Q101" s="242"/>
      <c r="R101" s="242"/>
      <c r="S101" s="242"/>
      <c r="T101" s="242"/>
      <c r="U101" s="242"/>
      <c r="V101" s="242"/>
      <c r="W101" s="242"/>
      <c r="X101" s="242"/>
      <c r="Y101" s="242"/>
      <c r="Z101" s="242"/>
      <c r="AA101" s="242"/>
      <c r="AB101" s="242"/>
      <c r="AC101" s="242"/>
      <c r="AD101" s="242"/>
    </row>
    <row r="102" ht="18.0" customHeight="1">
      <c r="A102" s="274" t="s">
        <v>579</v>
      </c>
      <c r="B102" s="332" t="s">
        <v>675</v>
      </c>
      <c r="C102" s="3"/>
      <c r="D102" s="333"/>
      <c r="E102" s="234">
        <v>6.0</v>
      </c>
      <c r="F102" s="234">
        <f t="shared" si="1"/>
        <v>3688.247934</v>
      </c>
      <c r="G102" s="362">
        <f t="shared" si="2"/>
        <v>5288.3943</v>
      </c>
      <c r="H102" s="235">
        <v>4462.78</v>
      </c>
      <c r="I102" s="236">
        <f t="shared" si="3"/>
        <v>6694.17</v>
      </c>
      <c r="J102" s="237"/>
      <c r="K102" s="238">
        <f t="shared" si="4"/>
        <v>6471.031</v>
      </c>
      <c r="L102" s="271">
        <v>1.0</v>
      </c>
      <c r="M102" s="240">
        <f t="shared" si="23"/>
        <v>5</v>
      </c>
      <c r="N102" s="241">
        <f t="shared" si="24"/>
        <v>6700</v>
      </c>
      <c r="O102" s="241">
        <f t="shared" si="25"/>
        <v>6500</v>
      </c>
      <c r="P102" s="242"/>
      <c r="Q102" s="242"/>
      <c r="R102" s="242"/>
      <c r="S102" s="242"/>
      <c r="T102" s="242"/>
      <c r="U102" s="242"/>
      <c r="V102" s="242"/>
      <c r="W102" s="242"/>
      <c r="X102" s="242"/>
      <c r="Y102" s="242"/>
      <c r="Z102" s="242"/>
      <c r="AA102" s="242"/>
      <c r="AB102" s="242"/>
      <c r="AC102" s="242"/>
      <c r="AD102" s="242"/>
    </row>
    <row r="103" ht="25.5" customHeight="1">
      <c r="A103" s="334" t="s">
        <v>581</v>
      </c>
      <c r="B103" s="335"/>
      <c r="C103" s="335"/>
      <c r="D103" s="336"/>
      <c r="E103" s="337"/>
      <c r="F103" s="234">
        <f t="shared" si="1"/>
        <v>0</v>
      </c>
      <c r="G103" s="362">
        <f t="shared" si="2"/>
        <v>0</v>
      </c>
      <c r="H103" s="235"/>
      <c r="I103" s="236">
        <f t="shared" si="3"/>
        <v>0</v>
      </c>
      <c r="J103" s="237"/>
      <c r="K103" s="238">
        <f t="shared" si="4"/>
        <v>0</v>
      </c>
      <c r="L103" s="273"/>
      <c r="M103" s="240"/>
      <c r="N103" s="241"/>
      <c r="O103" s="241"/>
      <c r="P103" s="242"/>
      <c r="Q103" s="242"/>
      <c r="R103" s="242"/>
      <c r="S103" s="242"/>
      <c r="T103" s="242"/>
      <c r="U103" s="242"/>
      <c r="V103" s="242"/>
      <c r="W103" s="242"/>
      <c r="X103" s="242"/>
      <c r="Y103" s="242"/>
      <c r="Z103" s="242"/>
      <c r="AA103" s="242"/>
      <c r="AB103" s="242"/>
      <c r="AC103" s="242"/>
      <c r="AD103" s="242"/>
    </row>
    <row r="104" ht="21.0" customHeight="1">
      <c r="A104" s="285" t="s">
        <v>582</v>
      </c>
      <c r="B104" s="330" t="s">
        <v>676</v>
      </c>
      <c r="C104" s="19"/>
      <c r="D104" s="331"/>
      <c r="E104" s="234">
        <v>8.0</v>
      </c>
      <c r="F104" s="234">
        <f t="shared" si="1"/>
        <v>1108.545455</v>
      </c>
      <c r="G104" s="362">
        <f t="shared" si="2"/>
        <v>1589.4879</v>
      </c>
      <c r="H104" s="235">
        <v>1341.34</v>
      </c>
      <c r="I104" s="236">
        <f t="shared" si="3"/>
        <v>2012.01</v>
      </c>
      <c r="J104" s="237"/>
      <c r="K104" s="238">
        <f t="shared" si="4"/>
        <v>1944.943</v>
      </c>
      <c r="L104" s="273"/>
      <c r="M104" s="240">
        <f t="shared" ref="M104:M111" si="26">E104-L104</f>
        <v>8</v>
      </c>
      <c r="N104" s="241">
        <f t="shared" ref="N104:N111" si="27">ROUNDUP(I104,-2)</f>
        <v>2100</v>
      </c>
      <c r="O104" s="241">
        <f t="shared" ref="O104:O111" si="28">ROUNDUP(K104,-2)</f>
        <v>2000</v>
      </c>
      <c r="P104" s="242"/>
      <c r="Q104" s="242"/>
      <c r="R104" s="242"/>
      <c r="S104" s="242"/>
      <c r="T104" s="242"/>
      <c r="U104" s="242"/>
      <c r="V104" s="242"/>
      <c r="W104" s="242"/>
      <c r="X104" s="242"/>
      <c r="Y104" s="242"/>
      <c r="Z104" s="242"/>
      <c r="AA104" s="242"/>
      <c r="AB104" s="242"/>
      <c r="AC104" s="242"/>
      <c r="AD104" s="242"/>
    </row>
    <row r="105">
      <c r="A105" s="231" t="s">
        <v>584</v>
      </c>
      <c r="B105" s="319" t="s">
        <v>677</v>
      </c>
      <c r="C105" s="34"/>
      <c r="D105" s="320"/>
      <c r="E105" s="234">
        <v>8.0</v>
      </c>
      <c r="F105" s="234">
        <f t="shared" si="1"/>
        <v>1831.033058</v>
      </c>
      <c r="G105" s="362">
        <f t="shared" si="2"/>
        <v>2625.42675</v>
      </c>
      <c r="H105" s="235">
        <v>2215.55</v>
      </c>
      <c r="I105" s="236">
        <f t="shared" si="3"/>
        <v>3323.325</v>
      </c>
      <c r="J105" s="237"/>
      <c r="K105" s="238">
        <f t="shared" si="4"/>
        <v>3212.5475</v>
      </c>
      <c r="L105" s="273"/>
      <c r="M105" s="240">
        <f t="shared" si="26"/>
        <v>8</v>
      </c>
      <c r="N105" s="241">
        <f t="shared" si="27"/>
        <v>3400</v>
      </c>
      <c r="O105" s="241">
        <f t="shared" si="28"/>
        <v>3300</v>
      </c>
      <c r="P105" s="242"/>
      <c r="Q105" s="242"/>
      <c r="R105" s="242"/>
      <c r="S105" s="242"/>
      <c r="T105" s="242"/>
      <c r="U105" s="242"/>
      <c r="V105" s="242"/>
      <c r="W105" s="242"/>
      <c r="X105" s="242"/>
      <c r="Y105" s="242"/>
      <c r="Z105" s="242"/>
      <c r="AA105" s="242"/>
      <c r="AB105" s="242"/>
      <c r="AC105" s="242"/>
      <c r="AD105" s="242"/>
    </row>
    <row r="106">
      <c r="A106" s="231" t="s">
        <v>586</v>
      </c>
      <c r="B106" s="319" t="s">
        <v>678</v>
      </c>
      <c r="C106" s="34"/>
      <c r="D106" s="320"/>
      <c r="E106" s="234">
        <v>8.0</v>
      </c>
      <c r="F106" s="234">
        <f t="shared" si="1"/>
        <v>1715.834711</v>
      </c>
      <c r="G106" s="362">
        <f t="shared" si="2"/>
        <v>2460.2496</v>
      </c>
      <c r="H106" s="235">
        <v>2076.16</v>
      </c>
      <c r="I106" s="236">
        <f t="shared" si="3"/>
        <v>3114.24</v>
      </c>
      <c r="J106" s="237"/>
      <c r="K106" s="238">
        <f t="shared" si="4"/>
        <v>3010.432</v>
      </c>
      <c r="L106" s="273"/>
      <c r="M106" s="240">
        <f t="shared" si="26"/>
        <v>8</v>
      </c>
      <c r="N106" s="241">
        <f t="shared" si="27"/>
        <v>3200</v>
      </c>
      <c r="O106" s="241">
        <f t="shared" si="28"/>
        <v>3100</v>
      </c>
      <c r="P106" s="242"/>
      <c r="Q106" s="242"/>
      <c r="R106" s="242"/>
      <c r="S106" s="242"/>
      <c r="T106" s="242"/>
      <c r="U106" s="242"/>
      <c r="V106" s="242"/>
      <c r="W106" s="242"/>
      <c r="X106" s="242"/>
      <c r="Y106" s="242"/>
      <c r="Z106" s="242"/>
      <c r="AA106" s="242"/>
      <c r="AB106" s="242"/>
      <c r="AC106" s="242"/>
      <c r="AD106" s="242"/>
    </row>
    <row r="107" ht="19.5" customHeight="1">
      <c r="A107" s="231" t="s">
        <v>588</v>
      </c>
      <c r="B107" s="319" t="s">
        <v>679</v>
      </c>
      <c r="C107" s="34"/>
      <c r="D107" s="320"/>
      <c r="E107" s="234">
        <v>8.0</v>
      </c>
      <c r="F107" s="234">
        <f t="shared" si="1"/>
        <v>2471.479339</v>
      </c>
      <c r="G107" s="362">
        <f t="shared" si="2"/>
        <v>3543.73065</v>
      </c>
      <c r="H107" s="235">
        <v>2990.49</v>
      </c>
      <c r="I107" s="236">
        <f t="shared" si="3"/>
        <v>4485.735</v>
      </c>
      <c r="J107" s="237"/>
      <c r="K107" s="238">
        <f t="shared" si="4"/>
        <v>4336.2105</v>
      </c>
      <c r="L107" s="271">
        <v>2.0</v>
      </c>
      <c r="M107" s="240">
        <f t="shared" si="26"/>
        <v>6</v>
      </c>
      <c r="N107" s="241">
        <f t="shared" si="27"/>
        <v>4500</v>
      </c>
      <c r="O107" s="241">
        <f t="shared" si="28"/>
        <v>4400</v>
      </c>
      <c r="P107" s="242"/>
      <c r="Q107" s="242"/>
      <c r="R107" s="242"/>
      <c r="S107" s="242"/>
      <c r="T107" s="242"/>
      <c r="U107" s="242"/>
      <c r="V107" s="242"/>
      <c r="W107" s="242"/>
      <c r="X107" s="242"/>
      <c r="Y107" s="242"/>
      <c r="Z107" s="242"/>
      <c r="AA107" s="242"/>
      <c r="AB107" s="242"/>
      <c r="AC107" s="242"/>
      <c r="AD107" s="242"/>
    </row>
    <row r="108">
      <c r="A108" s="231" t="s">
        <v>590</v>
      </c>
      <c r="B108" s="319" t="s">
        <v>680</v>
      </c>
      <c r="C108" s="34"/>
      <c r="D108" s="320"/>
      <c r="E108" s="234">
        <v>8.0</v>
      </c>
      <c r="F108" s="234">
        <f t="shared" si="1"/>
        <v>2471.479339</v>
      </c>
      <c r="G108" s="362">
        <f t="shared" si="2"/>
        <v>3543.73065</v>
      </c>
      <c r="H108" s="235">
        <v>2990.49</v>
      </c>
      <c r="I108" s="236">
        <f t="shared" si="3"/>
        <v>4485.735</v>
      </c>
      <c r="J108" s="237"/>
      <c r="K108" s="238">
        <f t="shared" si="4"/>
        <v>4336.2105</v>
      </c>
      <c r="L108" s="271">
        <v>6.0</v>
      </c>
      <c r="M108" s="240">
        <f t="shared" si="26"/>
        <v>2</v>
      </c>
      <c r="N108" s="241">
        <f t="shared" si="27"/>
        <v>4500</v>
      </c>
      <c r="O108" s="241">
        <f t="shared" si="28"/>
        <v>4400</v>
      </c>
      <c r="P108" s="242"/>
      <c r="Q108" s="242"/>
      <c r="R108" s="242"/>
      <c r="S108" s="242"/>
      <c r="T108" s="242"/>
      <c r="U108" s="242"/>
      <c r="V108" s="242"/>
      <c r="W108" s="242"/>
      <c r="X108" s="242"/>
      <c r="Y108" s="242"/>
      <c r="Z108" s="242"/>
      <c r="AA108" s="242"/>
      <c r="AB108" s="242"/>
      <c r="AC108" s="242"/>
      <c r="AD108" s="242"/>
    </row>
    <row r="109">
      <c r="A109" s="231" t="s">
        <v>592</v>
      </c>
      <c r="B109" s="319" t="s">
        <v>681</v>
      </c>
      <c r="C109" s="34"/>
      <c r="D109" s="320"/>
      <c r="E109" s="234">
        <v>8.0</v>
      </c>
      <c r="F109" s="234">
        <f t="shared" si="1"/>
        <v>2069.53719</v>
      </c>
      <c r="G109" s="362">
        <f t="shared" si="2"/>
        <v>2967.4059</v>
      </c>
      <c r="H109" s="235">
        <v>2504.14</v>
      </c>
      <c r="I109" s="236">
        <f t="shared" si="3"/>
        <v>3756.21</v>
      </c>
      <c r="J109" s="237"/>
      <c r="K109" s="238">
        <f t="shared" si="4"/>
        <v>3631.003</v>
      </c>
      <c r="L109" s="273"/>
      <c r="M109" s="240">
        <f t="shared" si="26"/>
        <v>8</v>
      </c>
      <c r="N109" s="241">
        <f t="shared" si="27"/>
        <v>3800</v>
      </c>
      <c r="O109" s="241">
        <f t="shared" si="28"/>
        <v>3700</v>
      </c>
      <c r="P109" s="242"/>
      <c r="Q109" s="242"/>
      <c r="R109" s="242"/>
      <c r="S109" s="242"/>
      <c r="T109" s="242"/>
      <c r="U109" s="242"/>
      <c r="V109" s="242"/>
      <c r="W109" s="242"/>
      <c r="X109" s="242"/>
      <c r="Y109" s="242"/>
      <c r="Z109" s="242"/>
      <c r="AA109" s="242"/>
      <c r="AB109" s="242"/>
      <c r="AC109" s="242"/>
      <c r="AD109" s="242"/>
    </row>
    <row r="110">
      <c r="A110" s="274" t="s">
        <v>594</v>
      </c>
      <c r="B110" s="332" t="s">
        <v>682</v>
      </c>
      <c r="C110" s="3"/>
      <c r="D110" s="333"/>
      <c r="E110" s="234">
        <v>8.0</v>
      </c>
      <c r="F110" s="234">
        <f t="shared" si="1"/>
        <v>3749.123967</v>
      </c>
      <c r="G110" s="362">
        <f t="shared" si="2"/>
        <v>5375.6814</v>
      </c>
      <c r="H110" s="235">
        <v>4536.44</v>
      </c>
      <c r="I110" s="236">
        <f t="shared" si="3"/>
        <v>6804.66</v>
      </c>
      <c r="J110" s="237"/>
      <c r="K110" s="238">
        <f t="shared" si="4"/>
        <v>6577.838</v>
      </c>
      <c r="L110" s="273"/>
      <c r="M110" s="240">
        <f t="shared" si="26"/>
        <v>8</v>
      </c>
      <c r="N110" s="241">
        <f t="shared" si="27"/>
        <v>6900</v>
      </c>
      <c r="O110" s="241">
        <f t="shared" si="28"/>
        <v>6600</v>
      </c>
      <c r="P110" s="242"/>
      <c r="Q110" s="242"/>
      <c r="R110" s="242"/>
      <c r="S110" s="242"/>
      <c r="T110" s="242"/>
      <c r="U110" s="242"/>
      <c r="V110" s="242"/>
      <c r="W110" s="242"/>
      <c r="X110" s="242"/>
      <c r="Y110" s="242"/>
      <c r="Z110" s="242"/>
      <c r="AA110" s="242"/>
      <c r="AB110" s="242"/>
      <c r="AC110" s="242"/>
      <c r="AD110" s="242"/>
    </row>
    <row r="111" ht="18.75" customHeight="1">
      <c r="A111" s="231" t="s">
        <v>596</v>
      </c>
      <c r="B111" s="319" t="s">
        <v>683</v>
      </c>
      <c r="C111" s="34"/>
      <c r="D111" s="320"/>
      <c r="E111" s="234">
        <v>6.0</v>
      </c>
      <c r="F111" s="234">
        <f t="shared" si="1"/>
        <v>3622.338843</v>
      </c>
      <c r="G111" s="362">
        <f t="shared" si="2"/>
        <v>5193.89055</v>
      </c>
      <c r="H111" s="235">
        <v>4383.03</v>
      </c>
      <c r="I111" s="236">
        <f t="shared" si="3"/>
        <v>6574.545</v>
      </c>
      <c r="J111" s="237"/>
      <c r="K111" s="238">
        <f t="shared" si="4"/>
        <v>6355.3935</v>
      </c>
      <c r="L111" s="273"/>
      <c r="M111" s="240">
        <f t="shared" si="26"/>
        <v>6</v>
      </c>
      <c r="N111" s="241">
        <f t="shared" si="27"/>
        <v>6600</v>
      </c>
      <c r="O111" s="241">
        <f t="shared" si="28"/>
        <v>6400</v>
      </c>
      <c r="P111" s="242"/>
      <c r="Q111" s="242"/>
      <c r="R111" s="242"/>
      <c r="S111" s="242"/>
      <c r="T111" s="242"/>
      <c r="U111" s="242"/>
      <c r="V111" s="242"/>
      <c r="W111" s="242"/>
      <c r="X111" s="242"/>
      <c r="Y111" s="242"/>
      <c r="Z111" s="242"/>
      <c r="AA111" s="242"/>
      <c r="AB111" s="242"/>
      <c r="AC111" s="242"/>
      <c r="AD111" s="242"/>
    </row>
    <row r="112" ht="22.5" customHeight="1">
      <c r="A112" s="338" t="s">
        <v>598</v>
      </c>
      <c r="B112" s="335"/>
      <c r="C112" s="335"/>
      <c r="D112" s="336"/>
      <c r="F112" s="234">
        <f t="shared" si="1"/>
        <v>0</v>
      </c>
      <c r="G112" s="362">
        <f t="shared" si="2"/>
        <v>0</v>
      </c>
      <c r="I112" s="236">
        <f t="shared" si="3"/>
        <v>0</v>
      </c>
      <c r="J112" s="339"/>
      <c r="K112" s="238">
        <f t="shared" si="4"/>
        <v>0</v>
      </c>
      <c r="M112" s="340"/>
    </row>
    <row r="113">
      <c r="A113" s="285" t="s">
        <v>599</v>
      </c>
      <c r="B113" s="330" t="s">
        <v>684</v>
      </c>
      <c r="C113" s="19"/>
      <c r="D113" s="331"/>
      <c r="E113" s="234">
        <v>8.0</v>
      </c>
      <c r="F113" s="234">
        <f t="shared" si="1"/>
        <v>3193.942149</v>
      </c>
      <c r="G113" s="362">
        <f t="shared" si="2"/>
        <v>4579.63395</v>
      </c>
      <c r="H113" s="235">
        <v>3864.67</v>
      </c>
      <c r="I113" s="236">
        <f t="shared" si="3"/>
        <v>5797.005</v>
      </c>
      <c r="J113" s="237"/>
      <c r="K113" s="238">
        <f t="shared" si="4"/>
        <v>5603.7715</v>
      </c>
      <c r="L113" s="273"/>
      <c r="M113" s="240">
        <f t="shared" ref="M113:M131" si="29">E113-L113</f>
        <v>8</v>
      </c>
      <c r="N113" s="241">
        <f t="shared" ref="N113:N131" si="30">ROUNDUP(I113,-2)</f>
        <v>5800</v>
      </c>
      <c r="O113" s="241">
        <f t="shared" ref="O113:O131" si="31">ROUNDUP(K113,-2)</f>
        <v>5700</v>
      </c>
      <c r="P113" s="242"/>
      <c r="Q113" s="242"/>
      <c r="R113" s="242"/>
      <c r="S113" s="242"/>
      <c r="T113" s="242"/>
      <c r="U113" s="242"/>
      <c r="V113" s="242"/>
      <c r="W113" s="242"/>
      <c r="X113" s="242"/>
      <c r="Y113" s="242"/>
      <c r="Z113" s="242"/>
      <c r="AA113" s="242"/>
      <c r="AB113" s="242"/>
      <c r="AC113" s="242"/>
      <c r="AD113" s="242"/>
    </row>
    <row r="114" ht="20.25" customHeight="1">
      <c r="A114" s="231" t="s">
        <v>601</v>
      </c>
      <c r="B114" s="319" t="s">
        <v>685</v>
      </c>
      <c r="C114" s="34"/>
      <c r="D114" s="320"/>
      <c r="E114" s="234">
        <v>8.0</v>
      </c>
      <c r="F114" s="234">
        <f t="shared" si="1"/>
        <v>3193.942149</v>
      </c>
      <c r="G114" s="362">
        <f t="shared" si="2"/>
        <v>4579.63395</v>
      </c>
      <c r="H114" s="235">
        <v>3864.67</v>
      </c>
      <c r="I114" s="236">
        <f t="shared" si="3"/>
        <v>5797.005</v>
      </c>
      <c r="J114" s="237"/>
      <c r="K114" s="238">
        <f t="shared" si="4"/>
        <v>5603.7715</v>
      </c>
      <c r="L114" s="271">
        <v>4.0</v>
      </c>
      <c r="M114" s="240">
        <f t="shared" si="29"/>
        <v>4</v>
      </c>
      <c r="N114" s="241">
        <f t="shared" si="30"/>
        <v>5800</v>
      </c>
      <c r="O114" s="241">
        <f t="shared" si="31"/>
        <v>5700</v>
      </c>
      <c r="P114" s="242"/>
      <c r="Q114" s="242"/>
      <c r="R114" s="242"/>
      <c r="S114" s="242"/>
      <c r="T114" s="242"/>
      <c r="U114" s="242"/>
      <c r="V114" s="242"/>
      <c r="W114" s="242"/>
      <c r="X114" s="242"/>
      <c r="Y114" s="242"/>
      <c r="Z114" s="242"/>
      <c r="AA114" s="242"/>
      <c r="AB114" s="242"/>
      <c r="AC114" s="242"/>
      <c r="AD114" s="242"/>
    </row>
    <row r="115">
      <c r="A115" s="231" t="s">
        <v>603</v>
      </c>
      <c r="B115" s="319" t="s">
        <v>686</v>
      </c>
      <c r="C115" s="34"/>
      <c r="D115" s="320"/>
      <c r="E115" s="234">
        <v>8.0</v>
      </c>
      <c r="F115" s="234">
        <f t="shared" si="1"/>
        <v>2826.38843</v>
      </c>
      <c r="G115" s="362">
        <f t="shared" si="2"/>
        <v>4052.61705</v>
      </c>
      <c r="H115" s="235">
        <v>3419.93</v>
      </c>
      <c r="I115" s="236">
        <f t="shared" si="3"/>
        <v>5129.895</v>
      </c>
      <c r="J115" s="237"/>
      <c r="K115" s="238">
        <f t="shared" si="4"/>
        <v>4958.8985</v>
      </c>
      <c r="L115" s="273"/>
      <c r="M115" s="240">
        <f t="shared" si="29"/>
        <v>8</v>
      </c>
      <c r="N115" s="241">
        <f t="shared" si="30"/>
        <v>5200</v>
      </c>
      <c r="O115" s="241">
        <f t="shared" si="31"/>
        <v>5000</v>
      </c>
      <c r="P115" s="242"/>
      <c r="Q115" s="242"/>
      <c r="R115" s="242"/>
      <c r="S115" s="242"/>
      <c r="T115" s="242"/>
      <c r="U115" s="242"/>
      <c r="V115" s="242"/>
      <c r="W115" s="242"/>
      <c r="X115" s="242"/>
      <c r="Y115" s="242"/>
      <c r="Z115" s="242"/>
      <c r="AA115" s="242"/>
      <c r="AB115" s="242"/>
      <c r="AC115" s="242"/>
      <c r="AD115" s="242"/>
    </row>
    <row r="116">
      <c r="A116" s="231" t="s">
        <v>605</v>
      </c>
      <c r="B116" s="319" t="s">
        <v>687</v>
      </c>
      <c r="C116" s="34"/>
      <c r="D116" s="320"/>
      <c r="E116" s="234">
        <v>8.0</v>
      </c>
      <c r="F116" s="234">
        <f t="shared" si="1"/>
        <v>2750.338843</v>
      </c>
      <c r="G116" s="362">
        <f t="shared" si="2"/>
        <v>3943.57335</v>
      </c>
      <c r="H116" s="235">
        <v>3327.91</v>
      </c>
      <c r="I116" s="236">
        <f t="shared" si="3"/>
        <v>4991.865</v>
      </c>
      <c r="J116" s="237"/>
      <c r="K116" s="238">
        <f t="shared" si="4"/>
        <v>4825.4695</v>
      </c>
      <c r="L116" s="273"/>
      <c r="M116" s="240">
        <f t="shared" si="29"/>
        <v>8</v>
      </c>
      <c r="N116" s="241">
        <f t="shared" si="30"/>
        <v>5000</v>
      </c>
      <c r="O116" s="241">
        <f t="shared" si="31"/>
        <v>4900</v>
      </c>
      <c r="P116" s="242"/>
      <c r="Q116" s="242"/>
      <c r="R116" s="242"/>
      <c r="S116" s="242"/>
      <c r="T116" s="242"/>
      <c r="U116" s="242"/>
      <c r="V116" s="242"/>
      <c r="W116" s="242"/>
      <c r="X116" s="242"/>
      <c r="Y116" s="242"/>
      <c r="Z116" s="242"/>
      <c r="AA116" s="242"/>
      <c r="AB116" s="242"/>
      <c r="AC116" s="242"/>
      <c r="AD116" s="242"/>
    </row>
    <row r="117">
      <c r="A117" s="231" t="s">
        <v>607</v>
      </c>
      <c r="B117" s="319" t="s">
        <v>688</v>
      </c>
      <c r="C117" s="34"/>
      <c r="D117" s="320"/>
      <c r="E117" s="234">
        <v>8.0</v>
      </c>
      <c r="F117" s="234">
        <f t="shared" si="1"/>
        <v>2750.338843</v>
      </c>
      <c r="G117" s="362">
        <f t="shared" si="2"/>
        <v>3943.57335</v>
      </c>
      <c r="H117" s="235">
        <v>3327.91</v>
      </c>
      <c r="I117" s="236">
        <f t="shared" si="3"/>
        <v>4991.865</v>
      </c>
      <c r="J117" s="237"/>
      <c r="K117" s="238">
        <f t="shared" si="4"/>
        <v>4825.4695</v>
      </c>
      <c r="L117" s="273"/>
      <c r="M117" s="240">
        <f t="shared" si="29"/>
        <v>8</v>
      </c>
      <c r="N117" s="241">
        <f t="shared" si="30"/>
        <v>5000</v>
      </c>
      <c r="O117" s="241">
        <f t="shared" si="31"/>
        <v>4900</v>
      </c>
      <c r="P117" s="242"/>
      <c r="Q117" s="242"/>
      <c r="R117" s="242"/>
      <c r="S117" s="242"/>
      <c r="T117" s="242"/>
      <c r="U117" s="242"/>
      <c r="V117" s="242"/>
      <c r="W117" s="242"/>
      <c r="X117" s="242"/>
      <c r="Y117" s="242"/>
      <c r="Z117" s="242"/>
      <c r="AA117" s="242"/>
      <c r="AB117" s="242"/>
      <c r="AC117" s="242"/>
      <c r="AD117" s="242"/>
    </row>
    <row r="118">
      <c r="A118" s="231" t="s">
        <v>609</v>
      </c>
      <c r="B118" s="319" t="s">
        <v>689</v>
      </c>
      <c r="C118" s="34"/>
      <c r="D118" s="320"/>
      <c r="E118" s="234">
        <v>8.0</v>
      </c>
      <c r="F118" s="234">
        <f t="shared" si="1"/>
        <v>2826.38843</v>
      </c>
      <c r="G118" s="362">
        <f t="shared" si="2"/>
        <v>4052.61705</v>
      </c>
      <c r="H118" s="235">
        <v>3419.93</v>
      </c>
      <c r="I118" s="236">
        <f t="shared" si="3"/>
        <v>5129.895</v>
      </c>
      <c r="J118" s="237"/>
      <c r="K118" s="238">
        <f t="shared" si="4"/>
        <v>4958.8985</v>
      </c>
      <c r="L118" s="273"/>
      <c r="M118" s="240">
        <f t="shared" si="29"/>
        <v>8</v>
      </c>
      <c r="N118" s="241">
        <f t="shared" si="30"/>
        <v>5200</v>
      </c>
      <c r="O118" s="241">
        <f t="shared" si="31"/>
        <v>5000</v>
      </c>
      <c r="P118" s="242"/>
      <c r="Q118" s="242"/>
      <c r="R118" s="242"/>
      <c r="S118" s="242"/>
      <c r="T118" s="242"/>
      <c r="U118" s="242"/>
      <c r="V118" s="242"/>
      <c r="W118" s="242"/>
      <c r="X118" s="242"/>
      <c r="Y118" s="242"/>
      <c r="Z118" s="242"/>
      <c r="AA118" s="242"/>
      <c r="AB118" s="242"/>
      <c r="AC118" s="242"/>
      <c r="AD118" s="242"/>
    </row>
    <row r="119">
      <c r="A119" s="231" t="s">
        <v>611</v>
      </c>
      <c r="B119" s="319" t="s">
        <v>690</v>
      </c>
      <c r="C119" s="34"/>
      <c r="D119" s="320"/>
      <c r="E119" s="234">
        <v>4.0</v>
      </c>
      <c r="F119" s="234">
        <f t="shared" si="1"/>
        <v>4803.586777</v>
      </c>
      <c r="G119" s="362">
        <f t="shared" si="2"/>
        <v>6887.6229</v>
      </c>
      <c r="H119" s="235">
        <v>5812.34</v>
      </c>
      <c r="I119" s="236">
        <f t="shared" si="3"/>
        <v>8718.51</v>
      </c>
      <c r="J119" s="237"/>
      <c r="K119" s="238">
        <f t="shared" si="4"/>
        <v>8427.893</v>
      </c>
      <c r="L119" s="239"/>
      <c r="M119" s="240">
        <f t="shared" si="29"/>
        <v>4</v>
      </c>
      <c r="N119" s="241">
        <f t="shared" si="30"/>
        <v>8800</v>
      </c>
      <c r="O119" s="241">
        <f t="shared" si="31"/>
        <v>8500</v>
      </c>
      <c r="P119" s="242"/>
      <c r="Q119" s="242"/>
      <c r="R119" s="242"/>
      <c r="S119" s="242"/>
      <c r="T119" s="242"/>
      <c r="U119" s="242"/>
      <c r="V119" s="242"/>
      <c r="W119" s="242"/>
      <c r="X119" s="242"/>
      <c r="Y119" s="242"/>
      <c r="Z119" s="242"/>
      <c r="AA119" s="242"/>
      <c r="AB119" s="242"/>
      <c r="AC119" s="242"/>
      <c r="AD119" s="242"/>
    </row>
    <row r="120" ht="16.5" customHeight="1">
      <c r="A120" s="231" t="s">
        <v>613</v>
      </c>
      <c r="B120" s="319" t="s">
        <v>691</v>
      </c>
      <c r="C120" s="34"/>
      <c r="D120" s="320"/>
      <c r="E120" s="234">
        <v>8.0</v>
      </c>
      <c r="F120" s="234">
        <f t="shared" si="1"/>
        <v>4854.289256</v>
      </c>
      <c r="G120" s="362">
        <f t="shared" si="2"/>
        <v>6960.32265</v>
      </c>
      <c r="H120" s="235">
        <v>5873.69</v>
      </c>
      <c r="I120" s="236">
        <f t="shared" si="3"/>
        <v>8810.535</v>
      </c>
      <c r="J120" s="237"/>
      <c r="K120" s="238">
        <f t="shared" si="4"/>
        <v>8516.8505</v>
      </c>
      <c r="L120" s="273"/>
      <c r="M120" s="240">
        <f t="shared" si="29"/>
        <v>8</v>
      </c>
      <c r="N120" s="241">
        <f t="shared" si="30"/>
        <v>8900</v>
      </c>
      <c r="O120" s="241">
        <f t="shared" si="31"/>
        <v>8600</v>
      </c>
      <c r="P120" s="242"/>
      <c r="Q120" s="242"/>
      <c r="R120" s="242"/>
      <c r="S120" s="242"/>
      <c r="T120" s="242"/>
      <c r="U120" s="242"/>
      <c r="V120" s="242"/>
      <c r="W120" s="242"/>
      <c r="X120" s="242"/>
      <c r="Y120" s="242"/>
      <c r="Z120" s="242"/>
      <c r="AA120" s="242"/>
      <c r="AB120" s="242"/>
      <c r="AC120" s="242"/>
      <c r="AD120" s="242"/>
    </row>
    <row r="121">
      <c r="A121" s="231" t="s">
        <v>615</v>
      </c>
      <c r="B121" s="319" t="s">
        <v>692</v>
      </c>
      <c r="C121" s="34"/>
      <c r="D121" s="320"/>
      <c r="E121" s="234">
        <v>8.0</v>
      </c>
      <c r="F121" s="234">
        <f t="shared" si="1"/>
        <v>4144.520661</v>
      </c>
      <c r="G121" s="362">
        <f t="shared" si="2"/>
        <v>5942.62095</v>
      </c>
      <c r="H121" s="235">
        <v>5014.87</v>
      </c>
      <c r="I121" s="236">
        <f t="shared" si="3"/>
        <v>7522.305</v>
      </c>
      <c r="J121" s="237"/>
      <c r="K121" s="238">
        <f t="shared" si="4"/>
        <v>7271.5615</v>
      </c>
      <c r="L121" s="273"/>
      <c r="M121" s="240">
        <f t="shared" si="29"/>
        <v>8</v>
      </c>
      <c r="N121" s="241">
        <f t="shared" si="30"/>
        <v>7600</v>
      </c>
      <c r="O121" s="241">
        <f t="shared" si="31"/>
        <v>7300</v>
      </c>
      <c r="P121" s="242"/>
      <c r="Q121" s="242"/>
      <c r="R121" s="242"/>
      <c r="S121" s="242"/>
      <c r="T121" s="242"/>
      <c r="U121" s="242"/>
      <c r="V121" s="242"/>
      <c r="W121" s="242"/>
      <c r="X121" s="242"/>
      <c r="Y121" s="242"/>
      <c r="Z121" s="242"/>
      <c r="AA121" s="242"/>
      <c r="AB121" s="242"/>
      <c r="AC121" s="242"/>
      <c r="AD121" s="242"/>
    </row>
    <row r="122">
      <c r="A122" s="231" t="s">
        <v>617</v>
      </c>
      <c r="B122" s="319" t="s">
        <v>693</v>
      </c>
      <c r="C122" s="34"/>
      <c r="D122" s="320"/>
      <c r="E122" s="234">
        <v>8.0</v>
      </c>
      <c r="F122" s="234">
        <f t="shared" si="1"/>
        <v>4144.520661</v>
      </c>
      <c r="G122" s="362">
        <f t="shared" si="2"/>
        <v>5942.62095</v>
      </c>
      <c r="H122" s="235">
        <v>5014.87</v>
      </c>
      <c r="I122" s="236">
        <f t="shared" si="3"/>
        <v>7522.305</v>
      </c>
      <c r="J122" s="237"/>
      <c r="K122" s="238">
        <f t="shared" si="4"/>
        <v>7271.5615</v>
      </c>
      <c r="L122" s="273"/>
      <c r="M122" s="240">
        <f t="shared" si="29"/>
        <v>8</v>
      </c>
      <c r="N122" s="241">
        <f t="shared" si="30"/>
        <v>7600</v>
      </c>
      <c r="O122" s="241">
        <f t="shared" si="31"/>
        <v>7300</v>
      </c>
      <c r="P122" s="242"/>
      <c r="Q122" s="242"/>
      <c r="R122" s="242"/>
      <c r="S122" s="242"/>
      <c r="T122" s="242"/>
      <c r="U122" s="242"/>
      <c r="V122" s="242"/>
      <c r="W122" s="242"/>
      <c r="X122" s="242"/>
      <c r="Y122" s="242"/>
      <c r="Z122" s="242"/>
      <c r="AA122" s="242"/>
      <c r="AB122" s="242"/>
      <c r="AC122" s="242"/>
      <c r="AD122" s="242"/>
    </row>
    <row r="123" ht="21.0" customHeight="1">
      <c r="A123" s="231" t="s">
        <v>619</v>
      </c>
      <c r="B123" s="319" t="s">
        <v>694</v>
      </c>
      <c r="C123" s="34"/>
      <c r="D123" s="320"/>
      <c r="E123" s="234">
        <v>8.0</v>
      </c>
      <c r="F123" s="234">
        <f t="shared" si="1"/>
        <v>6552.652893</v>
      </c>
      <c r="G123" s="362">
        <f t="shared" si="2"/>
        <v>9395.52135</v>
      </c>
      <c r="H123" s="235">
        <v>7928.71</v>
      </c>
      <c r="I123" s="236">
        <f t="shared" si="3"/>
        <v>11893.065</v>
      </c>
      <c r="J123" s="237"/>
      <c r="K123" s="238">
        <f t="shared" si="4"/>
        <v>11496.6295</v>
      </c>
      <c r="L123" s="273"/>
      <c r="M123" s="240">
        <f t="shared" si="29"/>
        <v>8</v>
      </c>
      <c r="N123" s="241">
        <f t="shared" si="30"/>
        <v>11900</v>
      </c>
      <c r="O123" s="241">
        <f t="shared" si="31"/>
        <v>11500</v>
      </c>
      <c r="P123" s="242"/>
      <c r="Q123" s="242"/>
      <c r="R123" s="242"/>
      <c r="S123" s="242"/>
      <c r="T123" s="242"/>
      <c r="U123" s="242"/>
      <c r="V123" s="242"/>
      <c r="W123" s="242"/>
      <c r="X123" s="242"/>
      <c r="Y123" s="242"/>
      <c r="Z123" s="242"/>
      <c r="AA123" s="242"/>
      <c r="AB123" s="242"/>
      <c r="AC123" s="242"/>
      <c r="AD123" s="242"/>
    </row>
    <row r="124">
      <c r="A124" s="231" t="s">
        <v>621</v>
      </c>
      <c r="B124" s="319" t="s">
        <v>695</v>
      </c>
      <c r="C124" s="34"/>
      <c r="D124" s="320"/>
      <c r="E124" s="234">
        <v>8.0</v>
      </c>
      <c r="F124" s="234">
        <f t="shared" si="1"/>
        <v>6552.652893</v>
      </c>
      <c r="G124" s="362">
        <f t="shared" si="2"/>
        <v>9395.52135</v>
      </c>
      <c r="H124" s="235">
        <v>7928.71</v>
      </c>
      <c r="I124" s="236">
        <f t="shared" si="3"/>
        <v>11893.065</v>
      </c>
      <c r="J124" s="237"/>
      <c r="K124" s="238">
        <f t="shared" si="4"/>
        <v>11496.6295</v>
      </c>
      <c r="L124" s="273"/>
      <c r="M124" s="240">
        <f t="shared" si="29"/>
        <v>8</v>
      </c>
      <c r="N124" s="241">
        <f t="shared" si="30"/>
        <v>11900</v>
      </c>
      <c r="O124" s="241">
        <f t="shared" si="31"/>
        <v>11500</v>
      </c>
      <c r="P124" s="242"/>
      <c r="Q124" s="242"/>
      <c r="R124" s="242"/>
      <c r="S124" s="242"/>
      <c r="T124" s="242"/>
      <c r="U124" s="242"/>
      <c r="V124" s="242"/>
      <c r="W124" s="242"/>
      <c r="X124" s="242"/>
      <c r="Y124" s="242"/>
      <c r="Z124" s="242"/>
      <c r="AA124" s="242"/>
      <c r="AB124" s="242"/>
      <c r="AC124" s="242"/>
      <c r="AD124" s="242"/>
    </row>
    <row r="125">
      <c r="A125" s="231" t="s">
        <v>623</v>
      </c>
      <c r="B125" s="319" t="s">
        <v>696</v>
      </c>
      <c r="C125" s="34"/>
      <c r="D125" s="320"/>
      <c r="E125" s="234">
        <v>8.0</v>
      </c>
      <c r="F125" s="234">
        <f t="shared" si="1"/>
        <v>6235.793388</v>
      </c>
      <c r="G125" s="362">
        <f t="shared" si="2"/>
        <v>8941.19235</v>
      </c>
      <c r="H125" s="235">
        <v>7545.31</v>
      </c>
      <c r="I125" s="236">
        <f t="shared" si="3"/>
        <v>11317.965</v>
      </c>
      <c r="J125" s="237"/>
      <c r="K125" s="238">
        <f t="shared" si="4"/>
        <v>10940.6995</v>
      </c>
      <c r="L125" s="273"/>
      <c r="M125" s="240">
        <f t="shared" si="29"/>
        <v>8</v>
      </c>
      <c r="N125" s="241">
        <f t="shared" si="30"/>
        <v>11400</v>
      </c>
      <c r="O125" s="241">
        <f t="shared" si="31"/>
        <v>11000</v>
      </c>
      <c r="P125" s="242"/>
      <c r="Q125" s="242"/>
      <c r="R125" s="242"/>
      <c r="S125" s="242"/>
      <c r="T125" s="242"/>
      <c r="U125" s="242"/>
      <c r="V125" s="242"/>
      <c r="W125" s="242"/>
      <c r="X125" s="242"/>
      <c r="Y125" s="242"/>
      <c r="Z125" s="242"/>
      <c r="AA125" s="242"/>
      <c r="AB125" s="242"/>
      <c r="AC125" s="242"/>
      <c r="AD125" s="242"/>
    </row>
    <row r="126" ht="20.25" customHeight="1">
      <c r="A126" s="231" t="s">
        <v>625</v>
      </c>
      <c r="B126" s="319" t="s">
        <v>697</v>
      </c>
      <c r="C126" s="34"/>
      <c r="D126" s="320"/>
      <c r="E126" s="234">
        <v>8.0</v>
      </c>
      <c r="F126" s="234">
        <f t="shared" si="1"/>
        <v>10063.45455</v>
      </c>
      <c r="G126" s="362">
        <f t="shared" si="2"/>
        <v>14429.4843</v>
      </c>
      <c r="H126" s="235">
        <v>12176.78</v>
      </c>
      <c r="I126" s="236">
        <f t="shared" si="3"/>
        <v>18265.17</v>
      </c>
      <c r="J126" s="237"/>
      <c r="K126" s="238">
        <f t="shared" si="4"/>
        <v>17656.331</v>
      </c>
      <c r="L126" s="273"/>
      <c r="M126" s="240">
        <f t="shared" si="29"/>
        <v>8</v>
      </c>
      <c r="N126" s="241">
        <f t="shared" si="30"/>
        <v>18300</v>
      </c>
      <c r="O126" s="241">
        <f t="shared" si="31"/>
        <v>17700</v>
      </c>
      <c r="P126" s="242"/>
      <c r="Q126" s="242"/>
      <c r="R126" s="242"/>
      <c r="S126" s="242"/>
      <c r="T126" s="242"/>
      <c r="U126" s="242"/>
      <c r="V126" s="242"/>
      <c r="W126" s="242"/>
      <c r="X126" s="242"/>
      <c r="Y126" s="242"/>
      <c r="Z126" s="242"/>
      <c r="AA126" s="242"/>
      <c r="AB126" s="242"/>
      <c r="AC126" s="242"/>
      <c r="AD126" s="242"/>
    </row>
    <row r="127" ht="21.75" customHeight="1">
      <c r="A127" s="231" t="s">
        <v>627</v>
      </c>
      <c r="B127" s="319" t="s">
        <v>698</v>
      </c>
      <c r="C127" s="34"/>
      <c r="D127" s="320"/>
      <c r="E127" s="234">
        <v>6.0</v>
      </c>
      <c r="F127" s="234">
        <f t="shared" si="1"/>
        <v>10063.45455</v>
      </c>
      <c r="G127" s="362">
        <f t="shared" si="2"/>
        <v>14429.4843</v>
      </c>
      <c r="H127" s="235">
        <v>12176.78</v>
      </c>
      <c r="I127" s="236">
        <f t="shared" si="3"/>
        <v>18265.17</v>
      </c>
      <c r="J127" s="237"/>
      <c r="K127" s="238">
        <f t="shared" si="4"/>
        <v>17656.331</v>
      </c>
      <c r="L127" s="273"/>
      <c r="M127" s="240">
        <f t="shared" si="29"/>
        <v>6</v>
      </c>
      <c r="N127" s="241">
        <f t="shared" si="30"/>
        <v>18300</v>
      </c>
      <c r="O127" s="241">
        <f t="shared" si="31"/>
        <v>17700</v>
      </c>
      <c r="P127" s="242"/>
      <c r="Q127" s="242"/>
      <c r="R127" s="242"/>
      <c r="S127" s="242"/>
      <c r="T127" s="242"/>
      <c r="U127" s="242"/>
      <c r="V127" s="242"/>
      <c r="W127" s="242"/>
      <c r="X127" s="242"/>
      <c r="Y127" s="242"/>
      <c r="Z127" s="242"/>
      <c r="AA127" s="242"/>
      <c r="AB127" s="242"/>
      <c r="AC127" s="242"/>
      <c r="AD127" s="242"/>
    </row>
    <row r="128" ht="18.75" customHeight="1">
      <c r="A128" s="231" t="s">
        <v>629</v>
      </c>
      <c r="B128" s="319" t="s">
        <v>699</v>
      </c>
      <c r="C128" s="34"/>
      <c r="D128" s="320"/>
      <c r="E128" s="234">
        <v>6.0</v>
      </c>
      <c r="F128" s="234">
        <f t="shared" si="1"/>
        <v>8986.132231</v>
      </c>
      <c r="G128" s="362">
        <f t="shared" si="2"/>
        <v>12884.7657</v>
      </c>
      <c r="H128" s="235">
        <v>10873.22</v>
      </c>
      <c r="I128" s="236">
        <f t="shared" si="3"/>
        <v>16309.83</v>
      </c>
      <c r="J128" s="237"/>
      <c r="K128" s="238">
        <f t="shared" si="4"/>
        <v>15766.169</v>
      </c>
      <c r="L128" s="273"/>
      <c r="M128" s="240">
        <f t="shared" si="29"/>
        <v>6</v>
      </c>
      <c r="N128" s="241">
        <f t="shared" si="30"/>
        <v>16400</v>
      </c>
      <c r="O128" s="241">
        <f t="shared" si="31"/>
        <v>15800</v>
      </c>
      <c r="P128" s="242"/>
      <c r="Q128" s="242"/>
      <c r="R128" s="242"/>
      <c r="S128" s="242"/>
      <c r="T128" s="242"/>
      <c r="U128" s="242"/>
      <c r="V128" s="242"/>
      <c r="W128" s="242"/>
      <c r="X128" s="242"/>
      <c r="Y128" s="242"/>
      <c r="Z128" s="242"/>
      <c r="AA128" s="242"/>
      <c r="AB128" s="242"/>
      <c r="AC128" s="242"/>
      <c r="AD128" s="242"/>
    </row>
    <row r="129">
      <c r="A129" s="231" t="s">
        <v>631</v>
      </c>
      <c r="B129" s="319" t="s">
        <v>700</v>
      </c>
      <c r="C129" s="34"/>
      <c r="D129" s="320"/>
      <c r="E129" s="234">
        <v>6.0</v>
      </c>
      <c r="F129" s="234">
        <f t="shared" si="1"/>
        <v>9911.363636</v>
      </c>
      <c r="G129" s="362">
        <f t="shared" si="2"/>
        <v>14211.40875</v>
      </c>
      <c r="H129" s="235">
        <v>11992.75</v>
      </c>
      <c r="I129" s="236">
        <f t="shared" si="3"/>
        <v>17989.125</v>
      </c>
      <c r="J129" s="237"/>
      <c r="K129" s="238">
        <f t="shared" si="4"/>
        <v>17389.4875</v>
      </c>
      <c r="L129" s="273"/>
      <c r="M129" s="240">
        <f t="shared" si="29"/>
        <v>6</v>
      </c>
      <c r="N129" s="241">
        <f t="shared" si="30"/>
        <v>18000</v>
      </c>
      <c r="O129" s="241">
        <f t="shared" si="31"/>
        <v>17400</v>
      </c>
      <c r="P129" s="242"/>
      <c r="Q129" s="242"/>
      <c r="R129" s="242"/>
      <c r="S129" s="242"/>
      <c r="T129" s="242"/>
      <c r="U129" s="242"/>
      <c r="V129" s="242"/>
      <c r="W129" s="242"/>
      <c r="X129" s="242"/>
      <c r="Y129" s="242"/>
      <c r="Z129" s="242"/>
      <c r="AA129" s="242"/>
      <c r="AB129" s="242"/>
      <c r="AC129" s="242"/>
      <c r="AD129" s="242"/>
    </row>
    <row r="130" ht="19.5" customHeight="1">
      <c r="A130" s="231" t="s">
        <v>633</v>
      </c>
      <c r="B130" s="319" t="s">
        <v>701</v>
      </c>
      <c r="C130" s="34"/>
      <c r="D130" s="320"/>
      <c r="E130" s="341">
        <v>6.0</v>
      </c>
      <c r="F130" s="234">
        <f t="shared" si="1"/>
        <v>9911.363636</v>
      </c>
      <c r="G130" s="362">
        <f t="shared" si="2"/>
        <v>14211.40875</v>
      </c>
      <c r="H130" s="235">
        <v>11992.75</v>
      </c>
      <c r="I130" s="236">
        <f t="shared" si="3"/>
        <v>17989.125</v>
      </c>
      <c r="J130" s="237"/>
      <c r="K130" s="238">
        <f t="shared" si="4"/>
        <v>17389.4875</v>
      </c>
      <c r="L130" s="273"/>
      <c r="M130" s="240">
        <f t="shared" si="29"/>
        <v>6</v>
      </c>
      <c r="N130" s="241">
        <f t="shared" si="30"/>
        <v>18000</v>
      </c>
      <c r="O130" s="241">
        <f t="shared" si="31"/>
        <v>17400</v>
      </c>
      <c r="P130" s="242"/>
      <c r="Q130" s="242"/>
      <c r="R130" s="242"/>
      <c r="S130" s="242"/>
      <c r="T130" s="242"/>
      <c r="U130" s="242"/>
      <c r="V130" s="242"/>
      <c r="W130" s="242"/>
      <c r="X130" s="242"/>
      <c r="Y130" s="242"/>
      <c r="Z130" s="242"/>
      <c r="AA130" s="242"/>
      <c r="AB130" s="242"/>
      <c r="AC130" s="242"/>
      <c r="AD130" s="242"/>
    </row>
    <row r="131">
      <c r="A131" s="342" t="s">
        <v>635</v>
      </c>
      <c r="B131" s="319" t="s">
        <v>702</v>
      </c>
      <c r="C131" s="34"/>
      <c r="D131" s="320"/>
      <c r="E131" s="234">
        <v>2.0</v>
      </c>
      <c r="F131" s="234">
        <f t="shared" si="1"/>
        <v>10469.04132</v>
      </c>
      <c r="G131" s="362">
        <f t="shared" si="2"/>
        <v>15011.0349</v>
      </c>
      <c r="H131" s="235">
        <v>12667.54</v>
      </c>
      <c r="I131" s="236">
        <f t="shared" si="3"/>
        <v>19001.31</v>
      </c>
      <c r="J131" s="237"/>
      <c r="K131" s="238">
        <f t="shared" si="4"/>
        <v>18367.933</v>
      </c>
      <c r="L131" s="239"/>
      <c r="M131" s="240">
        <f t="shared" si="29"/>
        <v>2</v>
      </c>
      <c r="N131" s="241">
        <f t="shared" si="30"/>
        <v>19100</v>
      </c>
      <c r="O131" s="241">
        <f t="shared" si="31"/>
        <v>18400</v>
      </c>
      <c r="P131" s="242"/>
      <c r="Q131" s="242"/>
      <c r="R131" s="242"/>
      <c r="S131" s="242"/>
      <c r="T131" s="242"/>
      <c r="U131" s="242"/>
      <c r="V131" s="242"/>
      <c r="W131" s="242"/>
      <c r="X131" s="242"/>
      <c r="Y131" s="242"/>
      <c r="Z131" s="242"/>
      <c r="AA131" s="242"/>
      <c r="AB131" s="242"/>
      <c r="AC131" s="242"/>
      <c r="AD131" s="242"/>
    </row>
    <row r="132">
      <c r="A132" s="343" t="s">
        <v>637</v>
      </c>
      <c r="B132" s="335"/>
      <c r="C132" s="335"/>
      <c r="D132" s="336"/>
      <c r="E132" s="337"/>
      <c r="F132" s="234">
        <f t="shared" si="1"/>
        <v>0</v>
      </c>
      <c r="G132" s="362">
        <f t="shared" si="2"/>
        <v>0</v>
      </c>
      <c r="H132" s="235"/>
      <c r="I132" s="236">
        <f t="shared" si="3"/>
        <v>0</v>
      </c>
      <c r="J132" s="237"/>
      <c r="K132" s="238">
        <f t="shared" si="4"/>
        <v>0</v>
      </c>
      <c r="L132" s="273"/>
      <c r="M132" s="240"/>
      <c r="N132" s="241"/>
      <c r="O132" s="241"/>
      <c r="P132" s="242"/>
      <c r="Q132" s="242"/>
      <c r="R132" s="242"/>
      <c r="S132" s="242"/>
      <c r="T132" s="242"/>
      <c r="U132" s="242"/>
      <c r="V132" s="242"/>
      <c r="W132" s="242"/>
      <c r="X132" s="242"/>
      <c r="Y132" s="242"/>
      <c r="Z132" s="242"/>
      <c r="AA132" s="242"/>
      <c r="AB132" s="242"/>
      <c r="AC132" s="242"/>
      <c r="AD132" s="242"/>
    </row>
    <row r="133" ht="20.25" customHeight="1">
      <c r="A133" s="231" t="s">
        <v>638</v>
      </c>
      <c r="B133" s="247" t="s">
        <v>639</v>
      </c>
      <c r="C133" s="34"/>
      <c r="D133" s="248"/>
      <c r="E133" s="234">
        <v>2.0</v>
      </c>
      <c r="F133" s="234">
        <f t="shared" si="1"/>
        <v>17559.38017</v>
      </c>
      <c r="G133" s="362">
        <f t="shared" si="2"/>
        <v>25177.51725</v>
      </c>
      <c r="H133" s="235">
        <v>21246.85</v>
      </c>
      <c r="I133" s="236">
        <f t="shared" si="3"/>
        <v>31870.275</v>
      </c>
      <c r="J133" s="237"/>
      <c r="K133" s="238">
        <f t="shared" si="4"/>
        <v>30807.9325</v>
      </c>
      <c r="L133" s="239"/>
      <c r="M133" s="240">
        <f t="shared" ref="M133:M137" si="32">E133-L133</f>
        <v>2</v>
      </c>
      <c r="N133" s="241">
        <f t="shared" ref="N133:N137" si="33">ROUNDUP(I133,-2)</f>
        <v>31900</v>
      </c>
      <c r="O133" s="241">
        <f t="shared" ref="O133:O137" si="34">ROUNDUP(K133,-2)</f>
        <v>30900</v>
      </c>
      <c r="P133" s="242"/>
      <c r="Q133" s="242"/>
      <c r="R133" s="242"/>
      <c r="S133" s="242"/>
      <c r="T133" s="242"/>
      <c r="U133" s="242"/>
      <c r="V133" s="242"/>
      <c r="W133" s="242"/>
      <c r="X133" s="242"/>
      <c r="Y133" s="242"/>
      <c r="Z133" s="242"/>
      <c r="AA133" s="242"/>
      <c r="AB133" s="242"/>
      <c r="AC133" s="242"/>
      <c r="AD133" s="242"/>
    </row>
    <row r="134" ht="21.0" customHeight="1">
      <c r="A134" s="231" t="s">
        <v>640</v>
      </c>
      <c r="B134" s="247" t="s">
        <v>641</v>
      </c>
      <c r="C134" s="34"/>
      <c r="D134" s="248"/>
      <c r="E134" s="234">
        <v>2.0</v>
      </c>
      <c r="F134" s="234">
        <f t="shared" si="1"/>
        <v>7209.049587</v>
      </c>
      <c r="G134" s="362">
        <f t="shared" si="2"/>
        <v>10336.69575</v>
      </c>
      <c r="H134" s="235">
        <v>8722.95</v>
      </c>
      <c r="I134" s="236">
        <f t="shared" si="3"/>
        <v>13084.425</v>
      </c>
      <c r="J134" s="237"/>
      <c r="K134" s="238">
        <f t="shared" si="4"/>
        <v>12648.2775</v>
      </c>
      <c r="L134" s="239"/>
      <c r="M134" s="240">
        <f t="shared" si="32"/>
        <v>2</v>
      </c>
      <c r="N134" s="241">
        <f t="shared" si="33"/>
        <v>13100</v>
      </c>
      <c r="O134" s="241">
        <f t="shared" si="34"/>
        <v>12700</v>
      </c>
      <c r="P134" s="242"/>
      <c r="Q134" s="242"/>
      <c r="R134" s="242"/>
      <c r="S134" s="242"/>
      <c r="T134" s="242"/>
      <c r="U134" s="242"/>
      <c r="V134" s="242"/>
      <c r="W134" s="242"/>
      <c r="X134" s="242"/>
      <c r="Y134" s="242"/>
      <c r="Z134" s="242"/>
      <c r="AA134" s="242"/>
      <c r="AB134" s="242"/>
      <c r="AC134" s="242"/>
      <c r="AD134" s="242"/>
    </row>
    <row r="135" ht="21.75" customHeight="1">
      <c r="A135" s="231" t="s">
        <v>642</v>
      </c>
      <c r="B135" s="247" t="s">
        <v>643</v>
      </c>
      <c r="C135" s="34"/>
      <c r="D135" s="248"/>
      <c r="E135" s="251">
        <v>2.0</v>
      </c>
      <c r="F135" s="234">
        <f t="shared" si="1"/>
        <v>7209.049587</v>
      </c>
      <c r="G135" s="362">
        <f t="shared" si="2"/>
        <v>10336.69575</v>
      </c>
      <c r="H135" s="235">
        <v>8722.95</v>
      </c>
      <c r="I135" s="236">
        <f t="shared" si="3"/>
        <v>13084.425</v>
      </c>
      <c r="J135" s="237"/>
      <c r="K135" s="238">
        <f t="shared" si="4"/>
        <v>12648.2775</v>
      </c>
      <c r="L135" s="239"/>
      <c r="M135" s="240">
        <f t="shared" si="32"/>
        <v>2</v>
      </c>
      <c r="N135" s="241">
        <f t="shared" si="33"/>
        <v>13100</v>
      </c>
      <c r="O135" s="241">
        <f t="shared" si="34"/>
        <v>12700</v>
      </c>
      <c r="P135" s="242"/>
      <c r="Q135" s="242"/>
      <c r="R135" s="242"/>
      <c r="S135" s="242"/>
      <c r="T135" s="242"/>
      <c r="U135" s="242"/>
      <c r="V135" s="242"/>
      <c r="W135" s="242"/>
      <c r="X135" s="242"/>
      <c r="Y135" s="242"/>
      <c r="Z135" s="242"/>
      <c r="AA135" s="242"/>
      <c r="AB135" s="242"/>
      <c r="AC135" s="242"/>
      <c r="AD135" s="242"/>
    </row>
    <row r="136">
      <c r="A136" s="231" t="s">
        <v>644</v>
      </c>
      <c r="B136" s="247" t="s">
        <v>645</v>
      </c>
      <c r="C136" s="34"/>
      <c r="D136" s="248"/>
      <c r="E136" s="234">
        <v>2.0</v>
      </c>
      <c r="F136" s="234">
        <f t="shared" si="1"/>
        <v>20217.36364</v>
      </c>
      <c r="G136" s="362">
        <f t="shared" si="2"/>
        <v>28988.66685</v>
      </c>
      <c r="H136" s="235">
        <v>24463.01</v>
      </c>
      <c r="I136" s="236">
        <f t="shared" si="3"/>
        <v>36694.515</v>
      </c>
      <c r="J136" s="237"/>
      <c r="K136" s="238">
        <f t="shared" si="4"/>
        <v>35471.3645</v>
      </c>
      <c r="L136" s="239"/>
      <c r="M136" s="240">
        <f t="shared" si="32"/>
        <v>2</v>
      </c>
      <c r="N136" s="241">
        <f t="shared" si="33"/>
        <v>36700</v>
      </c>
      <c r="O136" s="241">
        <f t="shared" si="34"/>
        <v>35500</v>
      </c>
      <c r="P136" s="242"/>
      <c r="Q136" s="242"/>
      <c r="R136" s="242"/>
      <c r="S136" s="242"/>
      <c r="T136" s="242"/>
      <c r="U136" s="242"/>
      <c r="V136" s="242"/>
      <c r="W136" s="242"/>
      <c r="X136" s="242"/>
      <c r="Y136" s="242"/>
      <c r="Z136" s="242"/>
      <c r="AA136" s="242"/>
      <c r="AB136" s="242"/>
      <c r="AC136" s="242"/>
      <c r="AD136" s="242"/>
    </row>
    <row r="137" ht="16.5" customHeight="1">
      <c r="A137" s="231" t="s">
        <v>646</v>
      </c>
      <c r="B137" s="247" t="s">
        <v>647</v>
      </c>
      <c r="C137" s="34"/>
      <c r="D137" s="248"/>
      <c r="E137" s="234">
        <v>2.0</v>
      </c>
      <c r="F137" s="234">
        <f t="shared" si="1"/>
        <v>6955.272727</v>
      </c>
      <c r="G137" s="362">
        <f t="shared" si="2"/>
        <v>9972.8178</v>
      </c>
      <c r="H137" s="235">
        <v>8415.88</v>
      </c>
      <c r="I137" s="236">
        <f t="shared" si="3"/>
        <v>12623.82</v>
      </c>
      <c r="J137" s="237"/>
      <c r="K137" s="238">
        <f t="shared" si="4"/>
        <v>12203.026</v>
      </c>
      <c r="L137" s="273"/>
      <c r="M137" s="240">
        <f t="shared" si="32"/>
        <v>2</v>
      </c>
      <c r="N137" s="241">
        <f t="shared" si="33"/>
        <v>12700</v>
      </c>
      <c r="O137" s="241">
        <f t="shared" si="34"/>
        <v>12300</v>
      </c>
      <c r="P137" s="242"/>
      <c r="Q137" s="242"/>
      <c r="R137" s="242"/>
      <c r="S137" s="242"/>
      <c r="T137" s="242"/>
      <c r="U137" s="242"/>
      <c r="V137" s="242"/>
      <c r="W137" s="242"/>
      <c r="X137" s="242"/>
      <c r="Y137" s="242"/>
      <c r="Z137" s="242"/>
      <c r="AA137" s="242"/>
      <c r="AB137" s="242"/>
      <c r="AC137" s="242"/>
      <c r="AD137" s="242"/>
    </row>
    <row r="138">
      <c r="H138" s="344">
        <f>SUM(H3:H137)</f>
        <v>651617.79</v>
      </c>
      <c r="J138" s="339"/>
    </row>
    <row r="139">
      <c r="J139" s="339"/>
    </row>
    <row r="140">
      <c r="J140" s="339"/>
    </row>
    <row r="141">
      <c r="J141" s="339"/>
    </row>
    <row r="142">
      <c r="J142" s="339"/>
    </row>
    <row r="143">
      <c r="J143" s="339"/>
    </row>
    <row r="144">
      <c r="J144" s="339"/>
    </row>
    <row r="145">
      <c r="J145" s="339"/>
    </row>
    <row r="146">
      <c r="J146" s="339"/>
    </row>
    <row r="147">
      <c r="J147" s="339"/>
    </row>
    <row r="148">
      <c r="J148" s="339"/>
    </row>
    <row r="149">
      <c r="J149" s="339"/>
    </row>
    <row r="150">
      <c r="J150" s="339"/>
    </row>
    <row r="151">
      <c r="J151" s="339"/>
    </row>
    <row r="152">
      <c r="J152" s="339"/>
    </row>
    <row r="153">
      <c r="J153" s="339"/>
    </row>
    <row r="154" ht="12.75" customHeight="1">
      <c r="A154" s="345" t="s">
        <v>648</v>
      </c>
      <c r="B154" s="346" t="s">
        <v>649</v>
      </c>
      <c r="E154" s="341">
        <v>26.0</v>
      </c>
      <c r="F154" s="366"/>
      <c r="G154" s="366"/>
      <c r="H154" s="347" t="s">
        <v>650</v>
      </c>
      <c r="I154" s="348">
        <v>3000.0</v>
      </c>
      <c r="J154" s="349"/>
      <c r="K154" s="350">
        <v>2900.0</v>
      </c>
      <c r="L154" s="351">
        <v>1.0</v>
      </c>
      <c r="M154" s="352">
        <f>E154-L154</f>
        <v>25</v>
      </c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</row>
    <row r="155" ht="12.75" customHeight="1">
      <c r="A155" s="353"/>
      <c r="B155" s="54"/>
      <c r="E155" s="354"/>
      <c r="F155" s="354"/>
      <c r="G155" s="354"/>
      <c r="H155" s="242"/>
      <c r="I155" s="355"/>
      <c r="J155" s="217"/>
      <c r="K155" s="356"/>
      <c r="L155" s="357"/>
      <c r="M155" s="357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</row>
    <row r="156" ht="12.75" customHeight="1">
      <c r="A156" s="353"/>
      <c r="B156" s="54"/>
      <c r="E156" s="354"/>
      <c r="F156" s="354"/>
      <c r="G156" s="354"/>
      <c r="H156" s="242"/>
      <c r="I156" s="358"/>
      <c r="J156" s="217"/>
      <c r="K156" s="54"/>
      <c r="L156" s="218"/>
      <c r="M156" s="218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</row>
    <row r="157" ht="12.75" customHeight="1">
      <c r="A157" s="353"/>
      <c r="B157" s="54"/>
      <c r="E157" s="354"/>
      <c r="F157" s="354"/>
      <c r="G157" s="354"/>
      <c r="H157" s="242"/>
      <c r="I157" s="358"/>
      <c r="J157" s="217"/>
      <c r="K157" s="54"/>
      <c r="L157" s="218"/>
      <c r="M157" s="218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</row>
    <row r="158" ht="12.75" customHeight="1">
      <c r="A158" s="353"/>
      <c r="B158" s="54"/>
      <c r="E158" s="354"/>
      <c r="F158" s="354"/>
      <c r="G158" s="354"/>
      <c r="H158" s="242"/>
      <c r="I158" s="358"/>
      <c r="J158" s="217"/>
      <c r="K158" s="54"/>
      <c r="L158" s="218"/>
      <c r="M158" s="218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</row>
    <row r="159" ht="12.75" customHeight="1">
      <c r="A159" s="353"/>
      <c r="B159" s="54"/>
      <c r="E159" s="354"/>
      <c r="F159" s="354"/>
      <c r="G159" s="354"/>
      <c r="H159" s="242"/>
      <c r="I159" s="358"/>
      <c r="J159" s="217"/>
      <c r="K159" s="54"/>
      <c r="L159" s="218"/>
      <c r="M159" s="218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</row>
    <row r="160" ht="12.75" customHeight="1">
      <c r="A160" s="353"/>
      <c r="B160" s="54"/>
      <c r="E160" s="354"/>
      <c r="F160" s="354"/>
      <c r="G160" s="354"/>
      <c r="H160" s="242"/>
      <c r="I160" s="358"/>
      <c r="J160" s="217"/>
      <c r="K160" s="54"/>
      <c r="L160" s="218"/>
      <c r="M160" s="218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</row>
    <row r="161" ht="12.75" customHeight="1">
      <c r="A161" s="353"/>
      <c r="B161" s="54"/>
      <c r="E161" s="354"/>
      <c r="F161" s="354"/>
      <c r="G161" s="354"/>
      <c r="H161" s="242"/>
      <c r="I161" s="358"/>
      <c r="J161" s="217"/>
      <c r="K161" s="54"/>
      <c r="L161" s="218"/>
      <c r="M161" s="218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</row>
    <row r="162" ht="12.75" customHeight="1">
      <c r="A162" s="353"/>
      <c r="B162" s="54"/>
      <c r="E162" s="354"/>
      <c r="F162" s="354"/>
      <c r="G162" s="354"/>
      <c r="H162" s="242"/>
      <c r="I162" s="358"/>
      <c r="J162" s="217"/>
      <c r="K162" s="54"/>
      <c r="L162" s="218"/>
      <c r="M162" s="218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</row>
    <row r="163" ht="12.75" customHeight="1">
      <c r="A163" s="353"/>
      <c r="B163" s="54"/>
      <c r="E163" s="354"/>
      <c r="F163" s="354"/>
      <c r="G163" s="354"/>
      <c r="H163" s="242"/>
      <c r="I163" s="358"/>
      <c r="J163" s="217"/>
      <c r="K163" s="54"/>
      <c r="L163" s="218"/>
      <c r="M163" s="218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</row>
    <row r="164" ht="12.75" customHeight="1">
      <c r="A164" s="353"/>
      <c r="B164" s="54"/>
      <c r="E164" s="354"/>
      <c r="F164" s="354"/>
      <c r="G164" s="354"/>
      <c r="H164" s="242"/>
      <c r="I164" s="358"/>
      <c r="J164" s="217"/>
      <c r="K164" s="54"/>
      <c r="L164" s="218"/>
      <c r="M164" s="218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</row>
    <row r="165" ht="12.75" customHeight="1">
      <c r="A165" s="353"/>
      <c r="B165" s="54"/>
      <c r="E165" s="354"/>
      <c r="F165" s="354"/>
      <c r="G165" s="354"/>
      <c r="H165" s="242"/>
      <c r="I165" s="358"/>
      <c r="J165" s="217"/>
      <c r="K165" s="54"/>
      <c r="L165" s="218"/>
      <c r="M165" s="218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</row>
    <row r="166" ht="12.75" customHeight="1">
      <c r="A166" s="353"/>
      <c r="B166" s="54"/>
      <c r="E166" s="354"/>
      <c r="F166" s="354"/>
      <c r="G166" s="354"/>
      <c r="H166" s="242"/>
      <c r="I166" s="358"/>
      <c r="J166" s="217"/>
      <c r="K166" s="54"/>
      <c r="L166" s="218"/>
      <c r="M166" s="218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</row>
    <row r="167" ht="12.75" customHeight="1">
      <c r="A167" s="353"/>
      <c r="B167" s="54"/>
      <c r="E167" s="354"/>
      <c r="F167" s="354"/>
      <c r="G167" s="354"/>
      <c r="H167" s="242"/>
      <c r="I167" s="358"/>
      <c r="J167" s="217"/>
      <c r="K167" s="54"/>
      <c r="L167" s="218"/>
      <c r="M167" s="218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</row>
    <row r="168" ht="12.75" customHeight="1">
      <c r="A168" s="353"/>
      <c r="B168" s="54"/>
      <c r="E168" s="354"/>
      <c r="F168" s="354"/>
      <c r="G168" s="354"/>
      <c r="H168" s="242"/>
      <c r="I168" s="358"/>
      <c r="J168" s="217"/>
      <c r="K168" s="54"/>
      <c r="L168" s="218"/>
      <c r="M168" s="218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</row>
    <row r="169" ht="12.75" customHeight="1">
      <c r="A169" s="353"/>
      <c r="B169" s="54"/>
      <c r="E169" s="354"/>
      <c r="F169" s="354"/>
      <c r="G169" s="354"/>
      <c r="H169" s="242"/>
      <c r="I169" s="358"/>
      <c r="J169" s="217"/>
      <c r="K169" s="54"/>
      <c r="L169" s="218"/>
      <c r="M169" s="218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</row>
    <row r="170" ht="12.75" customHeight="1">
      <c r="A170" s="353"/>
      <c r="B170" s="54"/>
      <c r="E170" s="354"/>
      <c r="F170" s="354"/>
      <c r="G170" s="354"/>
      <c r="H170" s="242"/>
      <c r="I170" s="358"/>
      <c r="J170" s="217"/>
      <c r="K170" s="54"/>
      <c r="L170" s="218"/>
      <c r="M170" s="218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</row>
    <row r="171" ht="12.75" customHeight="1">
      <c r="A171" s="353"/>
      <c r="B171" s="54"/>
      <c r="E171" s="354"/>
      <c r="F171" s="354"/>
      <c r="G171" s="354"/>
      <c r="H171" s="242"/>
      <c r="I171" s="355"/>
      <c r="J171" s="217"/>
      <c r="K171" s="54"/>
      <c r="L171" s="218"/>
      <c r="M171" s="218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</row>
    <row r="172" ht="12.75" customHeight="1">
      <c r="A172" s="353"/>
      <c r="B172" s="54"/>
      <c r="E172" s="354"/>
      <c r="F172" s="354"/>
      <c r="G172" s="354"/>
      <c r="H172" s="242"/>
      <c r="I172" s="358"/>
      <c r="J172" s="217"/>
      <c r="K172" s="54"/>
      <c r="L172" s="218"/>
      <c r="M172" s="218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</row>
    <row r="173" ht="12.75" customHeight="1">
      <c r="A173" s="353"/>
      <c r="B173" s="54"/>
      <c r="E173" s="354"/>
      <c r="F173" s="354"/>
      <c r="G173" s="354"/>
      <c r="H173" s="242"/>
      <c r="I173" s="358"/>
      <c r="J173" s="217"/>
      <c r="K173" s="54"/>
      <c r="L173" s="218"/>
      <c r="M173" s="218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</row>
    <row r="174" ht="12.75" customHeight="1">
      <c r="A174" s="353"/>
      <c r="B174" s="54"/>
      <c r="E174" s="354"/>
      <c r="F174" s="354"/>
      <c r="G174" s="354"/>
      <c r="H174" s="242"/>
      <c r="I174" s="358"/>
      <c r="J174" s="217"/>
      <c r="K174" s="54"/>
      <c r="L174" s="218"/>
      <c r="M174" s="218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</row>
    <row r="175" ht="12.75" customHeight="1">
      <c r="A175" s="353"/>
      <c r="B175" s="54"/>
      <c r="E175" s="354"/>
      <c r="F175" s="354"/>
      <c r="G175" s="354"/>
      <c r="H175" s="242"/>
      <c r="I175" s="358"/>
      <c r="J175" s="217"/>
      <c r="K175" s="54"/>
      <c r="L175" s="218"/>
      <c r="M175" s="218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</row>
    <row r="176" ht="12.75" customHeight="1">
      <c r="A176" s="353"/>
      <c r="B176" s="54"/>
      <c r="E176" s="354"/>
      <c r="F176" s="354"/>
      <c r="G176" s="354"/>
      <c r="H176" s="242"/>
      <c r="I176" s="358"/>
      <c r="J176" s="217"/>
      <c r="K176" s="54"/>
      <c r="L176" s="218"/>
      <c r="M176" s="218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</row>
    <row r="177" ht="12.75" customHeight="1">
      <c r="A177" s="353"/>
      <c r="B177" s="54"/>
      <c r="E177" s="354"/>
      <c r="F177" s="354"/>
      <c r="G177" s="354"/>
      <c r="H177" s="242"/>
      <c r="I177" s="358"/>
      <c r="J177" s="217"/>
      <c r="K177" s="54"/>
      <c r="L177" s="218"/>
      <c r="M177" s="218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</row>
    <row r="178" ht="12.75" customHeight="1">
      <c r="A178" s="353"/>
      <c r="B178" s="54"/>
      <c r="E178" s="354"/>
      <c r="F178" s="354"/>
      <c r="G178" s="354"/>
      <c r="H178" s="242"/>
      <c r="I178" s="358"/>
      <c r="J178" s="217"/>
      <c r="K178" s="54"/>
      <c r="L178" s="218"/>
      <c r="M178" s="218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</row>
    <row r="179" ht="12.75" customHeight="1">
      <c r="A179" s="353"/>
      <c r="B179" s="54"/>
      <c r="E179" s="354"/>
      <c r="F179" s="354"/>
      <c r="G179" s="354"/>
      <c r="H179" s="242"/>
      <c r="I179" s="358"/>
      <c r="J179" s="217"/>
      <c r="K179" s="54"/>
      <c r="L179" s="218"/>
      <c r="M179" s="218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</row>
    <row r="180" ht="12.75" customHeight="1">
      <c r="A180" s="353"/>
      <c r="B180" s="54"/>
      <c r="E180" s="354"/>
      <c r="F180" s="354"/>
      <c r="G180" s="354"/>
      <c r="H180" s="242"/>
      <c r="I180" s="358"/>
      <c r="J180" s="217"/>
      <c r="K180" s="54"/>
      <c r="L180" s="218"/>
      <c r="M180" s="218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</row>
    <row r="181" ht="12.75" customHeight="1">
      <c r="A181" s="353"/>
      <c r="B181" s="54"/>
      <c r="E181" s="354"/>
      <c r="F181" s="354"/>
      <c r="G181" s="354"/>
      <c r="H181" s="242"/>
      <c r="I181" s="358"/>
      <c r="J181" s="217"/>
      <c r="K181" s="54"/>
      <c r="L181" s="218"/>
      <c r="M181" s="218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</row>
    <row r="182" ht="12.75" customHeight="1">
      <c r="A182" s="353"/>
      <c r="B182" s="54"/>
      <c r="E182" s="354"/>
      <c r="F182" s="354"/>
      <c r="G182" s="354"/>
      <c r="H182" s="242"/>
      <c r="I182" s="358"/>
      <c r="J182" s="217"/>
      <c r="K182" s="54"/>
      <c r="L182" s="218"/>
      <c r="M182" s="218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</row>
    <row r="183" ht="12.75" customHeight="1">
      <c r="A183" s="353"/>
      <c r="B183" s="54"/>
      <c r="E183" s="354"/>
      <c r="F183" s="354"/>
      <c r="G183" s="354"/>
      <c r="H183" s="242"/>
      <c r="I183" s="358"/>
      <c r="J183" s="217"/>
      <c r="K183" s="54"/>
      <c r="L183" s="218"/>
      <c r="M183" s="218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</row>
    <row r="184" ht="12.75" customHeight="1">
      <c r="A184" s="353"/>
      <c r="B184" s="54"/>
      <c r="E184" s="354"/>
      <c r="F184" s="354"/>
      <c r="G184" s="354"/>
      <c r="H184" s="242"/>
      <c r="I184" s="358"/>
      <c r="J184" s="217"/>
      <c r="K184" s="54"/>
      <c r="L184" s="218"/>
      <c r="M184" s="218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</row>
    <row r="185" ht="12.75" customHeight="1">
      <c r="A185" s="353"/>
      <c r="B185" s="54"/>
      <c r="E185" s="354"/>
      <c r="F185" s="354"/>
      <c r="G185" s="354"/>
      <c r="H185" s="242"/>
      <c r="I185" s="358"/>
      <c r="J185" s="217"/>
      <c r="K185" s="54"/>
      <c r="L185" s="218"/>
      <c r="M185" s="218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</row>
    <row r="186" ht="12.75" customHeight="1">
      <c r="A186" s="353"/>
      <c r="B186" s="54"/>
      <c r="E186" s="354"/>
      <c r="F186" s="354"/>
      <c r="G186" s="354"/>
      <c r="H186" s="242"/>
      <c r="I186" s="358"/>
      <c r="J186" s="217"/>
      <c r="K186" s="54"/>
      <c r="L186" s="218"/>
      <c r="M186" s="218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</row>
    <row r="187" ht="12.75" customHeight="1">
      <c r="A187" s="353"/>
      <c r="B187" s="54"/>
      <c r="E187" s="354"/>
      <c r="F187" s="354"/>
      <c r="G187" s="354"/>
      <c r="H187" s="242"/>
      <c r="I187" s="358"/>
      <c r="J187" s="217"/>
      <c r="K187" s="54"/>
      <c r="L187" s="218"/>
      <c r="M187" s="218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</row>
    <row r="188" ht="12.75" customHeight="1">
      <c r="A188" s="353"/>
      <c r="B188" s="54"/>
      <c r="E188" s="354"/>
      <c r="F188" s="354"/>
      <c r="G188" s="354"/>
      <c r="H188" s="242"/>
      <c r="I188" s="358"/>
      <c r="J188" s="217"/>
      <c r="K188" s="54"/>
      <c r="L188" s="218"/>
      <c r="M188" s="218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</row>
    <row r="189" ht="12.75" customHeight="1">
      <c r="A189" s="353"/>
      <c r="B189" s="54"/>
      <c r="E189" s="354"/>
      <c r="F189" s="354"/>
      <c r="G189" s="354"/>
      <c r="H189" s="242"/>
      <c r="I189" s="358"/>
      <c r="J189" s="217"/>
      <c r="K189" s="54"/>
      <c r="L189" s="218"/>
      <c r="M189" s="218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</row>
    <row r="190" ht="12.75" customHeight="1">
      <c r="A190" s="353"/>
      <c r="B190" s="54"/>
      <c r="E190" s="354"/>
      <c r="F190" s="354"/>
      <c r="G190" s="354"/>
      <c r="H190" s="242"/>
      <c r="I190" s="358"/>
      <c r="J190" s="217"/>
      <c r="K190" s="54"/>
      <c r="L190" s="218"/>
      <c r="M190" s="218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</row>
    <row r="191" ht="12.75" customHeight="1">
      <c r="A191" s="353"/>
      <c r="B191" s="54"/>
      <c r="E191" s="354"/>
      <c r="F191" s="354"/>
      <c r="G191" s="354"/>
      <c r="H191" s="242"/>
      <c r="I191" s="358"/>
      <c r="J191" s="217"/>
      <c r="K191" s="54"/>
      <c r="L191" s="218"/>
      <c r="M191" s="218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</row>
    <row r="192" ht="12.75" customHeight="1">
      <c r="A192" s="353"/>
      <c r="B192" s="54"/>
      <c r="E192" s="354"/>
      <c r="F192" s="354"/>
      <c r="G192" s="354"/>
      <c r="H192" s="242"/>
      <c r="I192" s="358"/>
      <c r="J192" s="217"/>
      <c r="K192" s="54"/>
      <c r="L192" s="218"/>
      <c r="M192" s="218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</row>
    <row r="193" ht="12.75" customHeight="1">
      <c r="A193" s="353"/>
      <c r="B193" s="54"/>
      <c r="E193" s="354"/>
      <c r="F193" s="354"/>
      <c r="G193" s="354"/>
      <c r="H193" s="242"/>
      <c r="I193" s="358"/>
      <c r="J193" s="217"/>
      <c r="K193" s="54"/>
      <c r="L193" s="218"/>
      <c r="M193" s="218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</row>
    <row r="194" ht="12.75" customHeight="1">
      <c r="A194" s="353"/>
      <c r="B194" s="54"/>
      <c r="E194" s="354"/>
      <c r="F194" s="354"/>
      <c r="G194" s="354"/>
      <c r="H194" s="242"/>
      <c r="I194" s="358"/>
      <c r="J194" s="217"/>
      <c r="K194" s="54"/>
      <c r="L194" s="218"/>
      <c r="M194" s="218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</row>
    <row r="195" ht="12.75" customHeight="1">
      <c r="A195" s="353"/>
      <c r="B195" s="54"/>
      <c r="E195" s="354"/>
      <c r="F195" s="354"/>
      <c r="G195" s="354"/>
      <c r="H195" s="242"/>
      <c r="I195" s="358"/>
      <c r="J195" s="217"/>
      <c r="K195" s="54"/>
      <c r="L195" s="218"/>
      <c r="M195" s="218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</row>
    <row r="196" ht="12.75" customHeight="1">
      <c r="A196" s="353"/>
      <c r="B196" s="54"/>
      <c r="E196" s="354"/>
      <c r="F196" s="354"/>
      <c r="G196" s="354"/>
      <c r="H196" s="242"/>
      <c r="I196" s="358"/>
      <c r="J196" s="217"/>
      <c r="K196" s="54"/>
      <c r="L196" s="218"/>
      <c r="M196" s="218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</row>
    <row r="197" ht="12.75" customHeight="1">
      <c r="A197" s="353"/>
      <c r="B197" s="54"/>
      <c r="E197" s="354"/>
      <c r="F197" s="354"/>
      <c r="G197" s="354"/>
      <c r="H197" s="242"/>
      <c r="I197" s="358"/>
      <c r="J197" s="217"/>
      <c r="K197" s="54"/>
      <c r="L197" s="218"/>
      <c r="M197" s="218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</row>
    <row r="198" ht="12.75" customHeight="1">
      <c r="A198" s="353"/>
      <c r="B198" s="54"/>
      <c r="E198" s="354"/>
      <c r="F198" s="354"/>
      <c r="G198" s="354"/>
      <c r="H198" s="242"/>
      <c r="I198" s="358"/>
      <c r="J198" s="217"/>
      <c r="K198" s="54"/>
      <c r="L198" s="218"/>
      <c r="M198" s="218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</row>
    <row r="199" ht="12.75" customHeight="1">
      <c r="A199" s="353"/>
      <c r="B199" s="54"/>
      <c r="E199" s="354"/>
      <c r="F199" s="354"/>
      <c r="G199" s="354"/>
      <c r="H199" s="242"/>
      <c r="I199" s="358"/>
      <c r="J199" s="217"/>
      <c r="K199" s="54"/>
      <c r="L199" s="218"/>
      <c r="M199" s="218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</row>
    <row r="200" ht="12.75" customHeight="1">
      <c r="A200" s="353"/>
      <c r="B200" s="54"/>
      <c r="E200" s="354"/>
      <c r="F200" s="354"/>
      <c r="G200" s="354"/>
      <c r="H200" s="242"/>
      <c r="I200" s="358"/>
      <c r="J200" s="217"/>
      <c r="K200" s="54"/>
      <c r="L200" s="218"/>
      <c r="M200" s="218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</row>
    <row r="201" ht="12.75" customHeight="1">
      <c r="A201" s="353"/>
      <c r="B201" s="54"/>
      <c r="E201" s="354"/>
      <c r="F201" s="354"/>
      <c r="G201" s="354"/>
      <c r="H201" s="242"/>
      <c r="I201" s="358"/>
      <c r="J201" s="217"/>
      <c r="K201" s="54"/>
      <c r="L201" s="218"/>
      <c r="M201" s="218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</row>
    <row r="202" ht="12.75" customHeight="1">
      <c r="A202" s="353"/>
      <c r="B202" s="54"/>
      <c r="E202" s="354"/>
      <c r="F202" s="354"/>
      <c r="G202" s="354"/>
      <c r="H202" s="242"/>
      <c r="I202" s="358"/>
      <c r="J202" s="217"/>
      <c r="K202" s="54"/>
      <c r="L202" s="218"/>
      <c r="M202" s="218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</row>
    <row r="203" ht="12.75" customHeight="1">
      <c r="A203" s="353"/>
      <c r="B203" s="54"/>
      <c r="E203" s="354"/>
      <c r="F203" s="354"/>
      <c r="G203" s="354"/>
      <c r="H203" s="242"/>
      <c r="I203" s="358"/>
      <c r="J203" s="217"/>
      <c r="K203" s="54"/>
      <c r="L203" s="218"/>
      <c r="M203" s="218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</row>
    <row r="204" ht="12.75" customHeight="1">
      <c r="A204" s="353"/>
      <c r="B204" s="54"/>
      <c r="E204" s="354"/>
      <c r="F204" s="354"/>
      <c r="G204" s="354"/>
      <c r="H204" s="242"/>
      <c r="I204" s="358"/>
      <c r="J204" s="217"/>
      <c r="K204" s="54"/>
      <c r="L204" s="218"/>
      <c r="M204" s="218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</row>
    <row r="205" ht="12.75" customHeight="1">
      <c r="A205" s="353"/>
      <c r="B205" s="54"/>
      <c r="E205" s="354"/>
      <c r="F205" s="354"/>
      <c r="G205" s="354"/>
      <c r="H205" s="242"/>
      <c r="I205" s="358"/>
      <c r="J205" s="217"/>
      <c r="K205" s="54"/>
      <c r="L205" s="218"/>
      <c r="M205" s="218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</row>
    <row r="206" ht="12.75" customHeight="1">
      <c r="A206" s="353"/>
      <c r="B206" s="54"/>
      <c r="E206" s="354"/>
      <c r="F206" s="354"/>
      <c r="G206" s="354"/>
      <c r="H206" s="242"/>
      <c r="I206" s="358"/>
      <c r="J206" s="217"/>
      <c r="K206" s="54"/>
      <c r="L206" s="218"/>
      <c r="M206" s="218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</row>
    <row r="207" ht="12.75" customHeight="1">
      <c r="A207" s="353"/>
      <c r="B207" s="54"/>
      <c r="E207" s="354"/>
      <c r="F207" s="354"/>
      <c r="G207" s="354"/>
      <c r="H207" s="242"/>
      <c r="I207" s="358"/>
      <c r="J207" s="217"/>
      <c r="K207" s="54"/>
      <c r="L207" s="218"/>
      <c r="M207" s="218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</row>
    <row r="208" ht="12.75" customHeight="1">
      <c r="A208" s="353"/>
      <c r="B208" s="54"/>
      <c r="E208" s="354"/>
      <c r="F208" s="354"/>
      <c r="G208" s="354"/>
      <c r="H208" s="242"/>
      <c r="I208" s="358"/>
      <c r="J208" s="217"/>
      <c r="K208" s="54"/>
      <c r="L208" s="218"/>
      <c r="M208" s="218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</row>
    <row r="209" ht="12.75" customHeight="1">
      <c r="A209" s="353"/>
      <c r="B209" s="54"/>
      <c r="E209" s="354"/>
      <c r="F209" s="354"/>
      <c r="G209" s="354"/>
      <c r="H209" s="242"/>
      <c r="I209" s="358"/>
      <c r="J209" s="217"/>
      <c r="K209" s="54"/>
      <c r="L209" s="218"/>
      <c r="M209" s="218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</row>
    <row r="210" ht="12.75" customHeight="1">
      <c r="A210" s="353"/>
      <c r="B210" s="54"/>
      <c r="E210" s="354"/>
      <c r="F210" s="354"/>
      <c r="G210" s="354"/>
      <c r="H210" s="242"/>
      <c r="I210" s="358"/>
      <c r="J210" s="217"/>
      <c r="K210" s="54"/>
      <c r="L210" s="218"/>
      <c r="M210" s="218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</row>
    <row r="211" ht="12.75" customHeight="1">
      <c r="A211" s="353"/>
      <c r="B211" s="54"/>
      <c r="E211" s="354"/>
      <c r="F211" s="354"/>
      <c r="G211" s="354"/>
      <c r="H211" s="242"/>
      <c r="I211" s="358"/>
      <c r="J211" s="217"/>
      <c r="K211" s="54"/>
      <c r="L211" s="218"/>
      <c r="M211" s="218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</row>
    <row r="212" ht="12.75" customHeight="1">
      <c r="A212" s="353"/>
      <c r="B212" s="54"/>
      <c r="E212" s="354"/>
      <c r="F212" s="354"/>
      <c r="G212" s="354"/>
      <c r="H212" s="242"/>
      <c r="I212" s="358"/>
      <c r="J212" s="217"/>
      <c r="K212" s="54"/>
      <c r="L212" s="218"/>
      <c r="M212" s="218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</row>
    <row r="213" ht="12.75" customHeight="1">
      <c r="A213" s="353"/>
      <c r="B213" s="54"/>
      <c r="E213" s="354"/>
      <c r="F213" s="354"/>
      <c r="G213" s="354"/>
      <c r="H213" s="242"/>
      <c r="I213" s="358"/>
      <c r="J213" s="217"/>
      <c r="K213" s="54"/>
      <c r="L213" s="218"/>
      <c r="M213" s="218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</row>
    <row r="214" ht="12.75" customHeight="1">
      <c r="A214" s="353"/>
      <c r="B214" s="54"/>
      <c r="E214" s="354"/>
      <c r="F214" s="354"/>
      <c r="G214" s="354"/>
      <c r="H214" s="242"/>
      <c r="I214" s="358"/>
      <c r="J214" s="217"/>
      <c r="K214" s="54"/>
      <c r="L214" s="218"/>
      <c r="M214" s="218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</row>
    <row r="215" ht="12.75" customHeight="1">
      <c r="A215" s="353"/>
      <c r="B215" s="54"/>
      <c r="E215" s="354"/>
      <c r="F215" s="354"/>
      <c r="G215" s="354"/>
      <c r="H215" s="242"/>
      <c r="I215" s="358"/>
      <c r="J215" s="217"/>
      <c r="K215" s="54"/>
      <c r="L215" s="218"/>
      <c r="M215" s="218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</row>
    <row r="216" ht="12.75" customHeight="1">
      <c r="A216" s="353"/>
      <c r="B216" s="54"/>
      <c r="E216" s="354"/>
      <c r="F216" s="354"/>
      <c r="G216" s="354"/>
      <c r="H216" s="242"/>
      <c r="I216" s="358"/>
      <c r="J216" s="217"/>
      <c r="K216" s="54"/>
      <c r="L216" s="218"/>
      <c r="M216" s="218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</row>
    <row r="217" ht="12.75" customHeight="1">
      <c r="A217" s="353"/>
      <c r="B217" s="54"/>
      <c r="E217" s="354"/>
      <c r="F217" s="354"/>
      <c r="G217" s="354"/>
      <c r="H217" s="242"/>
      <c r="I217" s="358"/>
      <c r="J217" s="217"/>
      <c r="K217" s="54"/>
      <c r="L217" s="218"/>
      <c r="M217" s="218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</row>
    <row r="218" ht="12.75" customHeight="1">
      <c r="A218" s="353"/>
      <c r="B218" s="54"/>
      <c r="E218" s="354"/>
      <c r="F218" s="354"/>
      <c r="G218" s="354"/>
      <c r="H218" s="242"/>
      <c r="I218" s="358"/>
      <c r="J218" s="217"/>
      <c r="K218" s="54"/>
      <c r="L218" s="218"/>
      <c r="M218" s="218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</row>
    <row r="219" ht="12.75" customHeight="1">
      <c r="A219" s="353"/>
      <c r="B219" s="54"/>
      <c r="E219" s="354"/>
      <c r="F219" s="354"/>
      <c r="G219" s="354"/>
      <c r="H219" s="242"/>
      <c r="I219" s="358"/>
      <c r="J219" s="217"/>
      <c r="K219" s="54"/>
      <c r="L219" s="218"/>
      <c r="M219" s="218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</row>
    <row r="220" ht="12.75" customHeight="1">
      <c r="A220" s="353"/>
      <c r="B220" s="54"/>
      <c r="E220" s="354"/>
      <c r="F220" s="354"/>
      <c r="G220" s="354"/>
      <c r="H220" s="242"/>
      <c r="I220" s="358"/>
      <c r="J220" s="217"/>
      <c r="K220" s="54"/>
      <c r="L220" s="218"/>
      <c r="M220" s="218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</row>
    <row r="221" ht="12.75" customHeight="1">
      <c r="A221" s="353"/>
      <c r="B221" s="54"/>
      <c r="E221" s="354"/>
      <c r="F221" s="354"/>
      <c r="G221" s="354"/>
      <c r="H221" s="242"/>
      <c r="I221" s="358"/>
      <c r="J221" s="217"/>
      <c r="K221" s="54"/>
      <c r="L221" s="218"/>
      <c r="M221" s="218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</row>
    <row r="222" ht="12.75" customHeight="1">
      <c r="A222" s="353"/>
      <c r="B222" s="54"/>
      <c r="E222" s="354"/>
      <c r="F222" s="354"/>
      <c r="G222" s="354"/>
      <c r="H222" s="242"/>
      <c r="I222" s="358"/>
      <c r="J222" s="217"/>
      <c r="K222" s="54"/>
      <c r="L222" s="218"/>
      <c r="M222" s="218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</row>
    <row r="223" ht="12.75" customHeight="1">
      <c r="A223" s="353"/>
      <c r="B223" s="54"/>
      <c r="E223" s="354"/>
      <c r="F223" s="354"/>
      <c r="G223" s="354"/>
      <c r="H223" s="242"/>
      <c r="I223" s="358"/>
      <c r="J223" s="217"/>
      <c r="K223" s="54"/>
      <c r="L223" s="218"/>
      <c r="M223" s="218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</row>
    <row r="224" ht="12.75" customHeight="1">
      <c r="A224" s="353"/>
      <c r="B224" s="54"/>
      <c r="E224" s="354"/>
      <c r="F224" s="354"/>
      <c r="G224" s="354"/>
      <c r="H224" s="242"/>
      <c r="I224" s="358"/>
      <c r="J224" s="217"/>
      <c r="K224" s="54"/>
      <c r="L224" s="218"/>
      <c r="M224" s="218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</row>
    <row r="225" ht="12.75" customHeight="1">
      <c r="A225" s="353"/>
      <c r="B225" s="54"/>
      <c r="E225" s="354"/>
      <c r="F225" s="354"/>
      <c r="G225" s="354"/>
      <c r="H225" s="242"/>
      <c r="I225" s="358"/>
      <c r="J225" s="217"/>
      <c r="K225" s="54"/>
      <c r="L225" s="218"/>
      <c r="M225" s="218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</row>
    <row r="226" ht="12.75" customHeight="1">
      <c r="A226" s="353"/>
      <c r="B226" s="54"/>
      <c r="E226" s="354"/>
      <c r="F226" s="354"/>
      <c r="G226" s="354"/>
      <c r="H226" s="242"/>
      <c r="I226" s="358"/>
      <c r="J226" s="217"/>
      <c r="K226" s="54"/>
      <c r="L226" s="218"/>
      <c r="M226" s="218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</row>
    <row r="227" ht="12.75" customHeight="1">
      <c r="A227" s="353"/>
      <c r="B227" s="54"/>
      <c r="E227" s="354"/>
      <c r="F227" s="354"/>
      <c r="G227" s="354"/>
      <c r="H227" s="242"/>
      <c r="I227" s="358"/>
      <c r="J227" s="217"/>
      <c r="K227" s="54"/>
      <c r="L227" s="218"/>
      <c r="M227" s="218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</row>
    <row r="228" ht="12.75" customHeight="1">
      <c r="A228" s="353"/>
      <c r="B228" s="54"/>
      <c r="E228" s="354"/>
      <c r="F228" s="354"/>
      <c r="G228" s="354"/>
      <c r="H228" s="242"/>
      <c r="I228" s="358"/>
      <c r="J228" s="217"/>
      <c r="K228" s="54"/>
      <c r="L228" s="218"/>
      <c r="M228" s="218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</row>
    <row r="229" ht="12.75" customHeight="1">
      <c r="A229" s="353"/>
      <c r="B229" s="54"/>
      <c r="E229" s="354"/>
      <c r="F229" s="354"/>
      <c r="G229" s="354"/>
      <c r="H229" s="242"/>
      <c r="I229" s="358"/>
      <c r="J229" s="217"/>
      <c r="K229" s="54"/>
      <c r="L229" s="218"/>
      <c r="M229" s="218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</row>
    <row r="230" ht="12.75" customHeight="1">
      <c r="A230" s="353"/>
      <c r="B230" s="54"/>
      <c r="E230" s="354"/>
      <c r="F230" s="354"/>
      <c r="G230" s="354"/>
      <c r="H230" s="242"/>
      <c r="I230" s="358"/>
      <c r="J230" s="217"/>
      <c r="K230" s="54"/>
      <c r="L230" s="218"/>
      <c r="M230" s="218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</row>
    <row r="231" ht="12.75" customHeight="1">
      <c r="A231" s="353"/>
      <c r="B231" s="54"/>
      <c r="E231" s="354"/>
      <c r="F231" s="354"/>
      <c r="G231" s="354"/>
      <c r="H231" s="242"/>
      <c r="I231" s="358"/>
      <c r="J231" s="217"/>
      <c r="K231" s="54"/>
      <c r="L231" s="218"/>
      <c r="M231" s="218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</row>
    <row r="232" ht="12.75" customHeight="1">
      <c r="A232" s="353"/>
      <c r="B232" s="54"/>
      <c r="E232" s="354"/>
      <c r="F232" s="354"/>
      <c r="G232" s="354"/>
      <c r="H232" s="242"/>
      <c r="I232" s="358"/>
      <c r="J232" s="217"/>
      <c r="K232" s="54"/>
      <c r="L232" s="218"/>
      <c r="M232" s="218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</row>
    <row r="233" ht="12.75" customHeight="1">
      <c r="A233" s="353"/>
      <c r="B233" s="54"/>
      <c r="E233" s="354"/>
      <c r="F233" s="354"/>
      <c r="G233" s="354"/>
      <c r="H233" s="242"/>
      <c r="I233" s="358"/>
      <c r="J233" s="217"/>
      <c r="K233" s="54"/>
      <c r="L233" s="218"/>
      <c r="M233" s="218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</row>
    <row r="234" ht="12.75" customHeight="1">
      <c r="A234" s="353"/>
      <c r="B234" s="54"/>
      <c r="E234" s="354"/>
      <c r="F234" s="354"/>
      <c r="G234" s="354"/>
      <c r="H234" s="242"/>
      <c r="I234" s="358"/>
      <c r="J234" s="217"/>
      <c r="K234" s="54"/>
      <c r="L234" s="218"/>
      <c r="M234" s="218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</row>
    <row r="235" ht="12.75" customHeight="1">
      <c r="A235" s="353"/>
      <c r="B235" s="54"/>
      <c r="E235" s="354"/>
      <c r="F235" s="354"/>
      <c r="G235" s="354"/>
      <c r="H235" s="242"/>
      <c r="I235" s="358"/>
      <c r="J235" s="217"/>
      <c r="K235" s="54"/>
      <c r="L235" s="218"/>
      <c r="M235" s="218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</row>
    <row r="236" ht="12.75" customHeight="1">
      <c r="A236" s="353"/>
      <c r="B236" s="54"/>
      <c r="E236" s="354"/>
      <c r="F236" s="354"/>
      <c r="G236" s="354"/>
      <c r="H236" s="242"/>
      <c r="I236" s="358"/>
      <c r="J236" s="217"/>
      <c r="K236" s="54"/>
      <c r="L236" s="218"/>
      <c r="M236" s="218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</row>
    <row r="237" ht="12.75" customHeight="1">
      <c r="A237" s="353"/>
      <c r="B237" s="54"/>
      <c r="E237" s="354"/>
      <c r="F237" s="354"/>
      <c r="G237" s="354"/>
      <c r="H237" s="242"/>
      <c r="I237" s="358"/>
      <c r="J237" s="217"/>
      <c r="K237" s="54"/>
      <c r="L237" s="218"/>
      <c r="M237" s="218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</row>
    <row r="238" ht="12.75" customHeight="1">
      <c r="A238" s="353"/>
      <c r="B238" s="54"/>
      <c r="E238" s="354"/>
      <c r="F238" s="354"/>
      <c r="G238" s="354"/>
      <c r="H238" s="242"/>
      <c r="I238" s="358"/>
      <c r="J238" s="217"/>
      <c r="K238" s="54"/>
      <c r="L238" s="218"/>
      <c r="M238" s="218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</row>
    <row r="239" ht="12.75" customHeight="1">
      <c r="A239" s="353"/>
      <c r="B239" s="54"/>
      <c r="E239" s="354"/>
      <c r="F239" s="354"/>
      <c r="G239" s="354"/>
      <c r="H239" s="242"/>
      <c r="I239" s="358"/>
      <c r="J239" s="217"/>
      <c r="K239" s="54"/>
      <c r="L239" s="218"/>
      <c r="M239" s="218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</row>
    <row r="240" ht="12.75" customHeight="1">
      <c r="A240" s="353"/>
      <c r="B240" s="54"/>
      <c r="E240" s="354"/>
      <c r="F240" s="354"/>
      <c r="G240" s="354"/>
      <c r="H240" s="242"/>
      <c r="I240" s="358"/>
      <c r="J240" s="217"/>
      <c r="K240" s="54"/>
      <c r="L240" s="218"/>
      <c r="M240" s="218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</row>
    <row r="241" ht="12.75" customHeight="1">
      <c r="A241" s="353"/>
      <c r="B241" s="54"/>
      <c r="E241" s="354"/>
      <c r="F241" s="354"/>
      <c r="G241" s="354"/>
      <c r="H241" s="242"/>
      <c r="I241" s="358"/>
      <c r="J241" s="217"/>
      <c r="K241" s="54"/>
      <c r="L241" s="218"/>
      <c r="M241" s="218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</row>
    <row r="242" ht="12.75" customHeight="1">
      <c r="A242" s="353"/>
      <c r="B242" s="54"/>
      <c r="E242" s="354"/>
      <c r="F242" s="354"/>
      <c r="G242" s="354"/>
      <c r="H242" s="242"/>
      <c r="I242" s="358"/>
      <c r="J242" s="217"/>
      <c r="K242" s="54"/>
      <c r="L242" s="218"/>
      <c r="M242" s="218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</row>
    <row r="243" ht="12.75" customHeight="1">
      <c r="A243" s="353"/>
      <c r="B243" s="54"/>
      <c r="E243" s="354"/>
      <c r="F243" s="354"/>
      <c r="G243" s="354"/>
      <c r="H243" s="242"/>
      <c r="I243" s="358"/>
      <c r="J243" s="217"/>
      <c r="K243" s="54"/>
      <c r="L243" s="218"/>
      <c r="M243" s="218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</row>
    <row r="244" ht="12.75" customHeight="1">
      <c r="A244" s="353"/>
      <c r="B244" s="54"/>
      <c r="E244" s="354"/>
      <c r="F244" s="354"/>
      <c r="G244" s="354"/>
      <c r="H244" s="242"/>
      <c r="I244" s="358"/>
      <c r="J244" s="217"/>
      <c r="K244" s="54"/>
      <c r="L244" s="218"/>
      <c r="M244" s="218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</row>
    <row r="245" ht="12.75" customHeight="1">
      <c r="A245" s="353"/>
      <c r="B245" s="54"/>
      <c r="E245" s="354"/>
      <c r="F245" s="354"/>
      <c r="G245" s="354"/>
      <c r="H245" s="242"/>
      <c r="I245" s="358"/>
      <c r="J245" s="217"/>
      <c r="K245" s="54"/>
      <c r="L245" s="218"/>
      <c r="M245" s="218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</row>
    <row r="246" ht="12.75" customHeight="1">
      <c r="A246" s="353"/>
      <c r="B246" s="54"/>
      <c r="E246" s="354"/>
      <c r="F246" s="354"/>
      <c r="G246" s="354"/>
      <c r="H246" s="242"/>
      <c r="I246" s="358"/>
      <c r="J246" s="217"/>
      <c r="K246" s="54"/>
      <c r="L246" s="218"/>
      <c r="M246" s="218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</row>
    <row r="247" ht="12.75" customHeight="1">
      <c r="A247" s="353"/>
      <c r="B247" s="54"/>
      <c r="E247" s="354"/>
      <c r="F247" s="354"/>
      <c r="G247" s="354"/>
      <c r="H247" s="242"/>
      <c r="I247" s="358"/>
      <c r="J247" s="217"/>
      <c r="K247" s="54"/>
      <c r="L247" s="218"/>
      <c r="M247" s="218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</row>
    <row r="248" ht="12.75" customHeight="1">
      <c r="A248" s="353"/>
      <c r="B248" s="54"/>
      <c r="E248" s="354"/>
      <c r="F248" s="354"/>
      <c r="G248" s="354"/>
      <c r="H248" s="242"/>
      <c r="I248" s="358"/>
      <c r="J248" s="217"/>
      <c r="K248" s="54"/>
      <c r="L248" s="218"/>
      <c r="M248" s="218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</row>
    <row r="249" ht="12.75" customHeight="1">
      <c r="A249" s="353"/>
      <c r="B249" s="54"/>
      <c r="E249" s="354"/>
      <c r="F249" s="354"/>
      <c r="G249" s="354"/>
      <c r="H249" s="242"/>
      <c r="I249" s="358"/>
      <c r="J249" s="217"/>
      <c r="K249" s="54"/>
      <c r="L249" s="218"/>
      <c r="M249" s="218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</row>
    <row r="250" ht="12.75" customHeight="1">
      <c r="A250" s="353"/>
      <c r="B250" s="54"/>
      <c r="E250" s="354"/>
      <c r="F250" s="354"/>
      <c r="G250" s="354"/>
      <c r="H250" s="242"/>
      <c r="I250" s="358"/>
      <c r="J250" s="217"/>
      <c r="K250" s="54"/>
      <c r="L250" s="218"/>
      <c r="M250" s="218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</row>
    <row r="251" ht="12.75" customHeight="1">
      <c r="A251" s="353"/>
      <c r="B251" s="54"/>
      <c r="E251" s="354"/>
      <c r="F251" s="354"/>
      <c r="G251" s="354"/>
      <c r="H251" s="242"/>
      <c r="I251" s="358"/>
      <c r="J251" s="217"/>
      <c r="K251" s="54"/>
      <c r="L251" s="218"/>
      <c r="M251" s="218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</row>
    <row r="252" ht="12.75" customHeight="1">
      <c r="A252" s="353"/>
      <c r="B252" s="54"/>
      <c r="E252" s="354"/>
      <c r="F252" s="354"/>
      <c r="G252" s="354"/>
      <c r="H252" s="242"/>
      <c r="I252" s="358"/>
      <c r="J252" s="217"/>
      <c r="K252" s="54"/>
      <c r="L252" s="218"/>
      <c r="M252" s="218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</row>
    <row r="253" ht="12.75" customHeight="1">
      <c r="A253" s="353"/>
      <c r="B253" s="54"/>
      <c r="E253" s="354"/>
      <c r="F253" s="354"/>
      <c r="G253" s="354"/>
      <c r="H253" s="242"/>
      <c r="I253" s="358"/>
      <c r="J253" s="217"/>
      <c r="K253" s="54"/>
      <c r="L253" s="218"/>
      <c r="M253" s="218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</row>
    <row r="254" ht="12.75" customHeight="1">
      <c r="A254" s="353"/>
      <c r="B254" s="54"/>
      <c r="E254" s="354"/>
      <c r="F254" s="354"/>
      <c r="G254" s="354"/>
      <c r="H254" s="242"/>
      <c r="I254" s="358"/>
      <c r="J254" s="217"/>
      <c r="K254" s="54"/>
      <c r="L254" s="218"/>
      <c r="M254" s="218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</row>
    <row r="255" ht="12.75" customHeight="1">
      <c r="A255" s="353"/>
      <c r="B255" s="54"/>
      <c r="E255" s="354"/>
      <c r="F255" s="354"/>
      <c r="G255" s="354"/>
      <c r="H255" s="242"/>
      <c r="I255" s="358"/>
      <c r="J255" s="217"/>
      <c r="K255" s="54"/>
      <c r="L255" s="218"/>
      <c r="M255" s="218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</row>
    <row r="256" ht="12.75" customHeight="1">
      <c r="A256" s="353"/>
      <c r="B256" s="54"/>
      <c r="E256" s="354"/>
      <c r="F256" s="354"/>
      <c r="G256" s="354"/>
      <c r="H256" s="242"/>
      <c r="I256" s="358"/>
      <c r="J256" s="217"/>
      <c r="K256" s="54"/>
      <c r="L256" s="218"/>
      <c r="M256" s="218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</row>
    <row r="257" ht="12.75" customHeight="1">
      <c r="A257" s="353"/>
      <c r="B257" s="54"/>
      <c r="E257" s="354"/>
      <c r="F257" s="354"/>
      <c r="G257" s="354"/>
      <c r="H257" s="242"/>
      <c r="I257" s="358"/>
      <c r="J257" s="217"/>
      <c r="K257" s="54"/>
      <c r="L257" s="218"/>
      <c r="M257" s="218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</row>
    <row r="258" ht="12.75" customHeight="1">
      <c r="A258" s="353"/>
      <c r="B258" s="54"/>
      <c r="E258" s="354"/>
      <c r="F258" s="354"/>
      <c r="G258" s="354"/>
      <c r="H258" s="242"/>
      <c r="I258" s="358"/>
      <c r="J258" s="217"/>
      <c r="K258" s="54"/>
      <c r="L258" s="218"/>
      <c r="M258" s="218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</row>
    <row r="259" ht="12.75" customHeight="1">
      <c r="A259" s="353"/>
      <c r="B259" s="54"/>
      <c r="E259" s="354"/>
      <c r="F259" s="354"/>
      <c r="G259" s="354"/>
      <c r="H259" s="242"/>
      <c r="I259" s="358"/>
      <c r="J259" s="217"/>
      <c r="K259" s="54"/>
      <c r="L259" s="218"/>
      <c r="M259" s="218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</row>
    <row r="260" ht="12.75" customHeight="1">
      <c r="A260" s="353"/>
      <c r="B260" s="54"/>
      <c r="E260" s="354"/>
      <c r="F260" s="354"/>
      <c r="G260" s="354"/>
      <c r="H260" s="242"/>
      <c r="I260" s="358"/>
      <c r="J260" s="217"/>
      <c r="K260" s="54"/>
      <c r="L260" s="218"/>
      <c r="M260" s="218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</row>
    <row r="261" ht="12.75" customHeight="1">
      <c r="A261" s="353"/>
      <c r="B261" s="54"/>
      <c r="E261" s="354"/>
      <c r="F261" s="354"/>
      <c r="G261" s="354"/>
      <c r="H261" s="242"/>
      <c r="I261" s="358"/>
      <c r="J261" s="217"/>
      <c r="K261" s="54"/>
      <c r="L261" s="218"/>
      <c r="M261" s="218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</row>
    <row r="262" ht="12.75" customHeight="1">
      <c r="A262" s="353"/>
      <c r="B262" s="54"/>
      <c r="E262" s="354"/>
      <c r="F262" s="354"/>
      <c r="G262" s="354"/>
      <c r="H262" s="242"/>
      <c r="I262" s="358"/>
      <c r="J262" s="217"/>
      <c r="K262" s="54"/>
      <c r="L262" s="218"/>
      <c r="M262" s="218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</row>
    <row r="263" ht="12.75" customHeight="1">
      <c r="A263" s="353"/>
      <c r="B263" s="54"/>
      <c r="E263" s="354"/>
      <c r="F263" s="354"/>
      <c r="G263" s="354"/>
      <c r="H263" s="242"/>
      <c r="I263" s="358"/>
      <c r="J263" s="217"/>
      <c r="K263" s="54"/>
      <c r="L263" s="218"/>
      <c r="M263" s="218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</row>
    <row r="264" ht="12.75" customHeight="1">
      <c r="A264" s="353"/>
      <c r="B264" s="54"/>
      <c r="E264" s="354"/>
      <c r="F264" s="354"/>
      <c r="G264" s="354"/>
      <c r="H264" s="242"/>
      <c r="I264" s="358"/>
      <c r="J264" s="217"/>
      <c r="K264" s="54"/>
      <c r="L264" s="218"/>
      <c r="M264" s="218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</row>
    <row r="265" ht="12.75" customHeight="1">
      <c r="A265" s="353"/>
      <c r="B265" s="54"/>
      <c r="E265" s="354"/>
      <c r="F265" s="354"/>
      <c r="G265" s="354"/>
      <c r="H265" s="242"/>
      <c r="I265" s="358"/>
      <c r="J265" s="217"/>
      <c r="K265" s="54"/>
      <c r="L265" s="218"/>
      <c r="M265" s="218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</row>
    <row r="266" ht="12.75" customHeight="1">
      <c r="A266" s="353"/>
      <c r="B266" s="54"/>
      <c r="E266" s="354"/>
      <c r="F266" s="354"/>
      <c r="G266" s="354"/>
      <c r="H266" s="242"/>
      <c r="I266" s="358"/>
      <c r="J266" s="217"/>
      <c r="K266" s="54"/>
      <c r="L266" s="218"/>
      <c r="M266" s="218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</row>
    <row r="267" ht="12.75" customHeight="1">
      <c r="A267" s="353"/>
      <c r="B267" s="54"/>
      <c r="E267" s="354"/>
      <c r="F267" s="354"/>
      <c r="G267" s="354"/>
      <c r="H267" s="242"/>
      <c r="I267" s="358"/>
      <c r="J267" s="217"/>
      <c r="K267" s="54"/>
      <c r="L267" s="218"/>
      <c r="M267" s="218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</row>
    <row r="268" ht="12.75" customHeight="1">
      <c r="A268" s="353"/>
      <c r="B268" s="54"/>
      <c r="E268" s="354"/>
      <c r="F268" s="354"/>
      <c r="G268" s="354"/>
      <c r="H268" s="242"/>
      <c r="I268" s="358"/>
      <c r="J268" s="217"/>
      <c r="K268" s="54"/>
      <c r="L268" s="218"/>
      <c r="M268" s="218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</row>
    <row r="269" ht="12.75" customHeight="1">
      <c r="A269" s="353"/>
      <c r="B269" s="54"/>
      <c r="E269" s="354"/>
      <c r="F269" s="354"/>
      <c r="G269" s="354"/>
      <c r="H269" s="242"/>
      <c r="I269" s="358"/>
      <c r="J269" s="217"/>
      <c r="K269" s="54"/>
      <c r="L269" s="218"/>
      <c r="M269" s="218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</row>
    <row r="270" ht="12.75" customHeight="1">
      <c r="A270" s="353"/>
      <c r="B270" s="54"/>
      <c r="E270" s="354"/>
      <c r="F270" s="354"/>
      <c r="G270" s="354"/>
      <c r="H270" s="242"/>
      <c r="I270" s="358"/>
      <c r="J270" s="217"/>
      <c r="K270" s="54"/>
      <c r="L270" s="218"/>
      <c r="M270" s="218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</row>
    <row r="271" ht="12.75" customHeight="1">
      <c r="A271" s="353"/>
      <c r="B271" s="54"/>
      <c r="E271" s="354"/>
      <c r="F271" s="354"/>
      <c r="G271" s="354"/>
      <c r="H271" s="242"/>
      <c r="I271" s="358"/>
      <c r="J271" s="217"/>
      <c r="K271" s="54"/>
      <c r="L271" s="218"/>
      <c r="M271" s="218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</row>
    <row r="272" ht="12.75" customHeight="1">
      <c r="A272" s="353"/>
      <c r="B272" s="54"/>
      <c r="E272" s="354"/>
      <c r="F272" s="354"/>
      <c r="G272" s="354"/>
      <c r="H272" s="242"/>
      <c r="I272" s="358"/>
      <c r="J272" s="217"/>
      <c r="K272" s="54"/>
      <c r="L272" s="218"/>
      <c r="M272" s="218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</row>
    <row r="273" ht="12.75" customHeight="1">
      <c r="A273" s="353"/>
      <c r="B273" s="54"/>
      <c r="E273" s="354"/>
      <c r="F273" s="354"/>
      <c r="G273" s="354"/>
      <c r="H273" s="242"/>
      <c r="I273" s="358"/>
      <c r="J273" s="217"/>
      <c r="K273" s="54"/>
      <c r="L273" s="218"/>
      <c r="M273" s="218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</row>
    <row r="274" ht="12.75" customHeight="1">
      <c r="A274" s="353"/>
      <c r="B274" s="54"/>
      <c r="E274" s="354"/>
      <c r="F274" s="354"/>
      <c r="G274" s="354"/>
      <c r="H274" s="242"/>
      <c r="I274" s="358"/>
      <c r="J274" s="217"/>
      <c r="K274" s="54"/>
      <c r="L274" s="218"/>
      <c r="M274" s="218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</row>
    <row r="275" ht="12.75" customHeight="1">
      <c r="A275" s="353"/>
      <c r="B275" s="54"/>
      <c r="E275" s="354"/>
      <c r="F275" s="354"/>
      <c r="G275" s="354"/>
      <c r="H275" s="242"/>
      <c r="I275" s="358"/>
      <c r="J275" s="217"/>
      <c r="K275" s="54"/>
      <c r="L275" s="218"/>
      <c r="M275" s="218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</row>
    <row r="276" ht="12.75" customHeight="1">
      <c r="A276" s="353"/>
      <c r="B276" s="54"/>
      <c r="E276" s="354"/>
      <c r="F276" s="354"/>
      <c r="G276" s="354"/>
      <c r="H276" s="242"/>
      <c r="I276" s="358"/>
      <c r="J276" s="217"/>
      <c r="K276" s="54"/>
      <c r="L276" s="218"/>
      <c r="M276" s="218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</row>
    <row r="277" ht="12.75" customHeight="1">
      <c r="A277" s="353"/>
      <c r="B277" s="54"/>
      <c r="E277" s="354"/>
      <c r="F277" s="354"/>
      <c r="G277" s="354"/>
      <c r="H277" s="242"/>
      <c r="I277" s="358"/>
      <c r="J277" s="217"/>
      <c r="K277" s="54"/>
      <c r="L277" s="218"/>
      <c r="M277" s="218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</row>
    <row r="278" ht="12.75" customHeight="1">
      <c r="A278" s="353"/>
      <c r="B278" s="54"/>
      <c r="E278" s="354"/>
      <c r="F278" s="354"/>
      <c r="G278" s="354"/>
      <c r="H278" s="242"/>
      <c r="I278" s="358"/>
      <c r="J278" s="217"/>
      <c r="K278" s="54"/>
      <c r="L278" s="218"/>
      <c r="M278" s="218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</row>
    <row r="279" ht="12.75" customHeight="1">
      <c r="A279" s="353"/>
      <c r="B279" s="54"/>
      <c r="E279" s="354"/>
      <c r="F279" s="354"/>
      <c r="G279" s="354"/>
      <c r="H279" s="242"/>
      <c r="I279" s="358"/>
      <c r="J279" s="217"/>
      <c r="K279" s="54"/>
      <c r="L279" s="218"/>
      <c r="M279" s="218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</row>
    <row r="280" ht="12.75" customHeight="1">
      <c r="A280" s="353"/>
      <c r="B280" s="54"/>
      <c r="E280" s="354"/>
      <c r="F280" s="354"/>
      <c r="G280" s="354"/>
      <c r="H280" s="242"/>
      <c r="I280" s="358"/>
      <c r="J280" s="217"/>
      <c r="K280" s="54"/>
      <c r="L280" s="218"/>
      <c r="M280" s="218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</row>
    <row r="281" ht="12.75" customHeight="1">
      <c r="A281" s="353"/>
      <c r="B281" s="54"/>
      <c r="E281" s="354"/>
      <c r="F281" s="354"/>
      <c r="G281" s="354"/>
      <c r="H281" s="242"/>
      <c r="I281" s="358"/>
      <c r="J281" s="217"/>
      <c r="K281" s="54"/>
      <c r="L281" s="218"/>
      <c r="M281" s="218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</row>
    <row r="282" ht="12.75" customHeight="1">
      <c r="A282" s="353"/>
      <c r="B282" s="54"/>
      <c r="E282" s="354"/>
      <c r="F282" s="354"/>
      <c r="G282" s="354"/>
      <c r="H282" s="242"/>
      <c r="I282" s="358"/>
      <c r="J282" s="217"/>
      <c r="K282" s="54"/>
      <c r="L282" s="218"/>
      <c r="M282" s="218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</row>
    <row r="283" ht="12.75" customHeight="1">
      <c r="A283" s="353"/>
      <c r="B283" s="54"/>
      <c r="E283" s="354"/>
      <c r="F283" s="354"/>
      <c r="G283" s="354"/>
      <c r="H283" s="242"/>
      <c r="I283" s="358"/>
      <c r="J283" s="217"/>
      <c r="K283" s="54"/>
      <c r="L283" s="218"/>
      <c r="M283" s="218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</row>
    <row r="284" ht="12.75" customHeight="1">
      <c r="A284" s="353"/>
      <c r="B284" s="54"/>
      <c r="E284" s="354"/>
      <c r="F284" s="354"/>
      <c r="G284" s="354"/>
      <c r="H284" s="242"/>
      <c r="I284" s="358"/>
      <c r="J284" s="217"/>
      <c r="K284" s="54"/>
      <c r="L284" s="218"/>
      <c r="M284" s="218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</row>
    <row r="285" ht="12.75" customHeight="1">
      <c r="A285" s="353"/>
      <c r="B285" s="54"/>
      <c r="E285" s="354"/>
      <c r="F285" s="354"/>
      <c r="G285" s="354"/>
      <c r="H285" s="242"/>
      <c r="I285" s="358"/>
      <c r="J285" s="217"/>
      <c r="K285" s="54"/>
      <c r="L285" s="218"/>
      <c r="M285" s="218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</row>
    <row r="286" ht="12.75" customHeight="1">
      <c r="A286" s="353"/>
      <c r="B286" s="54"/>
      <c r="E286" s="354"/>
      <c r="F286" s="354"/>
      <c r="G286" s="354"/>
      <c r="H286" s="242"/>
      <c r="I286" s="358"/>
      <c r="J286" s="217"/>
      <c r="K286" s="54"/>
      <c r="L286" s="218"/>
      <c r="M286" s="218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</row>
    <row r="287" ht="12.75" customHeight="1">
      <c r="A287" s="353"/>
      <c r="B287" s="54"/>
      <c r="E287" s="354"/>
      <c r="F287" s="354"/>
      <c r="G287" s="354"/>
      <c r="H287" s="242"/>
      <c r="I287" s="358"/>
      <c r="J287" s="217"/>
      <c r="K287" s="54"/>
      <c r="L287" s="218"/>
      <c r="M287" s="218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</row>
    <row r="288" ht="12.75" customHeight="1">
      <c r="A288" s="353"/>
      <c r="B288" s="54"/>
      <c r="E288" s="354"/>
      <c r="F288" s="354"/>
      <c r="G288" s="354"/>
      <c r="H288" s="242"/>
      <c r="I288" s="358"/>
      <c r="J288" s="217"/>
      <c r="K288" s="54"/>
      <c r="L288" s="218"/>
      <c r="M288" s="218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</row>
    <row r="289" ht="12.75" customHeight="1">
      <c r="A289" s="353"/>
      <c r="B289" s="54"/>
      <c r="E289" s="354"/>
      <c r="F289" s="354"/>
      <c r="G289" s="354"/>
      <c r="H289" s="242"/>
      <c r="I289" s="358"/>
      <c r="J289" s="217"/>
      <c r="K289" s="54"/>
      <c r="L289" s="218"/>
      <c r="M289" s="218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</row>
    <row r="290" ht="12.75" customHeight="1">
      <c r="A290" s="353"/>
      <c r="B290" s="54"/>
      <c r="E290" s="354"/>
      <c r="F290" s="354"/>
      <c r="G290" s="354"/>
      <c r="H290" s="242"/>
      <c r="I290" s="358"/>
      <c r="J290" s="217"/>
      <c r="K290" s="54"/>
      <c r="L290" s="218"/>
      <c r="M290" s="218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</row>
    <row r="291" ht="12.75" customHeight="1">
      <c r="A291" s="353"/>
      <c r="B291" s="54"/>
      <c r="E291" s="354"/>
      <c r="F291" s="354"/>
      <c r="G291" s="354"/>
      <c r="H291" s="242"/>
      <c r="I291" s="358"/>
      <c r="J291" s="217"/>
      <c r="K291" s="54"/>
      <c r="L291" s="218"/>
      <c r="M291" s="218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</row>
    <row r="292" ht="12.75" customHeight="1">
      <c r="A292" s="353"/>
      <c r="B292" s="54"/>
      <c r="E292" s="354"/>
      <c r="F292" s="354"/>
      <c r="G292" s="354"/>
      <c r="H292" s="242"/>
      <c r="I292" s="358"/>
      <c r="J292" s="217"/>
      <c r="K292" s="54"/>
      <c r="L292" s="218"/>
      <c r="M292" s="218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</row>
    <row r="293" ht="12.75" customHeight="1">
      <c r="A293" s="353"/>
      <c r="B293" s="54"/>
      <c r="E293" s="354"/>
      <c r="F293" s="354"/>
      <c r="G293" s="354"/>
      <c r="H293" s="242"/>
      <c r="I293" s="358"/>
      <c r="J293" s="217"/>
      <c r="K293" s="54"/>
      <c r="L293" s="218"/>
      <c r="M293" s="218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</row>
    <row r="294" ht="12.75" customHeight="1">
      <c r="A294" s="353"/>
      <c r="B294" s="54"/>
      <c r="E294" s="354"/>
      <c r="F294" s="354"/>
      <c r="G294" s="354"/>
      <c r="H294" s="242"/>
      <c r="I294" s="358"/>
      <c r="J294" s="217"/>
      <c r="K294" s="54"/>
      <c r="L294" s="218"/>
      <c r="M294" s="218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</row>
    <row r="295" ht="12.75" customHeight="1">
      <c r="A295" s="353"/>
      <c r="B295" s="54"/>
      <c r="E295" s="354"/>
      <c r="F295" s="354"/>
      <c r="G295" s="354"/>
      <c r="H295" s="242"/>
      <c r="I295" s="358"/>
      <c r="J295" s="217"/>
      <c r="K295" s="54"/>
      <c r="L295" s="218"/>
      <c r="M295" s="218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</row>
    <row r="296" ht="12.75" customHeight="1">
      <c r="A296" s="353"/>
      <c r="B296" s="54"/>
      <c r="E296" s="354"/>
      <c r="F296" s="354"/>
      <c r="G296" s="354"/>
      <c r="H296" s="242"/>
      <c r="I296" s="358"/>
      <c r="J296" s="217"/>
      <c r="K296" s="54"/>
      <c r="L296" s="218"/>
      <c r="M296" s="218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</row>
    <row r="297" ht="12.75" customHeight="1">
      <c r="A297" s="353"/>
      <c r="B297" s="54"/>
      <c r="E297" s="354"/>
      <c r="F297" s="354"/>
      <c r="G297" s="354"/>
      <c r="H297" s="242"/>
      <c r="I297" s="358"/>
      <c r="J297" s="217"/>
      <c r="K297" s="54"/>
      <c r="L297" s="218"/>
      <c r="M297" s="218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</row>
    <row r="298" ht="12.75" customHeight="1">
      <c r="A298" s="353"/>
      <c r="B298" s="54"/>
      <c r="E298" s="354"/>
      <c r="F298" s="354"/>
      <c r="G298" s="354"/>
      <c r="H298" s="242"/>
      <c r="I298" s="358"/>
      <c r="J298" s="217"/>
      <c r="K298" s="54"/>
      <c r="L298" s="218"/>
      <c r="M298" s="218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</row>
    <row r="299" ht="12.75" customHeight="1">
      <c r="A299" s="353"/>
      <c r="B299" s="54"/>
      <c r="E299" s="354"/>
      <c r="F299" s="354"/>
      <c r="G299" s="354"/>
      <c r="H299" s="242"/>
      <c r="I299" s="358"/>
      <c r="J299" s="217"/>
      <c r="K299" s="54"/>
      <c r="L299" s="218"/>
      <c r="M299" s="218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</row>
    <row r="300" ht="12.75" customHeight="1">
      <c r="A300" s="353"/>
      <c r="B300" s="54"/>
      <c r="E300" s="354"/>
      <c r="F300" s="354"/>
      <c r="G300" s="354"/>
      <c r="H300" s="242"/>
      <c r="I300" s="358"/>
      <c r="J300" s="217"/>
      <c r="K300" s="54"/>
      <c r="L300" s="218"/>
      <c r="M300" s="218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</row>
    <row r="301" ht="12.75" customHeight="1">
      <c r="A301" s="353"/>
      <c r="B301" s="54"/>
      <c r="E301" s="354"/>
      <c r="F301" s="354"/>
      <c r="G301" s="354"/>
      <c r="H301" s="242"/>
      <c r="I301" s="358"/>
      <c r="J301" s="217"/>
      <c r="K301" s="54"/>
      <c r="L301" s="218"/>
      <c r="M301" s="218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</row>
    <row r="302" ht="12.75" customHeight="1">
      <c r="A302" s="353"/>
      <c r="B302" s="54"/>
      <c r="E302" s="354"/>
      <c r="F302" s="354"/>
      <c r="G302" s="354"/>
      <c r="H302" s="242"/>
      <c r="I302" s="358"/>
      <c r="J302" s="217"/>
      <c r="K302" s="54"/>
      <c r="L302" s="218"/>
      <c r="M302" s="218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</row>
    <row r="303" ht="12.75" customHeight="1">
      <c r="A303" s="353"/>
      <c r="B303" s="54"/>
      <c r="E303" s="354"/>
      <c r="F303" s="354"/>
      <c r="G303" s="354"/>
      <c r="H303" s="242"/>
      <c r="I303" s="358"/>
      <c r="J303" s="217"/>
      <c r="K303" s="54"/>
      <c r="L303" s="218"/>
      <c r="M303" s="218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</row>
    <row r="304" ht="12.75" customHeight="1">
      <c r="A304" s="353"/>
      <c r="B304" s="54"/>
      <c r="E304" s="354"/>
      <c r="F304" s="354"/>
      <c r="G304" s="354"/>
      <c r="H304" s="242"/>
      <c r="I304" s="358"/>
      <c r="J304" s="217"/>
      <c r="K304" s="54"/>
      <c r="L304" s="218"/>
      <c r="M304" s="218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</row>
    <row r="305" ht="12.75" customHeight="1">
      <c r="A305" s="353"/>
      <c r="B305" s="54"/>
      <c r="E305" s="354"/>
      <c r="F305" s="354"/>
      <c r="G305" s="354"/>
      <c r="H305" s="242"/>
      <c r="I305" s="358"/>
      <c r="J305" s="217"/>
      <c r="K305" s="54"/>
      <c r="L305" s="218"/>
      <c r="M305" s="218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</row>
    <row r="306" ht="12.75" customHeight="1">
      <c r="A306" s="353"/>
      <c r="B306" s="54"/>
      <c r="E306" s="354"/>
      <c r="F306" s="354"/>
      <c r="G306" s="354"/>
      <c r="H306" s="242"/>
      <c r="I306" s="358"/>
      <c r="J306" s="217"/>
      <c r="K306" s="54"/>
      <c r="L306" s="218"/>
      <c r="M306" s="218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</row>
    <row r="307" ht="12.75" customHeight="1">
      <c r="A307" s="353"/>
      <c r="B307" s="54"/>
      <c r="E307" s="354"/>
      <c r="F307" s="354"/>
      <c r="G307" s="354"/>
      <c r="H307" s="242"/>
      <c r="I307" s="358"/>
      <c r="J307" s="217"/>
      <c r="K307" s="54"/>
      <c r="L307" s="218"/>
      <c r="M307" s="218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</row>
    <row r="308" ht="12.75" customHeight="1">
      <c r="A308" s="353"/>
      <c r="B308" s="54"/>
      <c r="E308" s="354"/>
      <c r="F308" s="354"/>
      <c r="G308" s="354"/>
      <c r="H308" s="242"/>
      <c r="I308" s="358"/>
      <c r="J308" s="217"/>
      <c r="K308" s="54"/>
      <c r="L308" s="218"/>
      <c r="M308" s="218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</row>
    <row r="309" ht="12.75" customHeight="1">
      <c r="A309" s="353"/>
      <c r="B309" s="54"/>
      <c r="E309" s="354"/>
      <c r="F309" s="354"/>
      <c r="G309" s="354"/>
      <c r="H309" s="242"/>
      <c r="I309" s="358"/>
      <c r="J309" s="217"/>
      <c r="K309" s="54"/>
      <c r="L309" s="218"/>
      <c r="M309" s="218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</row>
    <row r="310" ht="12.75" customHeight="1">
      <c r="A310" s="353"/>
      <c r="B310" s="54"/>
      <c r="E310" s="354"/>
      <c r="F310" s="354"/>
      <c r="G310" s="354"/>
      <c r="H310" s="242"/>
      <c r="I310" s="358"/>
      <c r="J310" s="217"/>
      <c r="K310" s="54"/>
      <c r="L310" s="218"/>
      <c r="M310" s="218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</row>
    <row r="311" ht="12.75" customHeight="1">
      <c r="A311" s="353"/>
      <c r="B311" s="54"/>
      <c r="E311" s="354"/>
      <c r="F311" s="354"/>
      <c r="G311" s="354"/>
      <c r="H311" s="242"/>
      <c r="I311" s="358"/>
      <c r="J311" s="217"/>
      <c r="K311" s="54"/>
      <c r="L311" s="218"/>
      <c r="M311" s="218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</row>
    <row r="312" ht="12.75" customHeight="1">
      <c r="A312" s="353"/>
      <c r="B312" s="54"/>
      <c r="E312" s="354"/>
      <c r="F312" s="354"/>
      <c r="G312" s="354"/>
      <c r="H312" s="242"/>
      <c r="I312" s="358"/>
      <c r="J312" s="217"/>
      <c r="K312" s="54"/>
      <c r="L312" s="218"/>
      <c r="M312" s="218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</row>
    <row r="313" ht="12.75" customHeight="1">
      <c r="A313" s="353"/>
      <c r="B313" s="54"/>
      <c r="E313" s="354"/>
      <c r="F313" s="354"/>
      <c r="G313" s="354"/>
      <c r="H313" s="242"/>
      <c r="I313" s="358"/>
      <c r="J313" s="217"/>
      <c r="K313" s="54"/>
      <c r="L313" s="218"/>
      <c r="M313" s="218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</row>
    <row r="314" ht="12.75" customHeight="1">
      <c r="A314" s="353"/>
      <c r="B314" s="54"/>
      <c r="E314" s="354"/>
      <c r="F314" s="354"/>
      <c r="G314" s="354"/>
      <c r="H314" s="242"/>
      <c r="I314" s="358"/>
      <c r="J314" s="217"/>
      <c r="K314" s="54"/>
      <c r="L314" s="218"/>
      <c r="M314" s="218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</row>
    <row r="315" ht="12.75" customHeight="1">
      <c r="A315" s="353"/>
      <c r="B315" s="54"/>
      <c r="E315" s="354"/>
      <c r="F315" s="354"/>
      <c r="G315" s="354"/>
      <c r="H315" s="242"/>
      <c r="I315" s="358"/>
      <c r="J315" s="217"/>
      <c r="K315" s="54"/>
      <c r="L315" s="218"/>
      <c r="M315" s="218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</row>
    <row r="316" ht="12.75" customHeight="1">
      <c r="A316" s="353"/>
      <c r="B316" s="54"/>
      <c r="E316" s="354"/>
      <c r="F316" s="354"/>
      <c r="G316" s="354"/>
      <c r="H316" s="242"/>
      <c r="I316" s="358"/>
      <c r="J316" s="217"/>
      <c r="K316" s="54"/>
      <c r="L316" s="218"/>
      <c r="M316" s="218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</row>
    <row r="317" ht="12.75" customHeight="1">
      <c r="A317" s="353"/>
      <c r="B317" s="54"/>
      <c r="E317" s="354"/>
      <c r="F317" s="354"/>
      <c r="G317" s="354"/>
      <c r="H317" s="242"/>
      <c r="I317" s="358"/>
      <c r="J317" s="217"/>
      <c r="K317" s="54"/>
      <c r="L317" s="218"/>
      <c r="M317" s="218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</row>
    <row r="318" ht="12.75" customHeight="1">
      <c r="A318" s="353"/>
      <c r="B318" s="54"/>
      <c r="E318" s="354"/>
      <c r="F318" s="354"/>
      <c r="G318" s="354"/>
      <c r="H318" s="242"/>
      <c r="I318" s="358"/>
      <c r="J318" s="217"/>
      <c r="K318" s="54"/>
      <c r="L318" s="218"/>
      <c r="M318" s="218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</row>
    <row r="319" ht="12.75" customHeight="1">
      <c r="A319" s="353"/>
      <c r="B319" s="54"/>
      <c r="E319" s="354"/>
      <c r="F319" s="354"/>
      <c r="G319" s="354"/>
      <c r="H319" s="242"/>
      <c r="I319" s="358"/>
      <c r="J319" s="217"/>
      <c r="K319" s="54"/>
      <c r="L319" s="218"/>
      <c r="M319" s="218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</row>
    <row r="320" ht="12.75" customHeight="1">
      <c r="A320" s="353"/>
      <c r="B320" s="54"/>
      <c r="E320" s="354"/>
      <c r="F320" s="354"/>
      <c r="G320" s="354"/>
      <c r="H320" s="242"/>
      <c r="I320" s="358"/>
      <c r="J320" s="217"/>
      <c r="K320" s="54"/>
      <c r="L320" s="218"/>
      <c r="M320" s="218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</row>
    <row r="321" ht="12.75" customHeight="1">
      <c r="A321" s="353"/>
      <c r="B321" s="54"/>
      <c r="E321" s="354"/>
      <c r="F321" s="354"/>
      <c r="G321" s="354"/>
      <c r="H321" s="242"/>
      <c r="I321" s="358"/>
      <c r="J321" s="217"/>
      <c r="K321" s="54"/>
      <c r="L321" s="218"/>
      <c r="M321" s="218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</row>
    <row r="322" ht="12.75" customHeight="1">
      <c r="A322" s="353"/>
      <c r="B322" s="54"/>
      <c r="E322" s="354"/>
      <c r="F322" s="354"/>
      <c r="G322" s="354"/>
      <c r="H322" s="242"/>
      <c r="I322" s="358"/>
      <c r="J322" s="217"/>
      <c r="K322" s="54"/>
      <c r="L322" s="218"/>
      <c r="M322" s="218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</row>
    <row r="323" ht="12.75" customHeight="1">
      <c r="A323" s="353"/>
      <c r="B323" s="54"/>
      <c r="E323" s="354"/>
      <c r="F323" s="354"/>
      <c r="G323" s="354"/>
      <c r="H323" s="242"/>
      <c r="I323" s="358"/>
      <c r="J323" s="217"/>
      <c r="K323" s="54"/>
      <c r="L323" s="218"/>
      <c r="M323" s="218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</row>
    <row r="324" ht="12.75" customHeight="1">
      <c r="A324" s="353"/>
      <c r="B324" s="54"/>
      <c r="E324" s="354"/>
      <c r="F324" s="354"/>
      <c r="G324" s="354"/>
      <c r="H324" s="242"/>
      <c r="I324" s="358"/>
      <c r="J324" s="217"/>
      <c r="K324" s="54"/>
      <c r="L324" s="218"/>
      <c r="M324" s="218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</row>
    <row r="325" ht="12.75" customHeight="1">
      <c r="A325" s="353"/>
      <c r="B325" s="54"/>
      <c r="E325" s="354"/>
      <c r="F325" s="354"/>
      <c r="G325" s="354"/>
      <c r="H325" s="242"/>
      <c r="I325" s="358"/>
      <c r="J325" s="217"/>
      <c r="K325" s="54"/>
      <c r="L325" s="218"/>
      <c r="M325" s="218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</row>
    <row r="326" ht="12.75" customHeight="1">
      <c r="A326" s="353"/>
      <c r="B326" s="54"/>
      <c r="E326" s="354"/>
      <c r="F326" s="354"/>
      <c r="G326" s="354"/>
      <c r="H326" s="242"/>
      <c r="I326" s="358"/>
      <c r="J326" s="217"/>
      <c r="K326" s="54"/>
      <c r="L326" s="218"/>
      <c r="M326" s="218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</row>
    <row r="327" ht="12.75" customHeight="1">
      <c r="A327" s="353"/>
      <c r="B327" s="54"/>
      <c r="E327" s="354"/>
      <c r="F327" s="354"/>
      <c r="G327" s="354"/>
      <c r="H327" s="242"/>
      <c r="I327" s="358"/>
      <c r="J327" s="217"/>
      <c r="K327" s="54"/>
      <c r="L327" s="218"/>
      <c r="M327" s="218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</row>
    <row r="328" ht="12.75" customHeight="1">
      <c r="A328" s="353"/>
      <c r="B328" s="54"/>
      <c r="E328" s="354"/>
      <c r="F328" s="354"/>
      <c r="G328" s="354"/>
      <c r="H328" s="242"/>
      <c r="I328" s="358"/>
      <c r="J328" s="217"/>
      <c r="K328" s="54"/>
      <c r="L328" s="218"/>
      <c r="M328" s="218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</row>
    <row r="329" ht="12.75" customHeight="1">
      <c r="A329" s="353"/>
      <c r="B329" s="54"/>
      <c r="E329" s="354"/>
      <c r="F329" s="354"/>
      <c r="G329" s="354"/>
      <c r="H329" s="242"/>
      <c r="I329" s="358"/>
      <c r="J329" s="217"/>
      <c r="K329" s="54"/>
      <c r="L329" s="218"/>
      <c r="M329" s="218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</row>
    <row r="330" ht="12.75" customHeight="1">
      <c r="A330" s="353"/>
      <c r="B330" s="54"/>
      <c r="E330" s="354"/>
      <c r="F330" s="354"/>
      <c r="G330" s="354"/>
      <c r="H330" s="242"/>
      <c r="I330" s="358"/>
      <c r="J330" s="217"/>
      <c r="K330" s="54"/>
      <c r="L330" s="218"/>
      <c r="M330" s="218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</row>
    <row r="331" ht="12.75" customHeight="1">
      <c r="A331" s="353"/>
      <c r="B331" s="54"/>
      <c r="E331" s="354"/>
      <c r="F331" s="354"/>
      <c r="G331" s="354"/>
      <c r="H331" s="242"/>
      <c r="I331" s="358"/>
      <c r="J331" s="217"/>
      <c r="K331" s="54"/>
      <c r="L331" s="218"/>
      <c r="M331" s="218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</row>
    <row r="332" ht="12.75" customHeight="1">
      <c r="A332" s="353"/>
      <c r="B332" s="54"/>
      <c r="E332" s="354"/>
      <c r="F332" s="354"/>
      <c r="G332" s="354"/>
      <c r="H332" s="242"/>
      <c r="I332" s="358"/>
      <c r="J332" s="217"/>
      <c r="K332" s="54"/>
      <c r="L332" s="218"/>
      <c r="M332" s="218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</row>
    <row r="333" ht="12.75" customHeight="1">
      <c r="A333" s="353"/>
      <c r="B333" s="54"/>
      <c r="E333" s="354"/>
      <c r="F333" s="354"/>
      <c r="G333" s="354"/>
      <c r="H333" s="242"/>
      <c r="I333" s="358"/>
      <c r="J333" s="217"/>
      <c r="K333" s="54"/>
      <c r="L333" s="218"/>
      <c r="M333" s="218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</row>
    <row r="334" ht="12.75" customHeight="1">
      <c r="A334" s="353"/>
      <c r="B334" s="54"/>
      <c r="E334" s="354"/>
      <c r="F334" s="354"/>
      <c r="G334" s="354"/>
      <c r="H334" s="242"/>
      <c r="I334" s="358"/>
      <c r="J334" s="217"/>
      <c r="K334" s="54"/>
      <c r="L334" s="218"/>
      <c r="M334" s="218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</row>
    <row r="335" ht="12.75" customHeight="1">
      <c r="A335" s="353"/>
      <c r="B335" s="54"/>
      <c r="E335" s="354"/>
      <c r="F335" s="354"/>
      <c r="G335" s="354"/>
      <c r="H335" s="242"/>
      <c r="I335" s="358"/>
      <c r="J335" s="217"/>
      <c r="K335" s="54"/>
      <c r="L335" s="218"/>
      <c r="M335" s="218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</row>
    <row r="336" ht="12.75" customHeight="1">
      <c r="A336" s="353"/>
      <c r="B336" s="54"/>
      <c r="E336" s="354"/>
      <c r="F336" s="354"/>
      <c r="G336" s="354"/>
      <c r="H336" s="242"/>
      <c r="I336" s="358"/>
      <c r="J336" s="217"/>
      <c r="K336" s="54"/>
      <c r="L336" s="218"/>
      <c r="M336" s="218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</row>
    <row r="337" ht="12.75" customHeight="1">
      <c r="A337" s="353"/>
      <c r="B337" s="54"/>
      <c r="E337" s="354"/>
      <c r="F337" s="354"/>
      <c r="G337" s="354"/>
      <c r="H337" s="242"/>
      <c r="I337" s="358"/>
      <c r="J337" s="217"/>
      <c r="K337" s="54"/>
      <c r="L337" s="218"/>
      <c r="M337" s="218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</row>
    <row r="338" ht="12.75" customHeight="1">
      <c r="A338" s="353"/>
      <c r="B338" s="54"/>
      <c r="E338" s="354"/>
      <c r="F338" s="354"/>
      <c r="G338" s="354"/>
      <c r="H338" s="242"/>
      <c r="I338" s="358"/>
      <c r="J338" s="217"/>
      <c r="K338" s="54"/>
      <c r="L338" s="218"/>
      <c r="M338" s="218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</row>
    <row r="339" ht="12.75" customHeight="1">
      <c r="A339" s="353"/>
      <c r="B339" s="54"/>
      <c r="E339" s="354"/>
      <c r="F339" s="354"/>
      <c r="G339" s="354"/>
      <c r="H339" s="242"/>
      <c r="I339" s="358"/>
      <c r="J339" s="217"/>
      <c r="K339" s="54"/>
      <c r="L339" s="218"/>
      <c r="M339" s="218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</row>
    <row r="340" ht="12.75" customHeight="1">
      <c r="A340" s="353"/>
      <c r="B340" s="54"/>
      <c r="E340" s="354"/>
      <c r="F340" s="354"/>
      <c r="G340" s="354"/>
      <c r="H340" s="242"/>
      <c r="I340" s="358"/>
      <c r="J340" s="217"/>
      <c r="K340" s="54"/>
      <c r="L340" s="218"/>
      <c r="M340" s="218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</row>
    <row r="341" ht="12.75" customHeight="1">
      <c r="A341" s="353"/>
      <c r="B341" s="54"/>
      <c r="E341" s="354"/>
      <c r="F341" s="354"/>
      <c r="G341" s="354"/>
      <c r="H341" s="242"/>
      <c r="I341" s="358"/>
      <c r="J341" s="217"/>
      <c r="K341" s="54"/>
      <c r="L341" s="218"/>
      <c r="M341" s="218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</row>
    <row r="342" ht="12.75" customHeight="1">
      <c r="A342" s="353"/>
      <c r="B342" s="54"/>
      <c r="E342" s="354"/>
      <c r="F342" s="354"/>
      <c r="G342" s="354"/>
      <c r="H342" s="242"/>
      <c r="I342" s="358"/>
      <c r="J342" s="217"/>
      <c r="K342" s="54"/>
      <c r="L342" s="218"/>
      <c r="M342" s="218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</row>
    <row r="343" ht="12.75" customHeight="1">
      <c r="A343" s="353"/>
      <c r="B343" s="54"/>
      <c r="E343" s="354"/>
      <c r="F343" s="354"/>
      <c r="G343" s="354"/>
      <c r="H343" s="242"/>
      <c r="I343" s="358"/>
      <c r="J343" s="217"/>
      <c r="K343" s="54"/>
      <c r="L343" s="218"/>
      <c r="M343" s="218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</row>
    <row r="344" ht="12.75" customHeight="1">
      <c r="A344" s="353"/>
      <c r="B344" s="54"/>
      <c r="E344" s="354"/>
      <c r="F344" s="354"/>
      <c r="G344" s="354"/>
      <c r="H344" s="242"/>
      <c r="I344" s="358"/>
      <c r="J344" s="217"/>
      <c r="K344" s="54"/>
      <c r="L344" s="218"/>
      <c r="M344" s="218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</row>
    <row r="345" ht="12.75" customHeight="1">
      <c r="A345" s="353"/>
      <c r="B345" s="54"/>
      <c r="E345" s="354"/>
      <c r="F345" s="354"/>
      <c r="G345" s="354"/>
      <c r="H345" s="242"/>
      <c r="I345" s="358"/>
      <c r="J345" s="217"/>
      <c r="K345" s="54"/>
      <c r="L345" s="218"/>
      <c r="M345" s="218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</row>
    <row r="346" ht="12.75" customHeight="1">
      <c r="A346" s="353"/>
      <c r="B346" s="54"/>
      <c r="E346" s="354"/>
      <c r="F346" s="354"/>
      <c r="G346" s="354"/>
      <c r="H346" s="242"/>
      <c r="I346" s="358"/>
      <c r="J346" s="217"/>
      <c r="K346" s="54"/>
      <c r="L346" s="218"/>
      <c r="M346" s="218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</row>
    <row r="347" ht="12.75" customHeight="1">
      <c r="A347" s="353"/>
      <c r="B347" s="54"/>
      <c r="E347" s="354"/>
      <c r="F347" s="354"/>
      <c r="G347" s="354"/>
      <c r="H347" s="242"/>
      <c r="I347" s="358"/>
      <c r="J347" s="217"/>
      <c r="K347" s="54"/>
      <c r="L347" s="218"/>
      <c r="M347" s="218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</row>
    <row r="348" ht="12.75" customHeight="1">
      <c r="A348" s="353"/>
      <c r="B348" s="54"/>
      <c r="E348" s="354"/>
      <c r="F348" s="354"/>
      <c r="G348" s="354"/>
      <c r="H348" s="242"/>
      <c r="I348" s="358"/>
      <c r="J348" s="217"/>
      <c r="K348" s="54"/>
      <c r="L348" s="218"/>
      <c r="M348" s="218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</row>
    <row r="349" ht="12.75" customHeight="1">
      <c r="A349" s="353"/>
      <c r="B349" s="54"/>
      <c r="E349" s="354"/>
      <c r="F349" s="354"/>
      <c r="G349" s="354"/>
      <c r="H349" s="242"/>
      <c r="I349" s="358"/>
      <c r="J349" s="217"/>
      <c r="K349" s="54"/>
      <c r="L349" s="218"/>
      <c r="M349" s="218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</row>
    <row r="350" ht="12.75" customHeight="1">
      <c r="A350" s="353"/>
      <c r="B350" s="54"/>
      <c r="E350" s="354"/>
      <c r="F350" s="354"/>
      <c r="G350" s="354"/>
      <c r="H350" s="242"/>
      <c r="I350" s="358"/>
      <c r="J350" s="217"/>
      <c r="K350" s="54"/>
      <c r="L350" s="218"/>
      <c r="M350" s="218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</row>
    <row r="351" ht="12.75" customHeight="1">
      <c r="A351" s="353"/>
      <c r="B351" s="54"/>
      <c r="E351" s="354"/>
      <c r="F351" s="354"/>
      <c r="G351" s="354"/>
      <c r="H351" s="242"/>
      <c r="I351" s="358"/>
      <c r="J351" s="217"/>
      <c r="K351" s="54"/>
      <c r="L351" s="218"/>
      <c r="M351" s="218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</row>
    <row r="352" ht="12.75" customHeight="1">
      <c r="A352" s="353"/>
      <c r="B352" s="54"/>
      <c r="E352" s="354"/>
      <c r="F352" s="354"/>
      <c r="G352" s="354"/>
      <c r="H352" s="242"/>
      <c r="I352" s="358"/>
      <c r="J352" s="217"/>
      <c r="K352" s="54"/>
      <c r="L352" s="218"/>
      <c r="M352" s="218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</row>
    <row r="353" ht="12.75" customHeight="1">
      <c r="A353" s="353"/>
      <c r="B353" s="54"/>
      <c r="E353" s="354"/>
      <c r="F353" s="354"/>
      <c r="G353" s="354"/>
      <c r="H353" s="242"/>
      <c r="I353" s="358"/>
      <c r="J353" s="217"/>
      <c r="K353" s="54"/>
      <c r="L353" s="218"/>
      <c r="M353" s="218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</row>
    <row r="354" ht="12.75" customHeight="1">
      <c r="A354" s="353"/>
      <c r="B354" s="54"/>
      <c r="E354" s="354"/>
      <c r="F354" s="354"/>
      <c r="G354" s="354"/>
      <c r="H354" s="242"/>
      <c r="I354" s="358"/>
      <c r="J354" s="217"/>
      <c r="K354" s="54"/>
      <c r="L354" s="218"/>
      <c r="M354" s="218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</row>
    <row r="355" ht="12.75" customHeight="1">
      <c r="A355" s="353"/>
      <c r="B355" s="54"/>
      <c r="E355" s="354"/>
      <c r="F355" s="354"/>
      <c r="G355" s="354"/>
      <c r="H355" s="242"/>
      <c r="I355" s="358"/>
      <c r="J355" s="217"/>
      <c r="K355" s="54"/>
      <c r="L355" s="218"/>
      <c r="M355" s="218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</row>
    <row r="356" ht="12.75" customHeight="1">
      <c r="A356" s="353"/>
      <c r="B356" s="54"/>
      <c r="E356" s="354"/>
      <c r="F356" s="354"/>
      <c r="G356" s="354"/>
      <c r="H356" s="242"/>
      <c r="I356" s="358"/>
      <c r="J356" s="217"/>
      <c r="K356" s="54"/>
      <c r="L356" s="218"/>
      <c r="M356" s="218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</row>
    <row r="357" ht="12.75" customHeight="1">
      <c r="A357" s="353"/>
      <c r="B357" s="54"/>
      <c r="E357" s="354"/>
      <c r="F357" s="354"/>
      <c r="G357" s="354"/>
      <c r="H357" s="242"/>
      <c r="I357" s="358"/>
      <c r="J357" s="217"/>
      <c r="K357" s="54"/>
      <c r="L357" s="218"/>
      <c r="M357" s="218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</row>
    <row r="358" ht="12.75" customHeight="1">
      <c r="A358" s="353"/>
      <c r="B358" s="54"/>
      <c r="E358" s="354"/>
      <c r="F358" s="354"/>
      <c r="G358" s="354"/>
      <c r="H358" s="242"/>
      <c r="I358" s="358"/>
      <c r="J358" s="217"/>
      <c r="K358" s="54"/>
      <c r="L358" s="218"/>
      <c r="M358" s="218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</row>
    <row r="359" ht="12.75" customHeight="1">
      <c r="A359" s="353"/>
      <c r="B359" s="54"/>
      <c r="E359" s="354"/>
      <c r="F359" s="354"/>
      <c r="G359" s="354"/>
      <c r="H359" s="242"/>
      <c r="I359" s="358"/>
      <c r="J359" s="217"/>
      <c r="K359" s="54"/>
      <c r="L359" s="218"/>
      <c r="M359" s="218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</row>
    <row r="360" ht="12.75" customHeight="1">
      <c r="A360" s="353"/>
      <c r="B360" s="54"/>
      <c r="E360" s="354"/>
      <c r="F360" s="354"/>
      <c r="G360" s="354"/>
      <c r="H360" s="242"/>
      <c r="I360" s="358"/>
      <c r="J360" s="217"/>
      <c r="K360" s="54"/>
      <c r="L360" s="218"/>
      <c r="M360" s="218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</row>
    <row r="361" ht="12.75" customHeight="1">
      <c r="A361" s="353"/>
      <c r="B361" s="54"/>
      <c r="E361" s="354"/>
      <c r="F361" s="354"/>
      <c r="G361" s="354"/>
      <c r="H361" s="242"/>
      <c r="I361" s="358"/>
      <c r="J361" s="217"/>
      <c r="K361" s="54"/>
      <c r="L361" s="218"/>
      <c r="M361" s="218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</row>
    <row r="362" ht="12.75" customHeight="1">
      <c r="A362" s="353"/>
      <c r="B362" s="54"/>
      <c r="E362" s="354"/>
      <c r="F362" s="354"/>
      <c r="G362" s="354"/>
      <c r="H362" s="242"/>
      <c r="I362" s="358"/>
      <c r="J362" s="217"/>
      <c r="K362" s="54"/>
      <c r="L362" s="218"/>
      <c r="M362" s="218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</row>
    <row r="363" ht="12.75" customHeight="1">
      <c r="A363" s="353"/>
      <c r="B363" s="54"/>
      <c r="E363" s="354"/>
      <c r="F363" s="354"/>
      <c r="G363" s="354"/>
      <c r="H363" s="242"/>
      <c r="I363" s="358"/>
      <c r="J363" s="217"/>
      <c r="K363" s="54"/>
      <c r="L363" s="218"/>
      <c r="M363" s="218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</row>
    <row r="364" ht="12.75" customHeight="1">
      <c r="A364" s="353"/>
      <c r="B364" s="54"/>
      <c r="E364" s="354"/>
      <c r="F364" s="354"/>
      <c r="G364" s="354"/>
      <c r="H364" s="242"/>
      <c r="I364" s="358"/>
      <c r="J364" s="217"/>
      <c r="K364" s="54"/>
      <c r="L364" s="218"/>
      <c r="M364" s="218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</row>
    <row r="365" ht="12.75" customHeight="1">
      <c r="A365" s="353"/>
      <c r="B365" s="54"/>
      <c r="E365" s="354"/>
      <c r="F365" s="354"/>
      <c r="G365" s="354"/>
      <c r="H365" s="242"/>
      <c r="I365" s="358"/>
      <c r="J365" s="217"/>
      <c r="K365" s="54"/>
      <c r="L365" s="218"/>
      <c r="M365" s="218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</row>
    <row r="366" ht="12.75" customHeight="1">
      <c r="A366" s="353"/>
      <c r="B366" s="54"/>
      <c r="E366" s="354"/>
      <c r="F366" s="354"/>
      <c r="G366" s="354"/>
      <c r="H366" s="242"/>
      <c r="I366" s="358"/>
      <c r="J366" s="217"/>
      <c r="K366" s="54"/>
      <c r="L366" s="218"/>
      <c r="M366" s="218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</row>
    <row r="367" ht="12.75" customHeight="1">
      <c r="A367" s="353"/>
      <c r="B367" s="54"/>
      <c r="E367" s="354"/>
      <c r="F367" s="354"/>
      <c r="G367" s="354"/>
      <c r="H367" s="242"/>
      <c r="I367" s="358"/>
      <c r="J367" s="217"/>
      <c r="K367" s="54"/>
      <c r="L367" s="218"/>
      <c r="M367" s="218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</row>
    <row r="368" ht="12.75" customHeight="1">
      <c r="A368" s="353"/>
      <c r="B368" s="54"/>
      <c r="E368" s="354"/>
      <c r="F368" s="354"/>
      <c r="G368" s="354"/>
      <c r="H368" s="242"/>
      <c r="I368" s="358"/>
      <c r="J368" s="217"/>
      <c r="K368" s="54"/>
      <c r="L368" s="218"/>
      <c r="M368" s="218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</row>
    <row r="369" ht="12.75" customHeight="1">
      <c r="A369" s="353"/>
      <c r="B369" s="54"/>
      <c r="E369" s="354"/>
      <c r="F369" s="354"/>
      <c r="G369" s="354"/>
      <c r="H369" s="242"/>
      <c r="I369" s="358"/>
      <c r="J369" s="217"/>
      <c r="K369" s="54"/>
      <c r="L369" s="218"/>
      <c r="M369" s="218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</row>
    <row r="370" ht="12.75" customHeight="1">
      <c r="A370" s="353"/>
      <c r="B370" s="54"/>
      <c r="E370" s="354"/>
      <c r="F370" s="354"/>
      <c r="G370" s="354"/>
      <c r="H370" s="242"/>
      <c r="I370" s="358"/>
      <c r="J370" s="217"/>
      <c r="K370" s="54"/>
      <c r="L370" s="218"/>
      <c r="M370" s="218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</row>
    <row r="371" ht="12.75" customHeight="1">
      <c r="A371" s="353"/>
      <c r="B371" s="54"/>
      <c r="E371" s="354"/>
      <c r="F371" s="354"/>
      <c r="G371" s="354"/>
      <c r="H371" s="242"/>
      <c r="I371" s="358"/>
      <c r="J371" s="217"/>
      <c r="K371" s="54"/>
      <c r="L371" s="218"/>
      <c r="M371" s="218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</row>
    <row r="372" ht="12.75" customHeight="1">
      <c r="A372" s="353"/>
      <c r="B372" s="54"/>
      <c r="E372" s="354"/>
      <c r="F372" s="354"/>
      <c r="G372" s="354"/>
      <c r="H372" s="242"/>
      <c r="I372" s="358"/>
      <c r="J372" s="217"/>
      <c r="K372" s="54"/>
      <c r="L372" s="218"/>
      <c r="M372" s="218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</row>
    <row r="373" ht="12.75" customHeight="1">
      <c r="A373" s="353"/>
      <c r="B373" s="54"/>
      <c r="E373" s="354"/>
      <c r="F373" s="354"/>
      <c r="G373" s="354"/>
      <c r="H373" s="242"/>
      <c r="I373" s="358"/>
      <c r="J373" s="217"/>
      <c r="K373" s="54"/>
      <c r="L373" s="218"/>
      <c r="M373" s="218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</row>
    <row r="374" ht="12.75" customHeight="1">
      <c r="A374" s="353"/>
      <c r="B374" s="54"/>
      <c r="E374" s="354"/>
      <c r="F374" s="354"/>
      <c r="G374" s="354"/>
      <c r="H374" s="242"/>
      <c r="I374" s="358"/>
      <c r="J374" s="217"/>
      <c r="K374" s="54"/>
      <c r="L374" s="218"/>
      <c r="M374" s="218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</row>
    <row r="375" ht="12.75" customHeight="1">
      <c r="A375" s="353"/>
      <c r="B375" s="54"/>
      <c r="E375" s="354"/>
      <c r="F375" s="354"/>
      <c r="G375" s="354"/>
      <c r="H375" s="242"/>
      <c r="I375" s="358"/>
      <c r="J375" s="217"/>
      <c r="K375" s="54"/>
      <c r="L375" s="218"/>
      <c r="M375" s="218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</row>
    <row r="376" ht="12.75" customHeight="1">
      <c r="A376" s="353"/>
      <c r="B376" s="54"/>
      <c r="E376" s="354"/>
      <c r="F376" s="354"/>
      <c r="G376" s="354"/>
      <c r="H376" s="242"/>
      <c r="I376" s="358"/>
      <c r="J376" s="217"/>
      <c r="K376" s="54"/>
      <c r="L376" s="218"/>
      <c r="M376" s="218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</row>
    <row r="377" ht="12.75" customHeight="1">
      <c r="A377" s="353"/>
      <c r="B377" s="54"/>
      <c r="E377" s="354"/>
      <c r="F377" s="354"/>
      <c r="G377" s="354"/>
      <c r="H377" s="242"/>
      <c r="I377" s="358"/>
      <c r="J377" s="217"/>
      <c r="K377" s="54"/>
      <c r="L377" s="218"/>
      <c r="M377" s="218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</row>
    <row r="378" ht="12.75" customHeight="1">
      <c r="A378" s="353"/>
      <c r="B378" s="54"/>
      <c r="E378" s="354"/>
      <c r="F378" s="354"/>
      <c r="G378" s="354"/>
      <c r="H378" s="242"/>
      <c r="I378" s="358"/>
      <c r="J378" s="217"/>
      <c r="K378" s="54"/>
      <c r="L378" s="218"/>
      <c r="M378" s="218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</row>
    <row r="379" ht="12.75" customHeight="1">
      <c r="A379" s="353"/>
      <c r="B379" s="54"/>
      <c r="E379" s="354"/>
      <c r="F379" s="354"/>
      <c r="G379" s="354"/>
      <c r="H379" s="242"/>
      <c r="I379" s="358"/>
      <c r="J379" s="217"/>
      <c r="K379" s="54"/>
      <c r="L379" s="218"/>
      <c r="M379" s="218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</row>
    <row r="380" ht="12.75" customHeight="1">
      <c r="A380" s="353"/>
      <c r="B380" s="54"/>
      <c r="E380" s="354"/>
      <c r="F380" s="354"/>
      <c r="G380" s="354"/>
      <c r="H380" s="242"/>
      <c r="I380" s="358"/>
      <c r="J380" s="217"/>
      <c r="K380" s="54"/>
      <c r="L380" s="218"/>
      <c r="M380" s="218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</row>
    <row r="381" ht="12.75" customHeight="1">
      <c r="A381" s="353"/>
      <c r="B381" s="54"/>
      <c r="E381" s="354"/>
      <c r="F381" s="354"/>
      <c r="G381" s="354"/>
      <c r="H381" s="242"/>
      <c r="I381" s="358"/>
      <c r="J381" s="217"/>
      <c r="K381" s="54"/>
      <c r="L381" s="218"/>
      <c r="M381" s="218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</row>
    <row r="382" ht="12.75" customHeight="1">
      <c r="A382" s="353"/>
      <c r="B382" s="54"/>
      <c r="E382" s="354"/>
      <c r="F382" s="354"/>
      <c r="G382" s="354"/>
      <c r="H382" s="242"/>
      <c r="I382" s="358"/>
      <c r="J382" s="217"/>
      <c r="K382" s="54"/>
      <c r="L382" s="218"/>
      <c r="M382" s="218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</row>
    <row r="383" ht="12.75" customHeight="1">
      <c r="A383" s="353"/>
      <c r="B383" s="54"/>
      <c r="E383" s="354"/>
      <c r="F383" s="354"/>
      <c r="G383" s="354"/>
      <c r="H383" s="242"/>
      <c r="I383" s="358"/>
      <c r="J383" s="217"/>
      <c r="K383" s="54"/>
      <c r="L383" s="218"/>
      <c r="M383" s="218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</row>
    <row r="384" ht="12.75" customHeight="1">
      <c r="A384" s="353"/>
      <c r="B384" s="54"/>
      <c r="E384" s="354"/>
      <c r="F384" s="354"/>
      <c r="G384" s="354"/>
      <c r="H384" s="242"/>
      <c r="I384" s="358"/>
      <c r="J384" s="217"/>
      <c r="K384" s="54"/>
      <c r="L384" s="218"/>
      <c r="M384" s="218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</row>
    <row r="385" ht="12.75" customHeight="1">
      <c r="A385" s="353"/>
      <c r="B385" s="54"/>
      <c r="E385" s="354"/>
      <c r="F385" s="354"/>
      <c r="G385" s="354"/>
      <c r="H385" s="242"/>
      <c r="I385" s="358"/>
      <c r="J385" s="217"/>
      <c r="K385" s="54"/>
      <c r="L385" s="218"/>
      <c r="M385" s="218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</row>
    <row r="386" ht="12.75" customHeight="1">
      <c r="A386" s="353"/>
      <c r="B386" s="54"/>
      <c r="E386" s="354"/>
      <c r="F386" s="354"/>
      <c r="G386" s="354"/>
      <c r="H386" s="242"/>
      <c r="I386" s="358"/>
      <c r="J386" s="217"/>
      <c r="K386" s="54"/>
      <c r="L386" s="218"/>
      <c r="M386" s="218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</row>
    <row r="387" ht="12.75" customHeight="1">
      <c r="A387" s="353"/>
      <c r="B387" s="54"/>
      <c r="E387" s="354"/>
      <c r="F387" s="354"/>
      <c r="G387" s="354"/>
      <c r="H387" s="242"/>
      <c r="I387" s="358"/>
      <c r="J387" s="217"/>
      <c r="K387" s="54"/>
      <c r="L387" s="218"/>
      <c r="M387" s="218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</row>
    <row r="388" ht="12.75" customHeight="1">
      <c r="A388" s="353"/>
      <c r="B388" s="54"/>
      <c r="E388" s="354"/>
      <c r="F388" s="354"/>
      <c r="G388" s="354"/>
      <c r="H388" s="242"/>
      <c r="I388" s="358"/>
      <c r="J388" s="217"/>
      <c r="K388" s="54"/>
      <c r="L388" s="218"/>
      <c r="M388" s="218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</row>
    <row r="389" ht="12.75" customHeight="1">
      <c r="A389" s="353"/>
      <c r="B389" s="54"/>
      <c r="E389" s="354"/>
      <c r="F389" s="354"/>
      <c r="G389" s="354"/>
      <c r="H389" s="242"/>
      <c r="I389" s="358"/>
      <c r="J389" s="217"/>
      <c r="K389" s="54"/>
      <c r="L389" s="218"/>
      <c r="M389" s="218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</row>
    <row r="390" ht="12.75" customHeight="1">
      <c r="A390" s="353"/>
      <c r="B390" s="54"/>
      <c r="E390" s="354"/>
      <c r="F390" s="354"/>
      <c r="G390" s="354"/>
      <c r="H390" s="242"/>
      <c r="I390" s="358"/>
      <c r="J390" s="217"/>
      <c r="K390" s="54"/>
      <c r="L390" s="218"/>
      <c r="M390" s="218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</row>
    <row r="391" ht="12.75" customHeight="1">
      <c r="A391" s="353"/>
      <c r="B391" s="54"/>
      <c r="E391" s="354"/>
      <c r="F391" s="354"/>
      <c r="G391" s="354"/>
      <c r="H391" s="242"/>
      <c r="I391" s="358"/>
      <c r="J391" s="217"/>
      <c r="K391" s="54"/>
      <c r="L391" s="218"/>
      <c r="M391" s="218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</row>
    <row r="392" ht="12.75" customHeight="1">
      <c r="A392" s="353"/>
      <c r="B392" s="54"/>
      <c r="E392" s="354"/>
      <c r="F392" s="354"/>
      <c r="G392" s="354"/>
      <c r="H392" s="242"/>
      <c r="I392" s="358"/>
      <c r="J392" s="217"/>
      <c r="K392" s="54"/>
      <c r="L392" s="218"/>
      <c r="M392" s="218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</row>
    <row r="393" ht="12.75" customHeight="1">
      <c r="A393" s="353"/>
      <c r="B393" s="54"/>
      <c r="E393" s="354"/>
      <c r="F393" s="354"/>
      <c r="G393" s="354"/>
      <c r="H393" s="242"/>
      <c r="I393" s="358"/>
      <c r="J393" s="217"/>
      <c r="K393" s="54"/>
      <c r="L393" s="218"/>
      <c r="M393" s="218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</row>
    <row r="394" ht="12.75" customHeight="1">
      <c r="A394" s="353"/>
      <c r="B394" s="54"/>
      <c r="E394" s="354"/>
      <c r="F394" s="354"/>
      <c r="G394" s="354"/>
      <c r="H394" s="242"/>
      <c r="I394" s="358"/>
      <c r="J394" s="217"/>
      <c r="K394" s="54"/>
      <c r="L394" s="218"/>
      <c r="M394" s="218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</row>
    <row r="395" ht="12.75" customHeight="1">
      <c r="A395" s="353"/>
      <c r="B395" s="54"/>
      <c r="E395" s="354"/>
      <c r="F395" s="354"/>
      <c r="G395" s="354"/>
      <c r="H395" s="242"/>
      <c r="I395" s="358"/>
      <c r="J395" s="217"/>
      <c r="K395" s="54"/>
      <c r="L395" s="218"/>
      <c r="M395" s="218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</row>
    <row r="396" ht="12.75" customHeight="1">
      <c r="A396" s="353"/>
      <c r="B396" s="54"/>
      <c r="E396" s="354"/>
      <c r="F396" s="354"/>
      <c r="G396" s="354"/>
      <c r="H396" s="242"/>
      <c r="I396" s="358"/>
      <c r="J396" s="217"/>
      <c r="K396" s="54"/>
      <c r="L396" s="218"/>
      <c r="M396" s="218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</row>
    <row r="397" ht="12.75" customHeight="1">
      <c r="A397" s="353"/>
      <c r="B397" s="54"/>
      <c r="E397" s="354"/>
      <c r="F397" s="354"/>
      <c r="G397" s="354"/>
      <c r="H397" s="242"/>
      <c r="I397" s="358"/>
      <c r="J397" s="217"/>
      <c r="K397" s="54"/>
      <c r="L397" s="218"/>
      <c r="M397" s="218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</row>
    <row r="398" ht="12.75" customHeight="1">
      <c r="A398" s="353"/>
      <c r="B398" s="54"/>
      <c r="E398" s="354"/>
      <c r="F398" s="354"/>
      <c r="G398" s="354"/>
      <c r="H398" s="242"/>
      <c r="I398" s="358"/>
      <c r="J398" s="217"/>
      <c r="K398" s="54"/>
      <c r="L398" s="218"/>
      <c r="M398" s="218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</row>
    <row r="399" ht="12.75" customHeight="1">
      <c r="A399" s="353"/>
      <c r="B399" s="54"/>
      <c r="E399" s="354"/>
      <c r="F399" s="354"/>
      <c r="G399" s="354"/>
      <c r="H399" s="242"/>
      <c r="I399" s="358"/>
      <c r="J399" s="217"/>
      <c r="K399" s="54"/>
      <c r="L399" s="218"/>
      <c r="M399" s="218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</row>
    <row r="400" ht="12.75" customHeight="1">
      <c r="A400" s="353"/>
      <c r="B400" s="54"/>
      <c r="E400" s="354"/>
      <c r="F400" s="354"/>
      <c r="G400" s="354"/>
      <c r="H400" s="242"/>
      <c r="I400" s="358"/>
      <c r="J400" s="217"/>
      <c r="K400" s="54"/>
      <c r="L400" s="218"/>
      <c r="M400" s="218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</row>
    <row r="401" ht="12.75" customHeight="1">
      <c r="A401" s="353"/>
      <c r="B401" s="54"/>
      <c r="E401" s="354"/>
      <c r="F401" s="354"/>
      <c r="G401" s="354"/>
      <c r="H401" s="242"/>
      <c r="I401" s="358"/>
      <c r="J401" s="217"/>
      <c r="K401" s="54"/>
      <c r="L401" s="218"/>
      <c r="M401" s="218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</row>
    <row r="402" ht="12.75" customHeight="1">
      <c r="A402" s="353"/>
      <c r="B402" s="54"/>
      <c r="E402" s="354"/>
      <c r="F402" s="354"/>
      <c r="G402" s="354"/>
      <c r="H402" s="242"/>
      <c r="I402" s="358"/>
      <c r="J402" s="217"/>
      <c r="K402" s="54"/>
      <c r="L402" s="218"/>
      <c r="M402" s="218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</row>
    <row r="403" ht="12.75" customHeight="1">
      <c r="A403" s="353"/>
      <c r="B403" s="54"/>
      <c r="E403" s="354"/>
      <c r="F403" s="354"/>
      <c r="G403" s="354"/>
      <c r="H403" s="242"/>
      <c r="I403" s="358"/>
      <c r="J403" s="217"/>
      <c r="K403" s="54"/>
      <c r="L403" s="218"/>
      <c r="M403" s="218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</row>
    <row r="404" ht="12.75" customHeight="1">
      <c r="A404" s="353"/>
      <c r="B404" s="54"/>
      <c r="E404" s="354"/>
      <c r="F404" s="354"/>
      <c r="G404" s="354"/>
      <c r="H404" s="242"/>
      <c r="I404" s="358"/>
      <c r="J404" s="217"/>
      <c r="K404" s="54"/>
      <c r="L404" s="218"/>
      <c r="M404" s="218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</row>
    <row r="405" ht="12.75" customHeight="1">
      <c r="A405" s="353"/>
      <c r="B405" s="54"/>
      <c r="E405" s="354"/>
      <c r="F405" s="354"/>
      <c r="G405" s="354"/>
      <c r="H405" s="242"/>
      <c r="I405" s="358"/>
      <c r="J405" s="217"/>
      <c r="K405" s="54"/>
      <c r="L405" s="218"/>
      <c r="M405" s="218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</row>
    <row r="406" ht="12.75" customHeight="1">
      <c r="A406" s="353"/>
      <c r="B406" s="54"/>
      <c r="E406" s="354"/>
      <c r="F406" s="354"/>
      <c r="G406" s="354"/>
      <c r="H406" s="242"/>
      <c r="I406" s="358"/>
      <c r="J406" s="217"/>
      <c r="K406" s="54"/>
      <c r="L406" s="218"/>
      <c r="M406" s="218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</row>
    <row r="407" ht="12.75" customHeight="1">
      <c r="A407" s="353"/>
      <c r="B407" s="54"/>
      <c r="E407" s="354"/>
      <c r="F407" s="354"/>
      <c r="G407" s="354"/>
      <c r="H407" s="242"/>
      <c r="I407" s="358"/>
      <c r="J407" s="217"/>
      <c r="K407" s="54"/>
      <c r="L407" s="218"/>
      <c r="M407" s="218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</row>
    <row r="408" ht="12.75" customHeight="1">
      <c r="A408" s="353"/>
      <c r="B408" s="54"/>
      <c r="E408" s="354"/>
      <c r="F408" s="354"/>
      <c r="G408" s="354"/>
      <c r="H408" s="242"/>
      <c r="I408" s="358"/>
      <c r="J408" s="217"/>
      <c r="K408" s="54"/>
      <c r="L408" s="218"/>
      <c r="M408" s="218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</row>
    <row r="409" ht="12.75" customHeight="1">
      <c r="A409" s="353"/>
      <c r="B409" s="54"/>
      <c r="E409" s="354"/>
      <c r="F409" s="354"/>
      <c r="G409" s="354"/>
      <c r="H409" s="242"/>
      <c r="I409" s="358"/>
      <c r="J409" s="217"/>
      <c r="K409" s="54"/>
      <c r="L409" s="218"/>
      <c r="M409" s="218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</row>
    <row r="410" ht="12.75" customHeight="1">
      <c r="A410" s="353"/>
      <c r="B410" s="54"/>
      <c r="E410" s="354"/>
      <c r="F410" s="354"/>
      <c r="G410" s="354"/>
      <c r="H410" s="242"/>
      <c r="I410" s="358"/>
      <c r="J410" s="217"/>
      <c r="K410" s="54"/>
      <c r="L410" s="218"/>
      <c r="M410" s="218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</row>
    <row r="411" ht="12.75" customHeight="1">
      <c r="A411" s="353"/>
      <c r="B411" s="54"/>
      <c r="E411" s="354"/>
      <c r="F411" s="354"/>
      <c r="G411" s="354"/>
      <c r="H411" s="242"/>
      <c r="I411" s="358"/>
      <c r="J411" s="217"/>
      <c r="K411" s="54"/>
      <c r="L411" s="218"/>
      <c r="M411" s="218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</row>
    <row r="412" ht="12.75" customHeight="1">
      <c r="A412" s="353"/>
      <c r="B412" s="54"/>
      <c r="E412" s="354"/>
      <c r="F412" s="354"/>
      <c r="G412" s="354"/>
      <c r="H412" s="242"/>
      <c r="I412" s="358"/>
      <c r="J412" s="217"/>
      <c r="K412" s="54"/>
      <c r="L412" s="218"/>
      <c r="M412" s="218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</row>
    <row r="413" ht="12.75" customHeight="1">
      <c r="A413" s="353"/>
      <c r="B413" s="54"/>
      <c r="E413" s="354"/>
      <c r="F413" s="354"/>
      <c r="G413" s="354"/>
      <c r="H413" s="242"/>
      <c r="I413" s="358"/>
      <c r="J413" s="217"/>
      <c r="K413" s="54"/>
      <c r="L413" s="218"/>
      <c r="M413" s="218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</row>
    <row r="414" ht="12.75" customHeight="1">
      <c r="A414" s="353"/>
      <c r="B414" s="54"/>
      <c r="E414" s="354"/>
      <c r="F414" s="354"/>
      <c r="G414" s="354"/>
      <c r="H414" s="242"/>
      <c r="I414" s="358"/>
      <c r="J414" s="217"/>
      <c r="K414" s="54"/>
      <c r="L414" s="218"/>
      <c r="M414" s="218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</row>
    <row r="415" ht="12.75" customHeight="1">
      <c r="A415" s="353"/>
      <c r="B415" s="54"/>
      <c r="E415" s="354"/>
      <c r="F415" s="354"/>
      <c r="G415" s="354"/>
      <c r="H415" s="242"/>
      <c r="I415" s="358"/>
      <c r="J415" s="217"/>
      <c r="K415" s="54"/>
      <c r="L415" s="218"/>
      <c r="M415" s="218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</row>
    <row r="416" ht="12.75" customHeight="1">
      <c r="A416" s="353"/>
      <c r="B416" s="54"/>
      <c r="E416" s="354"/>
      <c r="F416" s="354"/>
      <c r="G416" s="354"/>
      <c r="H416" s="242"/>
      <c r="I416" s="358"/>
      <c r="J416" s="217"/>
      <c r="K416" s="54"/>
      <c r="L416" s="218"/>
      <c r="M416" s="218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</row>
    <row r="417" ht="12.75" customHeight="1">
      <c r="A417" s="353"/>
      <c r="B417" s="54"/>
      <c r="E417" s="354"/>
      <c r="F417" s="354"/>
      <c r="G417" s="354"/>
      <c r="H417" s="242"/>
      <c r="I417" s="358"/>
      <c r="J417" s="217"/>
      <c r="K417" s="54"/>
      <c r="L417" s="218"/>
      <c r="M417" s="218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</row>
    <row r="418" ht="12.75" customHeight="1">
      <c r="A418" s="353"/>
      <c r="B418" s="54"/>
      <c r="E418" s="354"/>
      <c r="F418" s="354"/>
      <c r="G418" s="354"/>
      <c r="H418" s="242"/>
      <c r="I418" s="358"/>
      <c r="J418" s="217"/>
      <c r="K418" s="54"/>
      <c r="L418" s="218"/>
      <c r="M418" s="218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</row>
    <row r="419" ht="12.75" customHeight="1">
      <c r="A419" s="353"/>
      <c r="B419" s="54"/>
      <c r="E419" s="354"/>
      <c r="F419" s="354"/>
      <c r="G419" s="354"/>
      <c r="H419" s="242"/>
      <c r="I419" s="358"/>
      <c r="J419" s="217"/>
      <c r="K419" s="54"/>
      <c r="L419" s="218"/>
      <c r="M419" s="218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</row>
    <row r="420" ht="12.75" customHeight="1">
      <c r="A420" s="353"/>
      <c r="B420" s="54"/>
      <c r="E420" s="354"/>
      <c r="F420" s="354"/>
      <c r="G420" s="354"/>
      <c r="H420" s="242"/>
      <c r="I420" s="358"/>
      <c r="J420" s="217"/>
      <c r="K420" s="54"/>
      <c r="L420" s="218"/>
      <c r="M420" s="218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</row>
    <row r="421" ht="12.75" customHeight="1">
      <c r="A421" s="353"/>
      <c r="B421" s="54"/>
      <c r="E421" s="354"/>
      <c r="F421" s="354"/>
      <c r="G421" s="354"/>
      <c r="H421" s="242"/>
      <c r="I421" s="358"/>
      <c r="J421" s="217"/>
      <c r="K421" s="54"/>
      <c r="L421" s="218"/>
      <c r="M421" s="218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</row>
    <row r="422" ht="12.75" customHeight="1">
      <c r="A422" s="353"/>
      <c r="B422" s="54"/>
      <c r="E422" s="354"/>
      <c r="F422" s="354"/>
      <c r="G422" s="354"/>
      <c r="H422" s="242"/>
      <c r="I422" s="358"/>
      <c r="J422" s="217"/>
      <c r="K422" s="54"/>
      <c r="L422" s="218"/>
      <c r="M422" s="218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</row>
    <row r="423" ht="12.75" customHeight="1">
      <c r="A423" s="353"/>
      <c r="B423" s="54"/>
      <c r="E423" s="354"/>
      <c r="F423" s="354"/>
      <c r="G423" s="354"/>
      <c r="H423" s="242"/>
      <c r="I423" s="358"/>
      <c r="J423" s="217"/>
      <c r="K423" s="54"/>
      <c r="L423" s="218"/>
      <c r="M423" s="218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</row>
    <row r="424" ht="12.75" customHeight="1">
      <c r="A424" s="353"/>
      <c r="B424" s="54"/>
      <c r="E424" s="354"/>
      <c r="F424" s="354"/>
      <c r="G424" s="354"/>
      <c r="H424" s="242"/>
      <c r="I424" s="358"/>
      <c r="J424" s="217"/>
      <c r="K424" s="54"/>
      <c r="L424" s="218"/>
      <c r="M424" s="218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</row>
    <row r="425" ht="12.75" customHeight="1">
      <c r="A425" s="353"/>
      <c r="B425" s="54"/>
      <c r="E425" s="354"/>
      <c r="F425" s="354"/>
      <c r="G425" s="354"/>
      <c r="H425" s="242"/>
      <c r="I425" s="358"/>
      <c r="J425" s="217"/>
      <c r="K425" s="54"/>
      <c r="L425" s="218"/>
      <c r="M425" s="218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</row>
    <row r="426" ht="12.75" customHeight="1">
      <c r="A426" s="353"/>
      <c r="B426" s="54"/>
      <c r="E426" s="354"/>
      <c r="F426" s="354"/>
      <c r="G426" s="354"/>
      <c r="H426" s="242"/>
      <c r="I426" s="358"/>
      <c r="J426" s="217"/>
      <c r="K426" s="54"/>
      <c r="L426" s="218"/>
      <c r="M426" s="218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</row>
    <row r="427" ht="12.75" customHeight="1">
      <c r="A427" s="353"/>
      <c r="B427" s="54"/>
      <c r="E427" s="354"/>
      <c r="F427" s="354"/>
      <c r="G427" s="354"/>
      <c r="H427" s="242"/>
      <c r="I427" s="358"/>
      <c r="J427" s="217"/>
      <c r="K427" s="54"/>
      <c r="L427" s="218"/>
      <c r="M427" s="218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</row>
    <row r="428" ht="12.75" customHeight="1">
      <c r="A428" s="353"/>
      <c r="B428" s="54"/>
      <c r="E428" s="354"/>
      <c r="F428" s="354"/>
      <c r="G428" s="354"/>
      <c r="H428" s="242"/>
      <c r="I428" s="358"/>
      <c r="J428" s="217"/>
      <c r="K428" s="54"/>
      <c r="L428" s="218"/>
      <c r="M428" s="218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</row>
    <row r="429" ht="12.75" customHeight="1">
      <c r="A429" s="353"/>
      <c r="B429" s="54"/>
      <c r="E429" s="354"/>
      <c r="F429" s="354"/>
      <c r="G429" s="354"/>
      <c r="H429" s="242"/>
      <c r="I429" s="358"/>
      <c r="J429" s="217"/>
      <c r="K429" s="54"/>
      <c r="L429" s="218"/>
      <c r="M429" s="218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</row>
    <row r="430" ht="12.75" customHeight="1">
      <c r="A430" s="353"/>
      <c r="B430" s="54"/>
      <c r="E430" s="354"/>
      <c r="F430" s="354"/>
      <c r="G430" s="354"/>
      <c r="H430" s="242"/>
      <c r="I430" s="358"/>
      <c r="J430" s="217"/>
      <c r="K430" s="54"/>
      <c r="L430" s="218"/>
      <c r="M430" s="218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</row>
    <row r="431" ht="12.75" customHeight="1">
      <c r="A431" s="353"/>
      <c r="B431" s="54"/>
      <c r="E431" s="354"/>
      <c r="F431" s="354"/>
      <c r="G431" s="354"/>
      <c r="H431" s="242"/>
      <c r="I431" s="358"/>
      <c r="J431" s="217"/>
      <c r="K431" s="54"/>
      <c r="L431" s="218"/>
      <c r="M431" s="218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</row>
    <row r="432" ht="12.75" customHeight="1">
      <c r="A432" s="353"/>
      <c r="B432" s="54"/>
      <c r="E432" s="354"/>
      <c r="F432" s="354"/>
      <c r="G432" s="354"/>
      <c r="H432" s="242"/>
      <c r="I432" s="358"/>
      <c r="J432" s="217"/>
      <c r="K432" s="54"/>
      <c r="L432" s="218"/>
      <c r="M432" s="218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</row>
    <row r="433" ht="12.75" customHeight="1">
      <c r="A433" s="353"/>
      <c r="B433" s="54"/>
      <c r="E433" s="354"/>
      <c r="F433" s="354"/>
      <c r="G433" s="354"/>
      <c r="H433" s="242"/>
      <c r="I433" s="358"/>
      <c r="J433" s="217"/>
      <c r="K433" s="54"/>
      <c r="L433" s="218"/>
      <c r="M433" s="218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</row>
    <row r="434" ht="12.75" customHeight="1">
      <c r="A434" s="353"/>
      <c r="B434" s="54"/>
      <c r="E434" s="354"/>
      <c r="F434" s="354"/>
      <c r="G434" s="354"/>
      <c r="H434" s="242"/>
      <c r="I434" s="358"/>
      <c r="J434" s="217"/>
      <c r="K434" s="54"/>
      <c r="L434" s="218"/>
      <c r="M434" s="218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</row>
    <row r="435" ht="12.75" customHeight="1">
      <c r="A435" s="353"/>
      <c r="B435" s="54"/>
      <c r="E435" s="354"/>
      <c r="F435" s="354"/>
      <c r="G435" s="354"/>
      <c r="H435" s="242"/>
      <c r="I435" s="358"/>
      <c r="J435" s="217"/>
      <c r="K435" s="54"/>
      <c r="L435" s="218"/>
      <c r="M435" s="218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</row>
    <row r="436" ht="12.75" customHeight="1">
      <c r="A436" s="353"/>
      <c r="B436" s="54"/>
      <c r="E436" s="354"/>
      <c r="F436" s="354"/>
      <c r="G436" s="354"/>
      <c r="H436" s="242"/>
      <c r="I436" s="358"/>
      <c r="J436" s="217"/>
      <c r="K436" s="54"/>
      <c r="L436" s="218"/>
      <c r="M436" s="218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</row>
    <row r="437" ht="12.75" customHeight="1">
      <c r="A437" s="353"/>
      <c r="B437" s="54"/>
      <c r="E437" s="354"/>
      <c r="F437" s="354"/>
      <c r="G437" s="354"/>
      <c r="H437" s="242"/>
      <c r="I437" s="358"/>
      <c r="J437" s="217"/>
      <c r="K437" s="54"/>
      <c r="L437" s="218"/>
      <c r="M437" s="218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</row>
    <row r="438" ht="12.75" customHeight="1">
      <c r="A438" s="353"/>
      <c r="B438" s="54"/>
      <c r="E438" s="354"/>
      <c r="F438" s="354"/>
      <c r="G438" s="354"/>
      <c r="H438" s="242"/>
      <c r="I438" s="358"/>
      <c r="J438" s="217"/>
      <c r="K438" s="54"/>
      <c r="L438" s="218"/>
      <c r="M438" s="218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</row>
    <row r="439" ht="12.75" customHeight="1">
      <c r="A439" s="353"/>
      <c r="B439" s="54"/>
      <c r="E439" s="354"/>
      <c r="F439" s="354"/>
      <c r="G439" s="354"/>
      <c r="H439" s="242"/>
      <c r="I439" s="358"/>
      <c r="J439" s="217"/>
      <c r="K439" s="54"/>
      <c r="L439" s="218"/>
      <c r="M439" s="218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</row>
    <row r="440" ht="12.75" customHeight="1">
      <c r="A440" s="353"/>
      <c r="B440" s="54"/>
      <c r="E440" s="354"/>
      <c r="F440" s="354"/>
      <c r="G440" s="354"/>
      <c r="H440" s="242"/>
      <c r="I440" s="358"/>
      <c r="J440" s="217"/>
      <c r="K440" s="54"/>
      <c r="L440" s="218"/>
      <c r="M440" s="218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</row>
    <row r="441" ht="12.75" customHeight="1">
      <c r="A441" s="353"/>
      <c r="B441" s="54"/>
      <c r="E441" s="354"/>
      <c r="F441" s="354"/>
      <c r="G441" s="354"/>
      <c r="H441" s="242"/>
      <c r="I441" s="358"/>
      <c r="J441" s="217"/>
      <c r="K441" s="54"/>
      <c r="L441" s="218"/>
      <c r="M441" s="218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</row>
    <row r="442" ht="12.75" customHeight="1">
      <c r="A442" s="353"/>
      <c r="B442" s="54"/>
      <c r="E442" s="354"/>
      <c r="F442" s="354"/>
      <c r="G442" s="354"/>
      <c r="H442" s="242"/>
      <c r="I442" s="358"/>
      <c r="J442" s="217"/>
      <c r="K442" s="54"/>
      <c r="L442" s="218"/>
      <c r="M442" s="218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</row>
    <row r="443" ht="12.75" customHeight="1">
      <c r="A443" s="353"/>
      <c r="B443" s="54"/>
      <c r="E443" s="354"/>
      <c r="F443" s="354"/>
      <c r="G443" s="354"/>
      <c r="H443" s="242"/>
      <c r="I443" s="358"/>
      <c r="J443" s="217"/>
      <c r="K443" s="54"/>
      <c r="L443" s="218"/>
      <c r="M443" s="218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</row>
    <row r="444" ht="12.75" customHeight="1">
      <c r="A444" s="353"/>
      <c r="B444" s="54"/>
      <c r="E444" s="354"/>
      <c r="F444" s="354"/>
      <c r="G444" s="354"/>
      <c r="H444" s="242"/>
      <c r="I444" s="358"/>
      <c r="J444" s="217"/>
      <c r="K444" s="54"/>
      <c r="L444" s="218"/>
      <c r="M444" s="218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</row>
    <row r="445" ht="12.75" customHeight="1">
      <c r="A445" s="353"/>
      <c r="B445" s="54"/>
      <c r="E445" s="354"/>
      <c r="F445" s="354"/>
      <c r="G445" s="354"/>
      <c r="H445" s="242"/>
      <c r="I445" s="358"/>
      <c r="J445" s="217"/>
      <c r="K445" s="54"/>
      <c r="L445" s="218"/>
      <c r="M445" s="218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</row>
    <row r="446" ht="12.75" customHeight="1">
      <c r="A446" s="353"/>
      <c r="B446" s="54"/>
      <c r="E446" s="354"/>
      <c r="F446" s="354"/>
      <c r="G446" s="354"/>
      <c r="H446" s="242"/>
      <c r="I446" s="358"/>
      <c r="J446" s="217"/>
      <c r="K446" s="54"/>
      <c r="L446" s="218"/>
      <c r="M446" s="218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</row>
    <row r="447" ht="12.75" customHeight="1">
      <c r="A447" s="353"/>
      <c r="B447" s="54"/>
      <c r="E447" s="354"/>
      <c r="F447" s="354"/>
      <c r="G447" s="354"/>
      <c r="H447" s="242"/>
      <c r="I447" s="358"/>
      <c r="J447" s="217"/>
      <c r="K447" s="54"/>
      <c r="L447" s="218"/>
      <c r="M447" s="218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</row>
    <row r="448" ht="12.75" customHeight="1">
      <c r="A448" s="353"/>
      <c r="B448" s="54"/>
      <c r="E448" s="354"/>
      <c r="F448" s="354"/>
      <c r="G448" s="354"/>
      <c r="H448" s="242"/>
      <c r="I448" s="358"/>
      <c r="J448" s="217"/>
      <c r="K448" s="54"/>
      <c r="L448" s="218"/>
      <c r="M448" s="218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</row>
    <row r="449" ht="12.75" customHeight="1">
      <c r="A449" s="353"/>
      <c r="B449" s="54"/>
      <c r="E449" s="354"/>
      <c r="F449" s="354"/>
      <c r="G449" s="354"/>
      <c r="H449" s="242"/>
      <c r="I449" s="358"/>
      <c r="J449" s="217"/>
      <c r="K449" s="54"/>
      <c r="L449" s="218"/>
      <c r="M449" s="218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</row>
    <row r="450" ht="12.75" customHeight="1">
      <c r="A450" s="353"/>
      <c r="B450" s="54"/>
      <c r="E450" s="354"/>
      <c r="F450" s="354"/>
      <c r="G450" s="354"/>
      <c r="H450" s="242"/>
      <c r="I450" s="358"/>
      <c r="J450" s="217"/>
      <c r="K450" s="54"/>
      <c r="L450" s="218"/>
      <c r="M450" s="218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</row>
    <row r="451" ht="12.75" customHeight="1">
      <c r="A451" s="353"/>
      <c r="B451" s="54"/>
      <c r="E451" s="354"/>
      <c r="F451" s="354"/>
      <c r="G451" s="354"/>
      <c r="H451" s="242"/>
      <c r="I451" s="358"/>
      <c r="J451" s="217"/>
      <c r="K451" s="54"/>
      <c r="L451" s="218"/>
      <c r="M451" s="218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</row>
    <row r="452" ht="12.75" customHeight="1">
      <c r="A452" s="353"/>
      <c r="B452" s="54"/>
      <c r="E452" s="354"/>
      <c r="F452" s="354"/>
      <c r="G452" s="354"/>
      <c r="H452" s="242"/>
      <c r="I452" s="358"/>
      <c r="J452" s="217"/>
      <c r="K452" s="54"/>
      <c r="L452" s="218"/>
      <c r="M452" s="218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</row>
    <row r="453" ht="12.75" customHeight="1">
      <c r="A453" s="353"/>
      <c r="B453" s="54"/>
      <c r="E453" s="354"/>
      <c r="F453" s="354"/>
      <c r="G453" s="354"/>
      <c r="H453" s="242"/>
      <c r="I453" s="358"/>
      <c r="J453" s="217"/>
      <c r="K453" s="54"/>
      <c r="L453" s="218"/>
      <c r="M453" s="218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</row>
    <row r="454" ht="12.75" customHeight="1">
      <c r="A454" s="353"/>
      <c r="B454" s="54"/>
      <c r="E454" s="354"/>
      <c r="F454" s="354"/>
      <c r="G454" s="354"/>
      <c r="H454" s="242"/>
      <c r="I454" s="358"/>
      <c r="J454" s="217"/>
      <c r="K454" s="54"/>
      <c r="L454" s="218"/>
      <c r="M454" s="218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</row>
    <row r="455" ht="12.75" customHeight="1">
      <c r="A455" s="353"/>
      <c r="B455" s="54"/>
      <c r="E455" s="354"/>
      <c r="F455" s="354"/>
      <c r="G455" s="354"/>
      <c r="H455" s="242"/>
      <c r="I455" s="358"/>
      <c r="J455" s="217"/>
      <c r="K455" s="54"/>
      <c r="L455" s="218"/>
      <c r="M455" s="218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</row>
    <row r="456" ht="12.75" customHeight="1">
      <c r="A456" s="353"/>
      <c r="B456" s="54"/>
      <c r="E456" s="354"/>
      <c r="F456" s="354"/>
      <c r="G456" s="354"/>
      <c r="H456" s="242"/>
      <c r="I456" s="358"/>
      <c r="J456" s="217"/>
      <c r="K456" s="54"/>
      <c r="L456" s="218"/>
      <c r="M456" s="218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</row>
    <row r="457" ht="12.75" customHeight="1">
      <c r="A457" s="353"/>
      <c r="B457" s="54"/>
      <c r="E457" s="354"/>
      <c r="F457" s="354"/>
      <c r="G457" s="354"/>
      <c r="H457" s="242"/>
      <c r="I457" s="358"/>
      <c r="J457" s="217"/>
      <c r="K457" s="54"/>
      <c r="L457" s="218"/>
      <c r="M457" s="218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</row>
    <row r="458" ht="12.75" customHeight="1">
      <c r="A458" s="353"/>
      <c r="B458" s="54"/>
      <c r="E458" s="354"/>
      <c r="F458" s="354"/>
      <c r="G458" s="354"/>
      <c r="H458" s="242"/>
      <c r="I458" s="358"/>
      <c r="J458" s="217"/>
      <c r="K458" s="54"/>
      <c r="L458" s="218"/>
      <c r="M458" s="218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</row>
    <row r="459" ht="12.75" customHeight="1">
      <c r="A459" s="353"/>
      <c r="B459" s="54"/>
      <c r="E459" s="354"/>
      <c r="F459" s="354"/>
      <c r="G459" s="354"/>
      <c r="H459" s="242"/>
      <c r="I459" s="358"/>
      <c r="J459" s="217"/>
      <c r="K459" s="54"/>
      <c r="L459" s="218"/>
      <c r="M459" s="218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</row>
    <row r="460" ht="12.75" customHeight="1">
      <c r="A460" s="353"/>
      <c r="B460" s="54"/>
      <c r="E460" s="354"/>
      <c r="F460" s="354"/>
      <c r="G460" s="354"/>
      <c r="H460" s="242"/>
      <c r="I460" s="358"/>
      <c r="J460" s="217"/>
      <c r="K460" s="54"/>
      <c r="L460" s="218"/>
      <c r="M460" s="218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</row>
    <row r="461" ht="12.75" customHeight="1">
      <c r="A461" s="353"/>
      <c r="B461" s="54"/>
      <c r="E461" s="354"/>
      <c r="F461" s="354"/>
      <c r="G461" s="354"/>
      <c r="H461" s="242"/>
      <c r="I461" s="358"/>
      <c r="J461" s="217"/>
      <c r="K461" s="54"/>
      <c r="L461" s="218"/>
      <c r="M461" s="218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</row>
    <row r="462" ht="12.75" customHeight="1">
      <c r="A462" s="353"/>
      <c r="B462" s="54"/>
      <c r="E462" s="354"/>
      <c r="F462" s="354"/>
      <c r="G462" s="354"/>
      <c r="H462" s="242"/>
      <c r="I462" s="358"/>
      <c r="J462" s="217"/>
      <c r="K462" s="54"/>
      <c r="L462" s="218"/>
      <c r="M462" s="218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</row>
    <row r="463" ht="12.75" customHeight="1">
      <c r="A463" s="353"/>
      <c r="B463" s="54"/>
      <c r="E463" s="354"/>
      <c r="F463" s="354"/>
      <c r="G463" s="354"/>
      <c r="H463" s="242"/>
      <c r="I463" s="358"/>
      <c r="J463" s="217"/>
      <c r="K463" s="54"/>
      <c r="L463" s="218"/>
      <c r="M463" s="218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</row>
    <row r="464" ht="12.75" customHeight="1">
      <c r="A464" s="353"/>
      <c r="B464" s="54"/>
      <c r="E464" s="354"/>
      <c r="F464" s="354"/>
      <c r="G464" s="354"/>
      <c r="H464" s="242"/>
      <c r="I464" s="358"/>
      <c r="J464" s="217"/>
      <c r="K464" s="54"/>
      <c r="L464" s="218"/>
      <c r="M464" s="218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</row>
    <row r="465" ht="12.75" customHeight="1">
      <c r="A465" s="353"/>
      <c r="B465" s="54"/>
      <c r="E465" s="354"/>
      <c r="F465" s="354"/>
      <c r="G465" s="354"/>
      <c r="H465" s="242"/>
      <c r="I465" s="358"/>
      <c r="J465" s="217"/>
      <c r="K465" s="54"/>
      <c r="L465" s="218"/>
      <c r="M465" s="218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</row>
    <row r="466" ht="12.75" customHeight="1">
      <c r="A466" s="353"/>
      <c r="B466" s="54"/>
      <c r="E466" s="354"/>
      <c r="F466" s="354"/>
      <c r="G466" s="354"/>
      <c r="H466" s="242"/>
      <c r="I466" s="358"/>
      <c r="J466" s="217"/>
      <c r="K466" s="54"/>
      <c r="L466" s="218"/>
      <c r="M466" s="218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</row>
    <row r="467" ht="12.75" customHeight="1">
      <c r="A467" s="353"/>
      <c r="B467" s="54"/>
      <c r="E467" s="354"/>
      <c r="F467" s="354"/>
      <c r="G467" s="354"/>
      <c r="H467" s="242"/>
      <c r="I467" s="358"/>
      <c r="J467" s="217"/>
      <c r="K467" s="54"/>
      <c r="L467" s="218"/>
      <c r="M467" s="218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</row>
    <row r="468" ht="12.75" customHeight="1">
      <c r="A468" s="353"/>
      <c r="B468" s="54"/>
      <c r="E468" s="354"/>
      <c r="F468" s="354"/>
      <c r="G468" s="354"/>
      <c r="H468" s="242"/>
      <c r="I468" s="358"/>
      <c r="J468" s="217"/>
      <c r="K468" s="54"/>
      <c r="L468" s="218"/>
      <c r="M468" s="218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</row>
    <row r="469" ht="12.75" customHeight="1">
      <c r="A469" s="353"/>
      <c r="B469" s="54"/>
      <c r="E469" s="354"/>
      <c r="F469" s="354"/>
      <c r="G469" s="354"/>
      <c r="H469" s="242"/>
      <c r="I469" s="358"/>
      <c r="J469" s="217"/>
      <c r="K469" s="54"/>
      <c r="L469" s="218"/>
      <c r="M469" s="218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</row>
    <row r="470" ht="12.75" customHeight="1">
      <c r="A470" s="353"/>
      <c r="B470" s="54"/>
      <c r="E470" s="354"/>
      <c r="F470" s="354"/>
      <c r="G470" s="354"/>
      <c r="H470" s="242"/>
      <c r="I470" s="358"/>
      <c r="J470" s="217"/>
      <c r="K470" s="54"/>
      <c r="L470" s="218"/>
      <c r="M470" s="218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</row>
    <row r="471" ht="12.75" customHeight="1">
      <c r="A471" s="353"/>
      <c r="B471" s="54"/>
      <c r="E471" s="354"/>
      <c r="F471" s="354"/>
      <c r="G471" s="354"/>
      <c r="H471" s="242"/>
      <c r="I471" s="358"/>
      <c r="J471" s="217"/>
      <c r="K471" s="54"/>
      <c r="L471" s="218"/>
      <c r="M471" s="218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</row>
    <row r="472" ht="12.75" customHeight="1">
      <c r="A472" s="353"/>
      <c r="B472" s="54"/>
      <c r="E472" s="354"/>
      <c r="F472" s="354"/>
      <c r="G472" s="354"/>
      <c r="H472" s="242"/>
      <c r="I472" s="358"/>
      <c r="J472" s="217"/>
      <c r="K472" s="54"/>
      <c r="L472" s="218"/>
      <c r="M472" s="218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</row>
    <row r="473" ht="12.75" customHeight="1">
      <c r="A473" s="353"/>
      <c r="B473" s="54"/>
      <c r="E473" s="354"/>
      <c r="F473" s="354"/>
      <c r="G473" s="354"/>
      <c r="H473" s="242"/>
      <c r="I473" s="358"/>
      <c r="J473" s="217"/>
      <c r="K473" s="54"/>
      <c r="L473" s="218"/>
      <c r="M473" s="218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</row>
    <row r="474" ht="12.75" customHeight="1">
      <c r="A474" s="353"/>
      <c r="B474" s="54"/>
      <c r="E474" s="354"/>
      <c r="F474" s="354"/>
      <c r="G474" s="354"/>
      <c r="H474" s="242"/>
      <c r="I474" s="358"/>
      <c r="J474" s="217"/>
      <c r="K474" s="54"/>
      <c r="L474" s="218"/>
      <c r="M474" s="218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</row>
    <row r="475" ht="12.75" customHeight="1">
      <c r="A475" s="353"/>
      <c r="B475" s="54"/>
      <c r="E475" s="354"/>
      <c r="F475" s="354"/>
      <c r="G475" s="354"/>
      <c r="H475" s="242"/>
      <c r="I475" s="358"/>
      <c r="J475" s="217"/>
      <c r="K475" s="54"/>
      <c r="L475" s="218"/>
      <c r="M475" s="218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</row>
    <row r="476" ht="12.75" customHeight="1">
      <c r="A476" s="353"/>
      <c r="B476" s="54"/>
      <c r="E476" s="354"/>
      <c r="F476" s="354"/>
      <c r="G476" s="354"/>
      <c r="H476" s="242"/>
      <c r="I476" s="358"/>
      <c r="J476" s="217"/>
      <c r="K476" s="54"/>
      <c r="L476" s="218"/>
      <c r="M476" s="218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</row>
    <row r="477" ht="12.75" customHeight="1">
      <c r="A477" s="353"/>
      <c r="B477" s="54"/>
      <c r="E477" s="354"/>
      <c r="F477" s="354"/>
      <c r="G477" s="354"/>
      <c r="H477" s="242"/>
      <c r="I477" s="358"/>
      <c r="J477" s="217"/>
      <c r="K477" s="54"/>
      <c r="L477" s="218"/>
      <c r="M477" s="218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</row>
    <row r="478" ht="12.75" customHeight="1">
      <c r="A478" s="353"/>
      <c r="B478" s="54"/>
      <c r="E478" s="354"/>
      <c r="F478" s="354"/>
      <c r="G478" s="354"/>
      <c r="H478" s="242"/>
      <c r="I478" s="358"/>
      <c r="J478" s="217"/>
      <c r="K478" s="54"/>
      <c r="L478" s="218"/>
      <c r="M478" s="218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</row>
    <row r="479" ht="12.75" customHeight="1">
      <c r="A479" s="353"/>
      <c r="B479" s="54"/>
      <c r="E479" s="354"/>
      <c r="F479" s="354"/>
      <c r="G479" s="354"/>
      <c r="H479" s="242"/>
      <c r="I479" s="358"/>
      <c r="J479" s="217"/>
      <c r="K479" s="54"/>
      <c r="L479" s="218"/>
      <c r="M479" s="218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</row>
    <row r="480" ht="12.75" customHeight="1">
      <c r="A480" s="353"/>
      <c r="B480" s="54"/>
      <c r="E480" s="354"/>
      <c r="F480" s="354"/>
      <c r="G480" s="354"/>
      <c r="H480" s="242"/>
      <c r="I480" s="358"/>
      <c r="J480" s="217"/>
      <c r="K480" s="54"/>
      <c r="L480" s="218"/>
      <c r="M480" s="218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</row>
    <row r="481" ht="12.75" customHeight="1">
      <c r="A481" s="353"/>
      <c r="B481" s="54"/>
      <c r="E481" s="354"/>
      <c r="F481" s="354"/>
      <c r="G481" s="354"/>
      <c r="H481" s="242"/>
      <c r="I481" s="358"/>
      <c r="J481" s="217"/>
      <c r="K481" s="54"/>
      <c r="L481" s="218"/>
      <c r="M481" s="218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</row>
    <row r="482" ht="12.75" customHeight="1">
      <c r="A482" s="353"/>
      <c r="B482" s="54"/>
      <c r="E482" s="354"/>
      <c r="F482" s="354"/>
      <c r="G482" s="354"/>
      <c r="H482" s="242"/>
      <c r="I482" s="358"/>
      <c r="J482" s="217"/>
      <c r="K482" s="54"/>
      <c r="L482" s="218"/>
      <c r="M482" s="218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</row>
    <row r="483" ht="12.75" customHeight="1">
      <c r="A483" s="353"/>
      <c r="B483" s="54"/>
      <c r="E483" s="354"/>
      <c r="F483" s="354"/>
      <c r="G483" s="354"/>
      <c r="H483" s="242"/>
      <c r="I483" s="358"/>
      <c r="J483" s="217"/>
      <c r="K483" s="54"/>
      <c r="L483" s="218"/>
      <c r="M483" s="218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</row>
    <row r="484" ht="12.75" customHeight="1">
      <c r="A484" s="353"/>
      <c r="B484" s="54"/>
      <c r="E484" s="354"/>
      <c r="F484" s="354"/>
      <c r="G484" s="354"/>
      <c r="H484" s="242"/>
      <c r="I484" s="358"/>
      <c r="J484" s="217"/>
      <c r="K484" s="54"/>
      <c r="L484" s="218"/>
      <c r="M484" s="218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</row>
    <row r="485" ht="12.75" customHeight="1">
      <c r="A485" s="353"/>
      <c r="B485" s="54"/>
      <c r="E485" s="354"/>
      <c r="F485" s="354"/>
      <c r="G485" s="354"/>
      <c r="H485" s="242"/>
      <c r="I485" s="358"/>
      <c r="J485" s="217"/>
      <c r="K485" s="54"/>
      <c r="L485" s="218"/>
      <c r="M485" s="218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</row>
    <row r="486" ht="12.75" customHeight="1">
      <c r="A486" s="353"/>
      <c r="B486" s="54"/>
      <c r="E486" s="354"/>
      <c r="F486" s="354"/>
      <c r="G486" s="354"/>
      <c r="H486" s="242"/>
      <c r="I486" s="358"/>
      <c r="J486" s="217"/>
      <c r="K486" s="54"/>
      <c r="L486" s="218"/>
      <c r="M486" s="218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</row>
    <row r="487" ht="12.75" customHeight="1">
      <c r="A487" s="353"/>
      <c r="B487" s="54"/>
      <c r="E487" s="354"/>
      <c r="F487" s="354"/>
      <c r="G487" s="354"/>
      <c r="H487" s="242"/>
      <c r="I487" s="358"/>
      <c r="J487" s="217"/>
      <c r="K487" s="54"/>
      <c r="L487" s="218"/>
      <c r="M487" s="218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</row>
    <row r="488" ht="12.75" customHeight="1">
      <c r="A488" s="353"/>
      <c r="B488" s="54"/>
      <c r="E488" s="354"/>
      <c r="F488" s="354"/>
      <c r="G488" s="354"/>
      <c r="H488" s="242"/>
      <c r="I488" s="358"/>
      <c r="J488" s="217"/>
      <c r="K488" s="54"/>
      <c r="L488" s="218"/>
      <c r="M488" s="218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</row>
    <row r="489" ht="12.75" customHeight="1">
      <c r="A489" s="353"/>
      <c r="B489" s="54"/>
      <c r="E489" s="354"/>
      <c r="F489" s="354"/>
      <c r="G489" s="354"/>
      <c r="H489" s="242"/>
      <c r="I489" s="358"/>
      <c r="J489" s="217"/>
      <c r="K489" s="54"/>
      <c r="L489" s="218"/>
      <c r="M489" s="218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</row>
    <row r="490" ht="12.75" customHeight="1">
      <c r="A490" s="353"/>
      <c r="B490" s="54"/>
      <c r="E490" s="354"/>
      <c r="F490" s="354"/>
      <c r="G490" s="354"/>
      <c r="H490" s="242"/>
      <c r="I490" s="358"/>
      <c r="J490" s="217"/>
      <c r="K490" s="54"/>
      <c r="L490" s="218"/>
      <c r="M490" s="218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</row>
    <row r="491" ht="12.75" customHeight="1">
      <c r="A491" s="353"/>
      <c r="B491" s="54"/>
      <c r="E491" s="354"/>
      <c r="F491" s="354"/>
      <c r="G491" s="354"/>
      <c r="H491" s="242"/>
      <c r="I491" s="358"/>
      <c r="J491" s="217"/>
      <c r="K491" s="54"/>
      <c r="L491" s="218"/>
      <c r="M491" s="218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</row>
    <row r="492" ht="12.75" customHeight="1">
      <c r="A492" s="353"/>
      <c r="B492" s="54"/>
      <c r="E492" s="354"/>
      <c r="F492" s="354"/>
      <c r="G492" s="354"/>
      <c r="H492" s="242"/>
      <c r="I492" s="358"/>
      <c r="J492" s="217"/>
      <c r="K492" s="54"/>
      <c r="L492" s="218"/>
      <c r="M492" s="218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</row>
    <row r="493" ht="12.75" customHeight="1">
      <c r="A493" s="353"/>
      <c r="B493" s="54"/>
      <c r="E493" s="354"/>
      <c r="F493" s="354"/>
      <c r="G493" s="354"/>
      <c r="H493" s="242"/>
      <c r="I493" s="358"/>
      <c r="J493" s="217"/>
      <c r="K493" s="54"/>
      <c r="L493" s="218"/>
      <c r="M493" s="218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</row>
    <row r="494" ht="12.75" customHeight="1">
      <c r="A494" s="353"/>
      <c r="B494" s="54"/>
      <c r="E494" s="354"/>
      <c r="F494" s="354"/>
      <c r="G494" s="354"/>
      <c r="H494" s="242"/>
      <c r="I494" s="358"/>
      <c r="J494" s="217"/>
      <c r="K494" s="54"/>
      <c r="L494" s="218"/>
      <c r="M494" s="218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</row>
    <row r="495" ht="12.75" customHeight="1">
      <c r="A495" s="353"/>
      <c r="B495" s="54"/>
      <c r="E495" s="354"/>
      <c r="F495" s="354"/>
      <c r="G495" s="354"/>
      <c r="H495" s="242"/>
      <c r="I495" s="358"/>
      <c r="J495" s="217"/>
      <c r="K495" s="54"/>
      <c r="L495" s="218"/>
      <c r="M495" s="218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</row>
    <row r="496" ht="12.75" customHeight="1">
      <c r="A496" s="353"/>
      <c r="B496" s="54"/>
      <c r="E496" s="354"/>
      <c r="F496" s="354"/>
      <c r="G496" s="354"/>
      <c r="H496" s="242"/>
      <c r="I496" s="358"/>
      <c r="J496" s="217"/>
      <c r="K496" s="54"/>
      <c r="L496" s="218"/>
      <c r="M496" s="218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</row>
    <row r="497" ht="12.75" customHeight="1">
      <c r="A497" s="353"/>
      <c r="B497" s="54"/>
      <c r="E497" s="354"/>
      <c r="F497" s="354"/>
      <c r="G497" s="354"/>
      <c r="H497" s="242"/>
      <c r="I497" s="358"/>
      <c r="J497" s="217"/>
      <c r="K497" s="54"/>
      <c r="L497" s="218"/>
      <c r="M497" s="218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</row>
    <row r="498" ht="12.75" customHeight="1">
      <c r="A498" s="353"/>
      <c r="B498" s="54"/>
      <c r="E498" s="354"/>
      <c r="F498" s="354"/>
      <c r="G498" s="354"/>
      <c r="H498" s="242"/>
      <c r="I498" s="358"/>
      <c r="J498" s="217"/>
      <c r="K498" s="54"/>
      <c r="L498" s="218"/>
      <c r="M498" s="218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</row>
    <row r="499" ht="12.75" customHeight="1">
      <c r="A499" s="353"/>
      <c r="B499" s="54"/>
      <c r="E499" s="354"/>
      <c r="F499" s="354"/>
      <c r="G499" s="354"/>
      <c r="H499" s="242"/>
      <c r="I499" s="358"/>
      <c r="J499" s="217"/>
      <c r="K499" s="54"/>
      <c r="L499" s="218"/>
      <c r="M499" s="218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</row>
    <row r="500" ht="12.75" customHeight="1">
      <c r="A500" s="353"/>
      <c r="B500" s="54"/>
      <c r="E500" s="354"/>
      <c r="F500" s="354"/>
      <c r="G500" s="354"/>
      <c r="H500" s="242"/>
      <c r="I500" s="358"/>
      <c r="J500" s="217"/>
      <c r="K500" s="54"/>
      <c r="L500" s="218"/>
      <c r="M500" s="218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</row>
    <row r="501" ht="12.75" customHeight="1">
      <c r="A501" s="353"/>
      <c r="B501" s="54"/>
      <c r="E501" s="354"/>
      <c r="F501" s="354"/>
      <c r="G501" s="354"/>
      <c r="H501" s="242"/>
      <c r="I501" s="358"/>
      <c r="J501" s="217"/>
      <c r="K501" s="54"/>
      <c r="L501" s="218"/>
      <c r="M501" s="218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</row>
    <row r="502" ht="12.75" customHeight="1">
      <c r="A502" s="353"/>
      <c r="B502" s="54"/>
      <c r="E502" s="354"/>
      <c r="F502" s="354"/>
      <c r="G502" s="354"/>
      <c r="H502" s="242"/>
      <c r="I502" s="358"/>
      <c r="J502" s="217"/>
      <c r="K502" s="54"/>
      <c r="L502" s="218"/>
      <c r="M502" s="218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</row>
    <row r="503" ht="12.75" customHeight="1">
      <c r="A503" s="353"/>
      <c r="B503" s="54"/>
      <c r="E503" s="354"/>
      <c r="F503" s="354"/>
      <c r="G503" s="354"/>
      <c r="H503" s="242"/>
      <c r="I503" s="358"/>
      <c r="J503" s="217"/>
      <c r="K503" s="54"/>
      <c r="L503" s="218"/>
      <c r="M503" s="218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</row>
    <row r="504" ht="12.75" customHeight="1">
      <c r="A504" s="353"/>
      <c r="B504" s="54"/>
      <c r="E504" s="354"/>
      <c r="F504" s="354"/>
      <c r="G504" s="354"/>
      <c r="H504" s="242"/>
      <c r="I504" s="358"/>
      <c r="J504" s="217"/>
      <c r="K504" s="54"/>
      <c r="L504" s="218"/>
      <c r="M504" s="218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</row>
    <row r="505" ht="12.75" customHeight="1">
      <c r="A505" s="353"/>
      <c r="B505" s="54"/>
      <c r="E505" s="354"/>
      <c r="F505" s="354"/>
      <c r="G505" s="354"/>
      <c r="H505" s="242"/>
      <c r="I505" s="358"/>
      <c r="J505" s="217"/>
      <c r="K505" s="54"/>
      <c r="L505" s="218"/>
      <c r="M505" s="218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</row>
    <row r="506" ht="12.75" customHeight="1">
      <c r="A506" s="353"/>
      <c r="B506" s="54"/>
      <c r="E506" s="354"/>
      <c r="F506" s="354"/>
      <c r="G506" s="354"/>
      <c r="H506" s="242"/>
      <c r="I506" s="358"/>
      <c r="J506" s="217"/>
      <c r="K506" s="54"/>
      <c r="L506" s="218"/>
      <c r="M506" s="218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</row>
    <row r="507" ht="12.75" customHeight="1">
      <c r="A507" s="353"/>
      <c r="B507" s="54"/>
      <c r="E507" s="354"/>
      <c r="F507" s="354"/>
      <c r="G507" s="354"/>
      <c r="H507" s="242"/>
      <c r="I507" s="358"/>
      <c r="J507" s="217"/>
      <c r="K507" s="54"/>
      <c r="L507" s="218"/>
      <c r="M507" s="218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</row>
    <row r="508" ht="12.75" customHeight="1">
      <c r="A508" s="353"/>
      <c r="B508" s="54"/>
      <c r="E508" s="354"/>
      <c r="F508" s="354"/>
      <c r="G508" s="354"/>
      <c r="H508" s="242"/>
      <c r="I508" s="358"/>
      <c r="J508" s="217"/>
      <c r="K508" s="54"/>
      <c r="L508" s="218"/>
      <c r="M508" s="218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</row>
    <row r="509" ht="12.75" customHeight="1">
      <c r="A509" s="353"/>
      <c r="B509" s="54"/>
      <c r="E509" s="354"/>
      <c r="F509" s="354"/>
      <c r="G509" s="354"/>
      <c r="H509" s="242"/>
      <c r="I509" s="358"/>
      <c r="J509" s="217"/>
      <c r="K509" s="54"/>
      <c r="L509" s="218"/>
      <c r="M509" s="218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</row>
    <row r="510" ht="12.75" customHeight="1">
      <c r="A510" s="353"/>
      <c r="B510" s="54"/>
      <c r="E510" s="354"/>
      <c r="F510" s="354"/>
      <c r="G510" s="354"/>
      <c r="H510" s="242"/>
      <c r="I510" s="358"/>
      <c r="J510" s="217"/>
      <c r="K510" s="54"/>
      <c r="L510" s="218"/>
      <c r="M510" s="218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</row>
    <row r="511" ht="12.75" customHeight="1">
      <c r="A511" s="353"/>
      <c r="B511" s="54"/>
      <c r="E511" s="354"/>
      <c r="F511" s="354"/>
      <c r="G511" s="354"/>
      <c r="H511" s="242"/>
      <c r="I511" s="358"/>
      <c r="J511" s="217"/>
      <c r="K511" s="54"/>
      <c r="L511" s="218"/>
      <c r="M511" s="218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</row>
    <row r="512" ht="12.75" customHeight="1">
      <c r="A512" s="353"/>
      <c r="B512" s="54"/>
      <c r="E512" s="354"/>
      <c r="F512" s="354"/>
      <c r="G512" s="354"/>
      <c r="H512" s="242"/>
      <c r="I512" s="358"/>
      <c r="J512" s="217"/>
      <c r="K512" s="54"/>
      <c r="L512" s="218"/>
      <c r="M512" s="218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</row>
    <row r="513" ht="12.75" customHeight="1">
      <c r="A513" s="353"/>
      <c r="B513" s="54"/>
      <c r="E513" s="354"/>
      <c r="F513" s="354"/>
      <c r="G513" s="354"/>
      <c r="H513" s="242"/>
      <c r="I513" s="358"/>
      <c r="J513" s="217"/>
      <c r="K513" s="54"/>
      <c r="L513" s="218"/>
      <c r="M513" s="218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</row>
    <row r="514" ht="12.75" customHeight="1">
      <c r="A514" s="353"/>
      <c r="B514" s="54"/>
      <c r="E514" s="354"/>
      <c r="F514" s="354"/>
      <c r="G514" s="354"/>
      <c r="H514" s="242"/>
      <c r="I514" s="358"/>
      <c r="J514" s="217"/>
      <c r="K514" s="54"/>
      <c r="L514" s="218"/>
      <c r="M514" s="218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</row>
    <row r="515" ht="12.75" customHeight="1">
      <c r="A515" s="353"/>
      <c r="B515" s="54"/>
      <c r="E515" s="354"/>
      <c r="F515" s="354"/>
      <c r="G515" s="354"/>
      <c r="H515" s="242"/>
      <c r="I515" s="358"/>
      <c r="J515" s="217"/>
      <c r="K515" s="54"/>
      <c r="L515" s="218"/>
      <c r="M515" s="218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</row>
    <row r="516" ht="12.75" customHeight="1">
      <c r="A516" s="353"/>
      <c r="B516" s="54"/>
      <c r="E516" s="354"/>
      <c r="F516" s="354"/>
      <c r="G516" s="354"/>
      <c r="H516" s="242"/>
      <c r="I516" s="358"/>
      <c r="J516" s="217"/>
      <c r="K516" s="54"/>
      <c r="L516" s="218"/>
      <c r="M516" s="218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</row>
    <row r="517" ht="12.75" customHeight="1">
      <c r="A517" s="353"/>
      <c r="B517" s="54"/>
      <c r="E517" s="354"/>
      <c r="F517" s="354"/>
      <c r="G517" s="354"/>
      <c r="H517" s="242"/>
      <c r="I517" s="358"/>
      <c r="J517" s="217"/>
      <c r="K517" s="54"/>
      <c r="L517" s="218"/>
      <c r="M517" s="218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</row>
    <row r="518" ht="12.75" customHeight="1">
      <c r="A518" s="353"/>
      <c r="B518" s="54"/>
      <c r="E518" s="354"/>
      <c r="F518" s="354"/>
      <c r="G518" s="354"/>
      <c r="H518" s="242"/>
      <c r="I518" s="358"/>
      <c r="J518" s="217"/>
      <c r="K518" s="54"/>
      <c r="L518" s="218"/>
      <c r="M518" s="218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</row>
    <row r="519" ht="12.75" customHeight="1">
      <c r="A519" s="353"/>
      <c r="B519" s="54"/>
      <c r="E519" s="354"/>
      <c r="F519" s="354"/>
      <c r="G519" s="354"/>
      <c r="H519" s="242"/>
      <c r="I519" s="358"/>
      <c r="J519" s="217"/>
      <c r="K519" s="54"/>
      <c r="L519" s="218"/>
      <c r="M519" s="218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</row>
    <row r="520" ht="12.75" customHeight="1">
      <c r="A520" s="353"/>
      <c r="B520" s="54"/>
      <c r="E520" s="354"/>
      <c r="F520" s="354"/>
      <c r="G520" s="354"/>
      <c r="H520" s="242"/>
      <c r="I520" s="358"/>
      <c r="J520" s="217"/>
      <c r="K520" s="54"/>
      <c r="L520" s="218"/>
      <c r="M520" s="218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</row>
    <row r="521" ht="12.75" customHeight="1">
      <c r="A521" s="353"/>
      <c r="B521" s="54"/>
      <c r="E521" s="354"/>
      <c r="F521" s="354"/>
      <c r="G521" s="354"/>
      <c r="H521" s="242"/>
      <c r="I521" s="358"/>
      <c r="J521" s="217"/>
      <c r="K521" s="54"/>
      <c r="L521" s="218"/>
      <c r="M521" s="218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</row>
    <row r="522" ht="12.75" customHeight="1">
      <c r="A522" s="353"/>
      <c r="B522" s="54"/>
      <c r="E522" s="354"/>
      <c r="F522" s="354"/>
      <c r="G522" s="354"/>
      <c r="H522" s="242"/>
      <c r="I522" s="358"/>
      <c r="J522" s="217"/>
      <c r="K522" s="54"/>
      <c r="L522" s="218"/>
      <c r="M522" s="218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</row>
    <row r="523" ht="12.75" customHeight="1">
      <c r="A523" s="353"/>
      <c r="B523" s="54"/>
      <c r="E523" s="354"/>
      <c r="F523" s="354"/>
      <c r="G523" s="354"/>
      <c r="H523" s="242"/>
      <c r="I523" s="358"/>
      <c r="J523" s="217"/>
      <c r="K523" s="54"/>
      <c r="L523" s="218"/>
      <c r="M523" s="218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</row>
    <row r="524" ht="12.75" customHeight="1">
      <c r="A524" s="353"/>
      <c r="B524" s="54"/>
      <c r="E524" s="354"/>
      <c r="F524" s="354"/>
      <c r="G524" s="354"/>
      <c r="H524" s="242"/>
      <c r="I524" s="358"/>
      <c r="J524" s="217"/>
      <c r="K524" s="54"/>
      <c r="L524" s="218"/>
      <c r="M524" s="218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</row>
    <row r="525" ht="12.75" customHeight="1">
      <c r="A525" s="353"/>
      <c r="B525" s="54"/>
      <c r="E525" s="354"/>
      <c r="F525" s="354"/>
      <c r="G525" s="354"/>
      <c r="H525" s="242"/>
      <c r="I525" s="358"/>
      <c r="J525" s="217"/>
      <c r="K525" s="54"/>
      <c r="L525" s="218"/>
      <c r="M525" s="218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</row>
    <row r="526" ht="12.75" customHeight="1">
      <c r="A526" s="353"/>
      <c r="B526" s="54"/>
      <c r="E526" s="354"/>
      <c r="F526" s="354"/>
      <c r="G526" s="354"/>
      <c r="H526" s="242"/>
      <c r="I526" s="358"/>
      <c r="J526" s="217"/>
      <c r="K526" s="54"/>
      <c r="L526" s="218"/>
      <c r="M526" s="218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</row>
    <row r="527" ht="12.75" customHeight="1">
      <c r="A527" s="353"/>
      <c r="B527" s="54"/>
      <c r="E527" s="354"/>
      <c r="F527" s="354"/>
      <c r="G527" s="354"/>
      <c r="H527" s="242"/>
      <c r="I527" s="358"/>
      <c r="J527" s="217"/>
      <c r="K527" s="54"/>
      <c r="L527" s="218"/>
      <c r="M527" s="218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</row>
    <row r="528" ht="12.75" customHeight="1">
      <c r="A528" s="353"/>
      <c r="B528" s="54"/>
      <c r="E528" s="354"/>
      <c r="F528" s="354"/>
      <c r="G528" s="354"/>
      <c r="H528" s="242"/>
      <c r="I528" s="358"/>
      <c r="J528" s="217"/>
      <c r="K528" s="54"/>
      <c r="L528" s="218"/>
      <c r="M528" s="218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</row>
    <row r="529" ht="12.75" customHeight="1">
      <c r="A529" s="353"/>
      <c r="B529" s="54"/>
      <c r="E529" s="354"/>
      <c r="F529" s="354"/>
      <c r="G529" s="354"/>
      <c r="H529" s="242"/>
      <c r="I529" s="358"/>
      <c r="J529" s="217"/>
      <c r="K529" s="54"/>
      <c r="L529" s="218"/>
      <c r="M529" s="218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</row>
    <row r="530" ht="12.75" customHeight="1">
      <c r="A530" s="353"/>
      <c r="B530" s="54"/>
      <c r="E530" s="354"/>
      <c r="F530" s="354"/>
      <c r="G530" s="354"/>
      <c r="H530" s="242"/>
      <c r="I530" s="358"/>
      <c r="J530" s="217"/>
      <c r="K530" s="54"/>
      <c r="L530" s="218"/>
      <c r="M530" s="218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</row>
    <row r="531" ht="12.75" customHeight="1">
      <c r="A531" s="353"/>
      <c r="B531" s="54"/>
      <c r="E531" s="354"/>
      <c r="F531" s="354"/>
      <c r="G531" s="354"/>
      <c r="H531" s="242"/>
      <c r="I531" s="358"/>
      <c r="J531" s="217"/>
      <c r="K531" s="54"/>
      <c r="L531" s="218"/>
      <c r="M531" s="218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</row>
    <row r="532" ht="12.75" customHeight="1">
      <c r="A532" s="353"/>
      <c r="B532" s="54"/>
      <c r="E532" s="354"/>
      <c r="F532" s="354"/>
      <c r="G532" s="354"/>
      <c r="H532" s="242"/>
      <c r="I532" s="358"/>
      <c r="J532" s="217"/>
      <c r="K532" s="54"/>
      <c r="L532" s="218"/>
      <c r="M532" s="218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</row>
    <row r="533" ht="12.75" customHeight="1">
      <c r="A533" s="353"/>
      <c r="B533" s="54"/>
      <c r="E533" s="354"/>
      <c r="F533" s="354"/>
      <c r="G533" s="354"/>
      <c r="H533" s="242"/>
      <c r="I533" s="358"/>
      <c r="J533" s="217"/>
      <c r="K533" s="54"/>
      <c r="L533" s="218"/>
      <c r="M533" s="218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</row>
    <row r="534" ht="12.75" customHeight="1">
      <c r="A534" s="353"/>
      <c r="B534" s="54"/>
      <c r="E534" s="354"/>
      <c r="F534" s="354"/>
      <c r="G534" s="354"/>
      <c r="H534" s="242"/>
      <c r="I534" s="358"/>
      <c r="J534" s="217"/>
      <c r="K534" s="54"/>
      <c r="L534" s="218"/>
      <c r="M534" s="218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</row>
    <row r="535" ht="12.75" customHeight="1">
      <c r="A535" s="353"/>
      <c r="B535" s="54"/>
      <c r="E535" s="354"/>
      <c r="F535" s="354"/>
      <c r="G535" s="354"/>
      <c r="H535" s="242"/>
      <c r="I535" s="358"/>
      <c r="J535" s="217"/>
      <c r="K535" s="54"/>
      <c r="L535" s="218"/>
      <c r="M535" s="218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</row>
    <row r="536" ht="12.75" customHeight="1">
      <c r="A536" s="353"/>
      <c r="B536" s="54"/>
      <c r="E536" s="354"/>
      <c r="F536" s="354"/>
      <c r="G536" s="354"/>
      <c r="H536" s="242"/>
      <c r="I536" s="358"/>
      <c r="J536" s="217"/>
      <c r="K536" s="54"/>
      <c r="L536" s="218"/>
      <c r="M536" s="218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</row>
    <row r="537" ht="12.75" customHeight="1">
      <c r="A537" s="353"/>
      <c r="B537" s="54"/>
      <c r="E537" s="354"/>
      <c r="F537" s="354"/>
      <c r="G537" s="354"/>
      <c r="H537" s="242"/>
      <c r="I537" s="358"/>
      <c r="J537" s="217"/>
      <c r="K537" s="54"/>
      <c r="L537" s="218"/>
      <c r="M537" s="218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</row>
    <row r="538" ht="12.75" customHeight="1">
      <c r="A538" s="353"/>
      <c r="B538" s="54"/>
      <c r="E538" s="354"/>
      <c r="F538" s="354"/>
      <c r="G538" s="354"/>
      <c r="H538" s="242"/>
      <c r="I538" s="358"/>
      <c r="J538" s="217"/>
      <c r="K538" s="54"/>
      <c r="L538" s="218"/>
      <c r="M538" s="218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</row>
    <row r="539" ht="12.75" customHeight="1">
      <c r="A539" s="353"/>
      <c r="B539" s="54"/>
      <c r="E539" s="354"/>
      <c r="F539" s="354"/>
      <c r="G539" s="354"/>
      <c r="H539" s="242"/>
      <c r="I539" s="358"/>
      <c r="J539" s="217"/>
      <c r="K539" s="54"/>
      <c r="L539" s="218"/>
      <c r="M539" s="218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</row>
    <row r="540" ht="12.75" customHeight="1">
      <c r="A540" s="353"/>
      <c r="B540" s="54"/>
      <c r="E540" s="354"/>
      <c r="F540" s="354"/>
      <c r="G540" s="354"/>
      <c r="H540" s="242"/>
      <c r="I540" s="358"/>
      <c r="J540" s="217"/>
      <c r="K540" s="54"/>
      <c r="L540" s="218"/>
      <c r="M540" s="218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</row>
    <row r="541" ht="12.75" customHeight="1">
      <c r="A541" s="353"/>
      <c r="B541" s="54"/>
      <c r="E541" s="354"/>
      <c r="F541" s="354"/>
      <c r="G541" s="354"/>
      <c r="H541" s="242"/>
      <c r="I541" s="358"/>
      <c r="J541" s="217"/>
      <c r="K541" s="54"/>
      <c r="L541" s="218"/>
      <c r="M541" s="218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</row>
    <row r="542" ht="12.75" customHeight="1">
      <c r="A542" s="353"/>
      <c r="B542" s="54"/>
      <c r="E542" s="354"/>
      <c r="F542" s="354"/>
      <c r="G542" s="354"/>
      <c r="H542" s="242"/>
      <c r="I542" s="358"/>
      <c r="J542" s="217"/>
      <c r="K542" s="54"/>
      <c r="L542" s="218"/>
      <c r="M542" s="218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</row>
    <row r="543" ht="12.75" customHeight="1">
      <c r="A543" s="353"/>
      <c r="B543" s="54"/>
      <c r="E543" s="354"/>
      <c r="F543" s="354"/>
      <c r="G543" s="354"/>
      <c r="H543" s="242"/>
      <c r="I543" s="358"/>
      <c r="J543" s="217"/>
      <c r="K543" s="54"/>
      <c r="L543" s="218"/>
      <c r="M543" s="218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</row>
    <row r="544" ht="12.75" customHeight="1">
      <c r="A544" s="353"/>
      <c r="B544" s="54"/>
      <c r="E544" s="354"/>
      <c r="F544" s="354"/>
      <c r="G544" s="354"/>
      <c r="H544" s="242"/>
      <c r="I544" s="358"/>
      <c r="J544" s="217"/>
      <c r="K544" s="54"/>
      <c r="L544" s="218"/>
      <c r="M544" s="218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</row>
    <row r="545" ht="12.75" customHeight="1">
      <c r="A545" s="353"/>
      <c r="B545" s="54"/>
      <c r="E545" s="354"/>
      <c r="F545" s="354"/>
      <c r="G545" s="354"/>
      <c r="H545" s="242"/>
      <c r="I545" s="358"/>
      <c r="J545" s="217"/>
      <c r="K545" s="54"/>
      <c r="L545" s="218"/>
      <c r="M545" s="218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</row>
    <row r="546" ht="12.75" customHeight="1">
      <c r="A546" s="353"/>
      <c r="B546" s="54"/>
      <c r="E546" s="354"/>
      <c r="F546" s="354"/>
      <c r="G546" s="354"/>
      <c r="H546" s="242"/>
      <c r="I546" s="358"/>
      <c r="J546" s="217"/>
      <c r="K546" s="54"/>
      <c r="L546" s="218"/>
      <c r="M546" s="218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</row>
    <row r="547" ht="12.75" customHeight="1">
      <c r="A547" s="353"/>
      <c r="B547" s="54"/>
      <c r="E547" s="354"/>
      <c r="F547" s="354"/>
      <c r="G547" s="354"/>
      <c r="H547" s="242"/>
      <c r="I547" s="358"/>
      <c r="J547" s="217"/>
      <c r="K547" s="54"/>
      <c r="L547" s="218"/>
      <c r="M547" s="218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</row>
    <row r="548" ht="12.75" customHeight="1">
      <c r="A548" s="353"/>
      <c r="B548" s="54"/>
      <c r="E548" s="354"/>
      <c r="F548" s="354"/>
      <c r="G548" s="354"/>
      <c r="H548" s="242"/>
      <c r="I548" s="358"/>
      <c r="J548" s="217"/>
      <c r="K548" s="54"/>
      <c r="L548" s="218"/>
      <c r="M548" s="218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</row>
    <row r="549" ht="12.75" customHeight="1">
      <c r="A549" s="353"/>
      <c r="B549" s="54"/>
      <c r="E549" s="354"/>
      <c r="F549" s="354"/>
      <c r="G549" s="354"/>
      <c r="H549" s="242"/>
      <c r="I549" s="358"/>
      <c r="J549" s="217"/>
      <c r="K549" s="54"/>
      <c r="L549" s="218"/>
      <c r="M549" s="218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</row>
    <row r="550" ht="12.75" customHeight="1">
      <c r="A550" s="353"/>
      <c r="B550" s="54"/>
      <c r="E550" s="354"/>
      <c r="F550" s="354"/>
      <c r="G550" s="354"/>
      <c r="H550" s="242"/>
      <c r="I550" s="358"/>
      <c r="J550" s="217"/>
      <c r="K550" s="54"/>
      <c r="L550" s="218"/>
      <c r="M550" s="218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</row>
    <row r="551" ht="12.75" customHeight="1">
      <c r="A551" s="353"/>
      <c r="B551" s="54"/>
      <c r="E551" s="354"/>
      <c r="F551" s="354"/>
      <c r="G551" s="354"/>
      <c r="H551" s="242"/>
      <c r="I551" s="358"/>
      <c r="J551" s="217"/>
      <c r="K551" s="54"/>
      <c r="L551" s="218"/>
      <c r="M551" s="218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</row>
    <row r="552" ht="12.75" customHeight="1">
      <c r="A552" s="353"/>
      <c r="B552" s="54"/>
      <c r="E552" s="354"/>
      <c r="F552" s="354"/>
      <c r="G552" s="354"/>
      <c r="H552" s="242"/>
      <c r="I552" s="358"/>
      <c r="J552" s="217"/>
      <c r="K552" s="54"/>
      <c r="L552" s="218"/>
      <c r="M552" s="218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</row>
    <row r="553" ht="12.75" customHeight="1">
      <c r="A553" s="353"/>
      <c r="B553" s="54"/>
      <c r="E553" s="354"/>
      <c r="F553" s="354"/>
      <c r="G553" s="354"/>
      <c r="H553" s="242"/>
      <c r="I553" s="358"/>
      <c r="J553" s="217"/>
      <c r="K553" s="54"/>
      <c r="L553" s="218"/>
      <c r="M553" s="218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</row>
    <row r="554" ht="12.75" customHeight="1">
      <c r="A554" s="353"/>
      <c r="B554" s="54"/>
      <c r="E554" s="354"/>
      <c r="F554" s="354"/>
      <c r="G554" s="354"/>
      <c r="H554" s="242"/>
      <c r="I554" s="358"/>
      <c r="J554" s="217"/>
      <c r="K554" s="54"/>
      <c r="L554" s="218"/>
      <c r="M554" s="218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</row>
    <row r="555" ht="12.75" customHeight="1">
      <c r="A555" s="353"/>
      <c r="B555" s="54"/>
      <c r="E555" s="354"/>
      <c r="F555" s="354"/>
      <c r="G555" s="354"/>
      <c r="H555" s="242"/>
      <c r="I555" s="358"/>
      <c r="J555" s="217"/>
      <c r="K555" s="54"/>
      <c r="L555" s="218"/>
      <c r="M555" s="218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</row>
    <row r="556" ht="12.75" customHeight="1">
      <c r="A556" s="353"/>
      <c r="B556" s="54"/>
      <c r="E556" s="354"/>
      <c r="F556" s="354"/>
      <c r="G556" s="354"/>
      <c r="H556" s="242"/>
      <c r="I556" s="358"/>
      <c r="J556" s="217"/>
      <c r="K556" s="54"/>
      <c r="L556" s="218"/>
      <c r="M556" s="218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</row>
    <row r="557" ht="12.75" customHeight="1">
      <c r="A557" s="353"/>
      <c r="B557" s="54"/>
      <c r="E557" s="354"/>
      <c r="F557" s="354"/>
      <c r="G557" s="354"/>
      <c r="H557" s="242"/>
      <c r="I557" s="358"/>
      <c r="J557" s="217"/>
      <c r="K557" s="54"/>
      <c r="L557" s="218"/>
      <c r="M557" s="218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</row>
    <row r="558" ht="12.75" customHeight="1">
      <c r="A558" s="353"/>
      <c r="B558" s="54"/>
      <c r="E558" s="354"/>
      <c r="F558" s="354"/>
      <c r="G558" s="354"/>
      <c r="H558" s="242"/>
      <c r="I558" s="358"/>
      <c r="J558" s="217"/>
      <c r="K558" s="54"/>
      <c r="L558" s="218"/>
      <c r="M558" s="218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</row>
    <row r="559" ht="12.75" customHeight="1">
      <c r="A559" s="353"/>
      <c r="B559" s="54"/>
      <c r="E559" s="354"/>
      <c r="F559" s="354"/>
      <c r="G559" s="354"/>
      <c r="H559" s="242"/>
      <c r="I559" s="358"/>
      <c r="J559" s="217"/>
      <c r="K559" s="54"/>
      <c r="L559" s="218"/>
      <c r="M559" s="218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</row>
    <row r="560" ht="12.75" customHeight="1">
      <c r="A560" s="353"/>
      <c r="B560" s="54"/>
      <c r="E560" s="354"/>
      <c r="F560" s="354"/>
      <c r="G560" s="354"/>
      <c r="H560" s="242"/>
      <c r="I560" s="358"/>
      <c r="J560" s="217"/>
      <c r="K560" s="54"/>
      <c r="L560" s="218"/>
      <c r="M560" s="218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</row>
    <row r="561" ht="12.75" customHeight="1">
      <c r="A561" s="353"/>
      <c r="B561" s="54"/>
      <c r="E561" s="354"/>
      <c r="F561" s="354"/>
      <c r="G561" s="354"/>
      <c r="H561" s="242"/>
      <c r="I561" s="358"/>
      <c r="J561" s="217"/>
      <c r="K561" s="54"/>
      <c r="L561" s="218"/>
      <c r="M561" s="218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</row>
    <row r="562" ht="12.75" customHeight="1">
      <c r="A562" s="353"/>
      <c r="B562" s="54"/>
      <c r="E562" s="354"/>
      <c r="F562" s="354"/>
      <c r="G562" s="354"/>
      <c r="H562" s="242"/>
      <c r="I562" s="358"/>
      <c r="J562" s="217"/>
      <c r="K562" s="54"/>
      <c r="L562" s="218"/>
      <c r="M562" s="218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</row>
    <row r="563" ht="12.75" customHeight="1">
      <c r="A563" s="353"/>
      <c r="B563" s="54"/>
      <c r="E563" s="354"/>
      <c r="F563" s="354"/>
      <c r="G563" s="354"/>
      <c r="H563" s="242"/>
      <c r="I563" s="358"/>
      <c r="J563" s="217"/>
      <c r="K563" s="54"/>
      <c r="L563" s="218"/>
      <c r="M563" s="218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</row>
    <row r="564" ht="12.75" customHeight="1">
      <c r="A564" s="353"/>
      <c r="B564" s="54"/>
      <c r="E564" s="354"/>
      <c r="F564" s="354"/>
      <c r="G564" s="354"/>
      <c r="H564" s="242"/>
      <c r="I564" s="358"/>
      <c r="J564" s="217"/>
      <c r="K564" s="54"/>
      <c r="L564" s="218"/>
      <c r="M564" s="218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</row>
    <row r="565" ht="12.75" customHeight="1">
      <c r="A565" s="353"/>
      <c r="B565" s="54"/>
      <c r="E565" s="354"/>
      <c r="F565" s="354"/>
      <c r="G565" s="354"/>
      <c r="H565" s="242"/>
      <c r="I565" s="358"/>
      <c r="J565" s="217"/>
      <c r="K565" s="54"/>
      <c r="L565" s="218"/>
      <c r="M565" s="218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</row>
    <row r="566" ht="12.75" customHeight="1">
      <c r="A566" s="353"/>
      <c r="B566" s="54"/>
      <c r="E566" s="354"/>
      <c r="F566" s="354"/>
      <c r="G566" s="354"/>
      <c r="H566" s="242"/>
      <c r="I566" s="358"/>
      <c r="J566" s="217"/>
      <c r="K566" s="54"/>
      <c r="L566" s="218"/>
      <c r="M566" s="218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</row>
    <row r="567" ht="12.75" customHeight="1">
      <c r="A567" s="353"/>
      <c r="B567" s="54"/>
      <c r="E567" s="354"/>
      <c r="F567" s="354"/>
      <c r="G567" s="354"/>
      <c r="H567" s="242"/>
      <c r="I567" s="358"/>
      <c r="J567" s="217"/>
      <c r="K567" s="54"/>
      <c r="L567" s="218"/>
      <c r="M567" s="218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</row>
    <row r="568" ht="12.75" customHeight="1">
      <c r="A568" s="353"/>
      <c r="B568" s="54"/>
      <c r="E568" s="354"/>
      <c r="F568" s="354"/>
      <c r="G568" s="354"/>
      <c r="H568" s="242"/>
      <c r="I568" s="358"/>
      <c r="J568" s="217"/>
      <c r="K568" s="54"/>
      <c r="L568" s="218"/>
      <c r="M568" s="218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</row>
    <row r="569" ht="12.75" customHeight="1">
      <c r="A569" s="353"/>
      <c r="B569" s="54"/>
      <c r="E569" s="354"/>
      <c r="F569" s="354"/>
      <c r="G569" s="354"/>
      <c r="H569" s="242"/>
      <c r="I569" s="358"/>
      <c r="J569" s="217"/>
      <c r="K569" s="54"/>
      <c r="L569" s="218"/>
      <c r="M569" s="218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</row>
    <row r="570" ht="12.75" customHeight="1">
      <c r="A570" s="353"/>
      <c r="B570" s="54"/>
      <c r="E570" s="354"/>
      <c r="F570" s="354"/>
      <c r="G570" s="354"/>
      <c r="H570" s="242"/>
      <c r="I570" s="358"/>
      <c r="J570" s="217"/>
      <c r="K570" s="54"/>
      <c r="L570" s="218"/>
      <c r="M570" s="218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</row>
    <row r="571" ht="12.75" customHeight="1">
      <c r="A571" s="353"/>
      <c r="B571" s="54"/>
      <c r="E571" s="354"/>
      <c r="F571" s="354"/>
      <c r="G571" s="354"/>
      <c r="H571" s="242"/>
      <c r="I571" s="358"/>
      <c r="J571" s="217"/>
      <c r="K571" s="54"/>
      <c r="L571" s="218"/>
      <c r="M571" s="218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</row>
    <row r="572" ht="12.75" customHeight="1">
      <c r="A572" s="353"/>
      <c r="B572" s="54"/>
      <c r="E572" s="354"/>
      <c r="F572" s="354"/>
      <c r="G572" s="354"/>
      <c r="H572" s="242"/>
      <c r="I572" s="358"/>
      <c r="J572" s="217"/>
      <c r="K572" s="54"/>
      <c r="L572" s="218"/>
      <c r="M572" s="218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</row>
    <row r="573" ht="12.75" customHeight="1">
      <c r="A573" s="353"/>
      <c r="B573" s="54"/>
      <c r="E573" s="354"/>
      <c r="F573" s="354"/>
      <c r="G573" s="354"/>
      <c r="H573" s="242"/>
      <c r="I573" s="358"/>
      <c r="J573" s="217"/>
      <c r="K573" s="54"/>
      <c r="L573" s="218"/>
      <c r="M573" s="218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</row>
    <row r="574" ht="12.75" customHeight="1">
      <c r="A574" s="353"/>
      <c r="B574" s="54"/>
      <c r="E574" s="354"/>
      <c r="F574" s="354"/>
      <c r="G574" s="354"/>
      <c r="H574" s="242"/>
      <c r="I574" s="358"/>
      <c r="J574" s="217"/>
      <c r="K574" s="54"/>
      <c r="L574" s="218"/>
      <c r="M574" s="218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</row>
    <row r="575" ht="12.75" customHeight="1">
      <c r="A575" s="353"/>
      <c r="B575" s="54"/>
      <c r="E575" s="354"/>
      <c r="F575" s="354"/>
      <c r="G575" s="354"/>
      <c r="H575" s="242"/>
      <c r="I575" s="358"/>
      <c r="J575" s="217"/>
      <c r="K575" s="54"/>
      <c r="L575" s="218"/>
      <c r="M575" s="218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</row>
    <row r="576" ht="12.75" customHeight="1">
      <c r="A576" s="353"/>
      <c r="B576" s="54"/>
      <c r="E576" s="354"/>
      <c r="F576" s="354"/>
      <c r="G576" s="354"/>
      <c r="H576" s="242"/>
      <c r="I576" s="358"/>
      <c r="J576" s="217"/>
      <c r="K576" s="54"/>
      <c r="L576" s="218"/>
      <c r="M576" s="218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</row>
    <row r="577" ht="12.75" customHeight="1">
      <c r="A577" s="353"/>
      <c r="B577" s="54"/>
      <c r="E577" s="354"/>
      <c r="F577" s="354"/>
      <c r="G577" s="354"/>
      <c r="H577" s="242"/>
      <c r="I577" s="358"/>
      <c r="J577" s="217"/>
      <c r="K577" s="54"/>
      <c r="L577" s="218"/>
      <c r="M577" s="218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</row>
    <row r="578" ht="12.75" customHeight="1">
      <c r="A578" s="353"/>
      <c r="B578" s="54"/>
      <c r="E578" s="354"/>
      <c r="F578" s="354"/>
      <c r="G578" s="354"/>
      <c r="H578" s="242"/>
      <c r="I578" s="358"/>
      <c r="J578" s="217"/>
      <c r="K578" s="54"/>
      <c r="L578" s="218"/>
      <c r="M578" s="218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</row>
    <row r="579" ht="12.75" customHeight="1">
      <c r="A579" s="353"/>
      <c r="B579" s="54"/>
      <c r="E579" s="354"/>
      <c r="F579" s="354"/>
      <c r="G579" s="354"/>
      <c r="H579" s="242"/>
      <c r="I579" s="358"/>
      <c r="J579" s="217"/>
      <c r="K579" s="54"/>
      <c r="L579" s="218"/>
      <c r="M579" s="218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</row>
    <row r="580" ht="12.75" customHeight="1">
      <c r="A580" s="353"/>
      <c r="B580" s="54"/>
      <c r="E580" s="354"/>
      <c r="F580" s="354"/>
      <c r="G580" s="354"/>
      <c r="H580" s="242"/>
      <c r="I580" s="358"/>
      <c r="J580" s="217"/>
      <c r="K580" s="54"/>
      <c r="L580" s="218"/>
      <c r="M580" s="218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</row>
    <row r="581" ht="12.75" customHeight="1">
      <c r="A581" s="353"/>
      <c r="B581" s="54"/>
      <c r="E581" s="354"/>
      <c r="F581" s="354"/>
      <c r="G581" s="354"/>
      <c r="H581" s="242"/>
      <c r="I581" s="358"/>
      <c r="J581" s="217"/>
      <c r="K581" s="54"/>
      <c r="L581" s="218"/>
      <c r="M581" s="218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</row>
    <row r="582" ht="12.75" customHeight="1">
      <c r="A582" s="353"/>
      <c r="B582" s="54"/>
      <c r="E582" s="354"/>
      <c r="F582" s="354"/>
      <c r="G582" s="354"/>
      <c r="H582" s="242"/>
      <c r="I582" s="358"/>
      <c r="J582" s="217"/>
      <c r="K582" s="54"/>
      <c r="L582" s="218"/>
      <c r="M582" s="218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</row>
    <row r="583" ht="12.75" customHeight="1">
      <c r="A583" s="353"/>
      <c r="B583" s="54"/>
      <c r="E583" s="354"/>
      <c r="F583" s="354"/>
      <c r="G583" s="354"/>
      <c r="H583" s="242"/>
      <c r="I583" s="358"/>
      <c r="J583" s="217"/>
      <c r="K583" s="54"/>
      <c r="L583" s="218"/>
      <c r="M583" s="218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</row>
    <row r="584" ht="12.75" customHeight="1">
      <c r="A584" s="353"/>
      <c r="B584" s="54"/>
      <c r="E584" s="354"/>
      <c r="F584" s="354"/>
      <c r="G584" s="354"/>
      <c r="H584" s="242"/>
      <c r="I584" s="358"/>
      <c r="J584" s="217"/>
      <c r="K584" s="54"/>
      <c r="L584" s="218"/>
      <c r="M584" s="218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</row>
    <row r="585" ht="12.75" customHeight="1">
      <c r="A585" s="353"/>
      <c r="B585" s="54"/>
      <c r="E585" s="354"/>
      <c r="F585" s="354"/>
      <c r="G585" s="354"/>
      <c r="H585" s="242"/>
      <c r="I585" s="358"/>
      <c r="J585" s="217"/>
      <c r="K585" s="54"/>
      <c r="L585" s="218"/>
      <c r="M585" s="218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</row>
    <row r="586" ht="12.75" customHeight="1">
      <c r="A586" s="353"/>
      <c r="B586" s="54"/>
      <c r="E586" s="354"/>
      <c r="F586" s="354"/>
      <c r="G586" s="354"/>
      <c r="H586" s="242"/>
      <c r="I586" s="358"/>
      <c r="J586" s="217"/>
      <c r="K586" s="54"/>
      <c r="L586" s="218"/>
      <c r="M586" s="218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</row>
    <row r="587" ht="12.75" customHeight="1">
      <c r="A587" s="353"/>
      <c r="B587" s="54"/>
      <c r="E587" s="354"/>
      <c r="F587" s="354"/>
      <c r="G587" s="354"/>
      <c r="H587" s="242"/>
      <c r="I587" s="358"/>
      <c r="J587" s="217"/>
      <c r="K587" s="54"/>
      <c r="L587" s="218"/>
      <c r="M587" s="218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</row>
    <row r="588" ht="12.75" customHeight="1">
      <c r="A588" s="353"/>
      <c r="B588" s="54"/>
      <c r="E588" s="354"/>
      <c r="F588" s="354"/>
      <c r="G588" s="354"/>
      <c r="H588" s="242"/>
      <c r="I588" s="358"/>
      <c r="J588" s="217"/>
      <c r="K588" s="54"/>
      <c r="L588" s="218"/>
      <c r="M588" s="218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</row>
    <row r="589" ht="12.75" customHeight="1">
      <c r="A589" s="353"/>
      <c r="B589" s="54"/>
      <c r="E589" s="354"/>
      <c r="F589" s="354"/>
      <c r="G589" s="354"/>
      <c r="H589" s="242"/>
      <c r="I589" s="358"/>
      <c r="J589" s="217"/>
      <c r="K589" s="54"/>
      <c r="L589" s="218"/>
      <c r="M589" s="218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</row>
    <row r="590" ht="12.75" customHeight="1">
      <c r="A590" s="353"/>
      <c r="B590" s="54"/>
      <c r="E590" s="354"/>
      <c r="F590" s="354"/>
      <c r="G590" s="354"/>
      <c r="H590" s="242"/>
      <c r="I590" s="358"/>
      <c r="J590" s="217"/>
      <c r="K590" s="54"/>
      <c r="L590" s="218"/>
      <c r="M590" s="218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</row>
    <row r="591" ht="12.75" customHeight="1">
      <c r="A591" s="353"/>
      <c r="B591" s="54"/>
      <c r="E591" s="354"/>
      <c r="F591" s="354"/>
      <c r="G591" s="354"/>
      <c r="H591" s="242"/>
      <c r="I591" s="358"/>
      <c r="J591" s="217"/>
      <c r="K591" s="54"/>
      <c r="L591" s="218"/>
      <c r="M591" s="218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</row>
    <row r="592" ht="12.75" customHeight="1">
      <c r="A592" s="353"/>
      <c r="B592" s="54"/>
      <c r="E592" s="354"/>
      <c r="F592" s="354"/>
      <c r="G592" s="354"/>
      <c r="H592" s="242"/>
      <c r="I592" s="358"/>
      <c r="J592" s="217"/>
      <c r="K592" s="54"/>
      <c r="L592" s="218"/>
      <c r="M592" s="218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</row>
    <row r="593" ht="12.75" customHeight="1">
      <c r="A593" s="353"/>
      <c r="B593" s="54"/>
      <c r="E593" s="354"/>
      <c r="F593" s="354"/>
      <c r="G593" s="354"/>
      <c r="H593" s="242"/>
      <c r="I593" s="358"/>
      <c r="J593" s="217"/>
      <c r="K593" s="54"/>
      <c r="L593" s="218"/>
      <c r="M593" s="218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</row>
    <row r="594" ht="12.75" customHeight="1">
      <c r="A594" s="353"/>
      <c r="B594" s="54"/>
      <c r="E594" s="354"/>
      <c r="F594" s="354"/>
      <c r="G594" s="354"/>
      <c r="H594" s="242"/>
      <c r="I594" s="358"/>
      <c r="J594" s="217"/>
      <c r="K594" s="54"/>
      <c r="L594" s="218"/>
      <c r="M594" s="218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</row>
    <row r="595" ht="12.75" customHeight="1">
      <c r="A595" s="353"/>
      <c r="B595" s="54"/>
      <c r="E595" s="354"/>
      <c r="F595" s="354"/>
      <c r="G595" s="354"/>
      <c r="H595" s="242"/>
      <c r="I595" s="358"/>
      <c r="J595" s="217"/>
      <c r="K595" s="54"/>
      <c r="L595" s="218"/>
      <c r="M595" s="218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</row>
    <row r="596" ht="12.75" customHeight="1">
      <c r="A596" s="353"/>
      <c r="B596" s="54"/>
      <c r="E596" s="354"/>
      <c r="F596" s="354"/>
      <c r="G596" s="354"/>
      <c r="H596" s="242"/>
      <c r="I596" s="358"/>
      <c r="J596" s="217"/>
      <c r="K596" s="54"/>
      <c r="L596" s="218"/>
      <c r="M596" s="218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</row>
    <row r="597" ht="12.75" customHeight="1">
      <c r="A597" s="353"/>
      <c r="B597" s="54"/>
      <c r="E597" s="354"/>
      <c r="F597" s="354"/>
      <c r="G597" s="354"/>
      <c r="H597" s="242"/>
      <c r="I597" s="358"/>
      <c r="J597" s="217"/>
      <c r="K597" s="54"/>
      <c r="L597" s="218"/>
      <c r="M597" s="218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</row>
    <row r="598" ht="12.75" customHeight="1">
      <c r="A598" s="353"/>
      <c r="B598" s="54"/>
      <c r="E598" s="354"/>
      <c r="F598" s="354"/>
      <c r="G598" s="354"/>
      <c r="H598" s="242"/>
      <c r="I598" s="358"/>
      <c r="J598" s="217"/>
      <c r="K598" s="54"/>
      <c r="L598" s="218"/>
      <c r="M598" s="218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</row>
    <row r="599" ht="12.75" customHeight="1">
      <c r="A599" s="353"/>
      <c r="B599" s="54"/>
      <c r="E599" s="354"/>
      <c r="F599" s="354"/>
      <c r="G599" s="354"/>
      <c r="H599" s="242"/>
      <c r="I599" s="358"/>
      <c r="J599" s="217"/>
      <c r="K599" s="54"/>
      <c r="L599" s="218"/>
      <c r="M599" s="218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</row>
    <row r="600" ht="12.75" customHeight="1">
      <c r="A600" s="353"/>
      <c r="B600" s="54"/>
      <c r="E600" s="354"/>
      <c r="F600" s="354"/>
      <c r="G600" s="354"/>
      <c r="H600" s="242"/>
      <c r="I600" s="358"/>
      <c r="J600" s="217"/>
      <c r="K600" s="54"/>
      <c r="L600" s="218"/>
      <c r="M600" s="218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</row>
    <row r="601" ht="12.75" customHeight="1">
      <c r="A601" s="353"/>
      <c r="B601" s="54"/>
      <c r="E601" s="354"/>
      <c r="F601" s="354"/>
      <c r="G601" s="354"/>
      <c r="H601" s="242"/>
      <c r="I601" s="358"/>
      <c r="J601" s="217"/>
      <c r="K601" s="54"/>
      <c r="L601" s="218"/>
      <c r="M601" s="218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</row>
    <row r="602" ht="12.75" customHeight="1">
      <c r="A602" s="353"/>
      <c r="B602" s="54"/>
      <c r="E602" s="354"/>
      <c r="F602" s="354"/>
      <c r="G602" s="354"/>
      <c r="H602" s="242"/>
      <c r="I602" s="358"/>
      <c r="J602" s="217"/>
      <c r="K602" s="54"/>
      <c r="L602" s="218"/>
      <c r="M602" s="218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</row>
    <row r="603" ht="12.75" customHeight="1">
      <c r="A603" s="353"/>
      <c r="B603" s="54"/>
      <c r="E603" s="354"/>
      <c r="F603" s="354"/>
      <c r="G603" s="354"/>
      <c r="H603" s="242"/>
      <c r="I603" s="358"/>
      <c r="J603" s="217"/>
      <c r="K603" s="54"/>
      <c r="L603" s="218"/>
      <c r="M603" s="218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</row>
    <row r="604" ht="12.75" customHeight="1">
      <c r="A604" s="353"/>
      <c r="B604" s="54"/>
      <c r="E604" s="354"/>
      <c r="F604" s="354"/>
      <c r="G604" s="354"/>
      <c r="H604" s="242"/>
      <c r="I604" s="358"/>
      <c r="J604" s="217"/>
      <c r="K604" s="54"/>
      <c r="L604" s="218"/>
      <c r="M604" s="218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</row>
    <row r="605" ht="12.75" customHeight="1">
      <c r="A605" s="353"/>
      <c r="B605" s="54"/>
      <c r="E605" s="354"/>
      <c r="F605" s="354"/>
      <c r="G605" s="354"/>
      <c r="H605" s="242"/>
      <c r="I605" s="358"/>
      <c r="J605" s="217"/>
      <c r="K605" s="54"/>
      <c r="L605" s="218"/>
      <c r="M605" s="218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</row>
    <row r="606" ht="12.75" customHeight="1">
      <c r="A606" s="353"/>
      <c r="B606" s="54"/>
      <c r="E606" s="354"/>
      <c r="F606" s="354"/>
      <c r="G606" s="354"/>
      <c r="H606" s="242"/>
      <c r="I606" s="358"/>
      <c r="J606" s="217"/>
      <c r="K606" s="54"/>
      <c r="L606" s="218"/>
      <c r="M606" s="218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</row>
    <row r="607" ht="12.75" customHeight="1">
      <c r="A607" s="353"/>
      <c r="B607" s="54"/>
      <c r="E607" s="354"/>
      <c r="F607" s="354"/>
      <c r="G607" s="354"/>
      <c r="H607" s="242"/>
      <c r="I607" s="358"/>
      <c r="J607" s="217"/>
      <c r="K607" s="54"/>
      <c r="L607" s="218"/>
      <c r="M607" s="218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</row>
    <row r="608" ht="12.75" customHeight="1">
      <c r="A608" s="353"/>
      <c r="B608" s="54"/>
      <c r="E608" s="354"/>
      <c r="F608" s="354"/>
      <c r="G608" s="354"/>
      <c r="H608" s="242"/>
      <c r="I608" s="358"/>
      <c r="J608" s="217"/>
      <c r="K608" s="54"/>
      <c r="L608" s="218"/>
      <c r="M608" s="218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</row>
    <row r="609" ht="12.75" customHeight="1">
      <c r="A609" s="353"/>
      <c r="B609" s="54"/>
      <c r="E609" s="354"/>
      <c r="F609" s="354"/>
      <c r="G609" s="354"/>
      <c r="H609" s="242"/>
      <c r="I609" s="358"/>
      <c r="J609" s="217"/>
      <c r="K609" s="54"/>
      <c r="L609" s="218"/>
      <c r="M609" s="218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</row>
    <row r="610" ht="12.75" customHeight="1">
      <c r="A610" s="353"/>
      <c r="B610" s="54"/>
      <c r="E610" s="354"/>
      <c r="F610" s="354"/>
      <c r="G610" s="354"/>
      <c r="H610" s="242"/>
      <c r="I610" s="358"/>
      <c r="J610" s="217"/>
      <c r="K610" s="54"/>
      <c r="L610" s="218"/>
      <c r="M610" s="218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</row>
    <row r="611" ht="12.75" customHeight="1">
      <c r="A611" s="353"/>
      <c r="B611" s="54"/>
      <c r="E611" s="354"/>
      <c r="F611" s="354"/>
      <c r="G611" s="354"/>
      <c r="H611" s="242"/>
      <c r="I611" s="358"/>
      <c r="J611" s="217"/>
      <c r="K611" s="54"/>
      <c r="L611" s="218"/>
      <c r="M611" s="218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</row>
    <row r="612" ht="12.75" customHeight="1">
      <c r="A612" s="353"/>
      <c r="B612" s="54"/>
      <c r="E612" s="354"/>
      <c r="F612" s="354"/>
      <c r="G612" s="354"/>
      <c r="H612" s="242"/>
      <c r="I612" s="358"/>
      <c r="J612" s="217"/>
      <c r="K612" s="54"/>
      <c r="L612" s="218"/>
      <c r="M612" s="218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</row>
    <row r="613" ht="12.75" customHeight="1">
      <c r="A613" s="353"/>
      <c r="B613" s="54"/>
      <c r="E613" s="354"/>
      <c r="F613" s="354"/>
      <c r="G613" s="354"/>
      <c r="H613" s="242"/>
      <c r="I613" s="358"/>
      <c r="J613" s="217"/>
      <c r="K613" s="54"/>
      <c r="L613" s="218"/>
      <c r="M613" s="218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</row>
    <row r="614" ht="12.75" customHeight="1">
      <c r="A614" s="353"/>
      <c r="B614" s="54"/>
      <c r="E614" s="354"/>
      <c r="F614" s="354"/>
      <c r="G614" s="354"/>
      <c r="H614" s="242"/>
      <c r="I614" s="358"/>
      <c r="J614" s="217"/>
      <c r="K614" s="54"/>
      <c r="L614" s="218"/>
      <c r="M614" s="218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</row>
    <row r="615" ht="12.75" customHeight="1">
      <c r="A615" s="353"/>
      <c r="B615" s="54"/>
      <c r="E615" s="354"/>
      <c r="F615" s="354"/>
      <c r="G615" s="354"/>
      <c r="H615" s="242"/>
      <c r="I615" s="358"/>
      <c r="J615" s="217"/>
      <c r="K615" s="54"/>
      <c r="L615" s="218"/>
      <c r="M615" s="218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</row>
    <row r="616" ht="12.75" customHeight="1">
      <c r="A616" s="353"/>
      <c r="B616" s="54"/>
      <c r="E616" s="354"/>
      <c r="F616" s="354"/>
      <c r="G616" s="354"/>
      <c r="H616" s="242"/>
      <c r="I616" s="358"/>
      <c r="J616" s="217"/>
      <c r="K616" s="54"/>
      <c r="L616" s="218"/>
      <c r="M616" s="218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</row>
    <row r="617" ht="12.75" customHeight="1">
      <c r="A617" s="353"/>
      <c r="B617" s="54"/>
      <c r="E617" s="354"/>
      <c r="F617" s="354"/>
      <c r="G617" s="354"/>
      <c r="H617" s="242"/>
      <c r="I617" s="358"/>
      <c r="J617" s="217"/>
      <c r="K617" s="54"/>
      <c r="L617" s="218"/>
      <c r="M617" s="218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</row>
    <row r="618" ht="12.75" customHeight="1">
      <c r="A618" s="353"/>
      <c r="B618" s="54"/>
      <c r="E618" s="354"/>
      <c r="F618" s="354"/>
      <c r="G618" s="354"/>
      <c r="H618" s="242"/>
      <c r="I618" s="358"/>
      <c r="J618" s="217"/>
      <c r="K618" s="54"/>
      <c r="L618" s="218"/>
      <c r="M618" s="218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</row>
    <row r="619" ht="12.75" customHeight="1">
      <c r="A619" s="353"/>
      <c r="B619" s="54"/>
      <c r="E619" s="354"/>
      <c r="F619" s="354"/>
      <c r="G619" s="354"/>
      <c r="H619" s="242"/>
      <c r="I619" s="358"/>
      <c r="J619" s="217"/>
      <c r="K619" s="54"/>
      <c r="L619" s="218"/>
      <c r="M619" s="218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</row>
    <row r="620" ht="12.75" customHeight="1">
      <c r="A620" s="353"/>
      <c r="B620" s="54"/>
      <c r="E620" s="354"/>
      <c r="F620" s="354"/>
      <c r="G620" s="354"/>
      <c r="H620" s="242"/>
      <c r="I620" s="358"/>
      <c r="J620" s="217"/>
      <c r="K620" s="54"/>
      <c r="L620" s="218"/>
      <c r="M620" s="218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</row>
    <row r="621" ht="12.75" customHeight="1">
      <c r="A621" s="353"/>
      <c r="B621" s="54"/>
      <c r="E621" s="354"/>
      <c r="F621" s="354"/>
      <c r="G621" s="354"/>
      <c r="H621" s="242"/>
      <c r="I621" s="358"/>
      <c r="J621" s="217"/>
      <c r="K621" s="54"/>
      <c r="L621" s="218"/>
      <c r="M621" s="218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</row>
    <row r="622" ht="12.75" customHeight="1">
      <c r="A622" s="353"/>
      <c r="B622" s="54"/>
      <c r="E622" s="354"/>
      <c r="F622" s="354"/>
      <c r="G622" s="354"/>
      <c r="H622" s="242"/>
      <c r="I622" s="358"/>
      <c r="J622" s="217"/>
      <c r="K622" s="54"/>
      <c r="L622" s="218"/>
      <c r="M622" s="218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</row>
    <row r="623" ht="12.75" customHeight="1">
      <c r="A623" s="353"/>
      <c r="B623" s="54"/>
      <c r="E623" s="354"/>
      <c r="F623" s="354"/>
      <c r="G623" s="354"/>
      <c r="H623" s="242"/>
      <c r="I623" s="358"/>
      <c r="J623" s="217"/>
      <c r="K623" s="54"/>
      <c r="L623" s="218"/>
      <c r="M623" s="218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</row>
    <row r="624" ht="12.75" customHeight="1">
      <c r="A624" s="353"/>
      <c r="B624" s="54"/>
      <c r="E624" s="354"/>
      <c r="F624" s="354"/>
      <c r="G624" s="354"/>
      <c r="H624" s="242"/>
      <c r="I624" s="358"/>
      <c r="J624" s="217"/>
      <c r="K624" s="54"/>
      <c r="L624" s="218"/>
      <c r="M624" s="218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</row>
    <row r="625" ht="12.75" customHeight="1">
      <c r="A625" s="353"/>
      <c r="B625" s="54"/>
      <c r="E625" s="354"/>
      <c r="F625" s="354"/>
      <c r="G625" s="354"/>
      <c r="H625" s="242"/>
      <c r="I625" s="358"/>
      <c r="J625" s="217"/>
      <c r="K625" s="54"/>
      <c r="L625" s="218"/>
      <c r="M625" s="218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</row>
    <row r="626" ht="12.75" customHeight="1">
      <c r="A626" s="353"/>
      <c r="B626" s="54"/>
      <c r="E626" s="354"/>
      <c r="F626" s="354"/>
      <c r="G626" s="354"/>
      <c r="H626" s="242"/>
      <c r="I626" s="358"/>
      <c r="J626" s="217"/>
      <c r="K626" s="54"/>
      <c r="L626" s="218"/>
      <c r="M626" s="218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</row>
    <row r="627" ht="12.75" customHeight="1">
      <c r="A627" s="353"/>
      <c r="B627" s="54"/>
      <c r="E627" s="354"/>
      <c r="F627" s="354"/>
      <c r="G627" s="354"/>
      <c r="H627" s="242"/>
      <c r="I627" s="358"/>
      <c r="J627" s="217"/>
      <c r="K627" s="54"/>
      <c r="L627" s="218"/>
      <c r="M627" s="218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</row>
    <row r="628" ht="12.75" customHeight="1">
      <c r="A628" s="353"/>
      <c r="B628" s="54"/>
      <c r="E628" s="354"/>
      <c r="F628" s="354"/>
      <c r="G628" s="354"/>
      <c r="H628" s="242"/>
      <c r="I628" s="358"/>
      <c r="J628" s="217"/>
      <c r="K628" s="54"/>
      <c r="L628" s="218"/>
      <c r="M628" s="218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</row>
    <row r="629" ht="12.75" customHeight="1">
      <c r="A629" s="353"/>
      <c r="B629" s="54"/>
      <c r="E629" s="354"/>
      <c r="F629" s="354"/>
      <c r="G629" s="354"/>
      <c r="H629" s="242"/>
      <c r="I629" s="358"/>
      <c r="J629" s="217"/>
      <c r="K629" s="54"/>
      <c r="L629" s="218"/>
      <c r="M629" s="218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</row>
    <row r="630" ht="12.75" customHeight="1">
      <c r="A630" s="353"/>
      <c r="B630" s="54"/>
      <c r="E630" s="354"/>
      <c r="F630" s="354"/>
      <c r="G630" s="354"/>
      <c r="H630" s="242"/>
      <c r="I630" s="358"/>
      <c r="J630" s="217"/>
      <c r="K630" s="54"/>
      <c r="L630" s="218"/>
      <c r="M630" s="218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</row>
    <row r="631" ht="12.75" customHeight="1">
      <c r="A631" s="353"/>
      <c r="B631" s="54"/>
      <c r="E631" s="354"/>
      <c r="F631" s="354"/>
      <c r="G631" s="354"/>
      <c r="H631" s="242"/>
      <c r="I631" s="358"/>
      <c r="J631" s="217"/>
      <c r="K631" s="54"/>
      <c r="L631" s="218"/>
      <c r="M631" s="218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</row>
    <row r="632" ht="12.75" customHeight="1">
      <c r="A632" s="353"/>
      <c r="B632" s="54"/>
      <c r="E632" s="354"/>
      <c r="F632" s="354"/>
      <c r="G632" s="354"/>
      <c r="H632" s="242"/>
      <c r="I632" s="358"/>
      <c r="J632" s="217"/>
      <c r="K632" s="54"/>
      <c r="L632" s="218"/>
      <c r="M632" s="218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</row>
    <row r="633" ht="12.75" customHeight="1">
      <c r="A633" s="353"/>
      <c r="B633" s="54"/>
      <c r="E633" s="354"/>
      <c r="F633" s="354"/>
      <c r="G633" s="354"/>
      <c r="H633" s="242"/>
      <c r="I633" s="358"/>
      <c r="J633" s="217"/>
      <c r="K633" s="54"/>
      <c r="L633" s="218"/>
      <c r="M633" s="218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</row>
    <row r="634" ht="12.75" customHeight="1">
      <c r="A634" s="353"/>
      <c r="B634" s="54"/>
      <c r="E634" s="354"/>
      <c r="F634" s="354"/>
      <c r="G634" s="354"/>
      <c r="H634" s="242"/>
      <c r="I634" s="358"/>
      <c r="J634" s="217"/>
      <c r="K634" s="54"/>
      <c r="L634" s="218"/>
      <c r="M634" s="218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</row>
    <row r="635" ht="12.75" customHeight="1">
      <c r="A635" s="353"/>
      <c r="B635" s="54"/>
      <c r="E635" s="354"/>
      <c r="F635" s="354"/>
      <c r="G635" s="354"/>
      <c r="H635" s="242"/>
      <c r="I635" s="358"/>
      <c r="J635" s="217"/>
      <c r="K635" s="54"/>
      <c r="L635" s="218"/>
      <c r="M635" s="218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</row>
    <row r="636" ht="12.75" customHeight="1">
      <c r="A636" s="353"/>
      <c r="B636" s="54"/>
      <c r="E636" s="354"/>
      <c r="F636" s="354"/>
      <c r="G636" s="354"/>
      <c r="H636" s="242"/>
      <c r="I636" s="358"/>
      <c r="J636" s="217"/>
      <c r="K636" s="54"/>
      <c r="L636" s="218"/>
      <c r="M636" s="218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</row>
    <row r="637" ht="12.75" customHeight="1">
      <c r="A637" s="353"/>
      <c r="B637" s="54"/>
      <c r="E637" s="354"/>
      <c r="F637" s="354"/>
      <c r="G637" s="354"/>
      <c r="H637" s="242"/>
      <c r="I637" s="358"/>
      <c r="J637" s="217"/>
      <c r="K637" s="54"/>
      <c r="L637" s="218"/>
      <c r="M637" s="218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</row>
    <row r="638" ht="12.75" customHeight="1">
      <c r="A638" s="353"/>
      <c r="B638" s="54"/>
      <c r="E638" s="354"/>
      <c r="F638" s="354"/>
      <c r="G638" s="354"/>
      <c r="H638" s="242"/>
      <c r="I638" s="358"/>
      <c r="J638" s="217"/>
      <c r="K638" s="54"/>
      <c r="L638" s="218"/>
      <c r="M638" s="218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</row>
    <row r="639" ht="12.75" customHeight="1">
      <c r="A639" s="353"/>
      <c r="B639" s="54"/>
      <c r="E639" s="354"/>
      <c r="F639" s="354"/>
      <c r="G639" s="354"/>
      <c r="H639" s="242"/>
      <c r="I639" s="358"/>
      <c r="J639" s="217"/>
      <c r="K639" s="54"/>
      <c r="L639" s="218"/>
      <c r="M639" s="218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</row>
    <row r="640" ht="12.75" customHeight="1">
      <c r="A640" s="353"/>
      <c r="B640" s="54"/>
      <c r="E640" s="354"/>
      <c r="F640" s="354"/>
      <c r="G640" s="354"/>
      <c r="H640" s="242"/>
      <c r="I640" s="358"/>
      <c r="J640" s="217"/>
      <c r="K640" s="54"/>
      <c r="L640" s="218"/>
      <c r="M640" s="218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</row>
    <row r="641" ht="12.75" customHeight="1">
      <c r="A641" s="353"/>
      <c r="B641" s="54"/>
      <c r="E641" s="354"/>
      <c r="F641" s="354"/>
      <c r="G641" s="354"/>
      <c r="H641" s="242"/>
      <c r="I641" s="358"/>
      <c r="J641" s="217"/>
      <c r="K641" s="54"/>
      <c r="L641" s="218"/>
      <c r="M641" s="218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</row>
    <row r="642" ht="12.75" customHeight="1">
      <c r="A642" s="353"/>
      <c r="B642" s="54"/>
      <c r="E642" s="354"/>
      <c r="F642" s="354"/>
      <c r="G642" s="354"/>
      <c r="H642" s="242"/>
      <c r="I642" s="358"/>
      <c r="J642" s="217"/>
      <c r="K642" s="54"/>
      <c r="L642" s="218"/>
      <c r="M642" s="218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</row>
    <row r="643" ht="12.75" customHeight="1">
      <c r="A643" s="353"/>
      <c r="B643" s="54"/>
      <c r="E643" s="354"/>
      <c r="F643" s="354"/>
      <c r="G643" s="354"/>
      <c r="H643" s="242"/>
      <c r="I643" s="358"/>
      <c r="J643" s="217"/>
      <c r="K643" s="54"/>
      <c r="L643" s="218"/>
      <c r="M643" s="218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</row>
    <row r="644" ht="12.75" customHeight="1">
      <c r="A644" s="353"/>
      <c r="B644" s="54"/>
      <c r="E644" s="354"/>
      <c r="F644" s="354"/>
      <c r="G644" s="354"/>
      <c r="H644" s="242"/>
      <c r="I644" s="358"/>
      <c r="J644" s="217"/>
      <c r="K644" s="54"/>
      <c r="L644" s="218"/>
      <c r="M644" s="218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</row>
    <row r="645" ht="12.75" customHeight="1">
      <c r="A645" s="353"/>
      <c r="B645" s="54"/>
      <c r="E645" s="354"/>
      <c r="F645" s="354"/>
      <c r="G645" s="354"/>
      <c r="H645" s="242"/>
      <c r="I645" s="358"/>
      <c r="J645" s="217"/>
      <c r="K645" s="54"/>
      <c r="L645" s="218"/>
      <c r="M645" s="218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</row>
    <row r="646" ht="12.75" customHeight="1">
      <c r="A646" s="353"/>
      <c r="B646" s="54"/>
      <c r="E646" s="354"/>
      <c r="F646" s="354"/>
      <c r="G646" s="354"/>
      <c r="H646" s="242"/>
      <c r="I646" s="358"/>
      <c r="J646" s="217"/>
      <c r="K646" s="54"/>
      <c r="L646" s="218"/>
      <c r="M646" s="218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</row>
    <row r="647" ht="12.75" customHeight="1">
      <c r="A647" s="353"/>
      <c r="B647" s="54"/>
      <c r="E647" s="354"/>
      <c r="F647" s="354"/>
      <c r="G647" s="354"/>
      <c r="H647" s="242"/>
      <c r="I647" s="358"/>
      <c r="J647" s="217"/>
      <c r="K647" s="54"/>
      <c r="L647" s="218"/>
      <c r="M647" s="218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</row>
    <row r="648" ht="12.75" customHeight="1">
      <c r="A648" s="353"/>
      <c r="B648" s="54"/>
      <c r="E648" s="354"/>
      <c r="F648" s="354"/>
      <c r="G648" s="354"/>
      <c r="H648" s="242"/>
      <c r="I648" s="358"/>
      <c r="J648" s="217"/>
      <c r="K648" s="54"/>
      <c r="L648" s="218"/>
      <c r="M648" s="218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</row>
    <row r="649" ht="12.75" customHeight="1">
      <c r="A649" s="353"/>
      <c r="B649" s="54"/>
      <c r="E649" s="354"/>
      <c r="F649" s="354"/>
      <c r="G649" s="354"/>
      <c r="H649" s="242"/>
      <c r="I649" s="358"/>
      <c r="J649" s="217"/>
      <c r="K649" s="54"/>
      <c r="L649" s="218"/>
      <c r="M649" s="218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</row>
    <row r="650" ht="12.75" customHeight="1">
      <c r="A650" s="353"/>
      <c r="B650" s="54"/>
      <c r="E650" s="354"/>
      <c r="F650" s="354"/>
      <c r="G650" s="354"/>
      <c r="H650" s="242"/>
      <c r="I650" s="358"/>
      <c r="J650" s="217"/>
      <c r="K650" s="54"/>
      <c r="L650" s="218"/>
      <c r="M650" s="218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</row>
    <row r="651" ht="12.75" customHeight="1">
      <c r="A651" s="353"/>
      <c r="B651" s="54"/>
      <c r="E651" s="354"/>
      <c r="F651" s="354"/>
      <c r="G651" s="354"/>
      <c r="H651" s="242"/>
      <c r="I651" s="358"/>
      <c r="J651" s="217"/>
      <c r="K651" s="54"/>
      <c r="L651" s="218"/>
      <c r="M651" s="218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</row>
    <row r="652" ht="12.75" customHeight="1">
      <c r="A652" s="353"/>
      <c r="B652" s="54"/>
      <c r="E652" s="354"/>
      <c r="F652" s="354"/>
      <c r="G652" s="354"/>
      <c r="H652" s="242"/>
      <c r="I652" s="358"/>
      <c r="J652" s="217"/>
      <c r="K652" s="54"/>
      <c r="L652" s="218"/>
      <c r="M652" s="218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</row>
    <row r="653" ht="12.75" customHeight="1">
      <c r="A653" s="353"/>
      <c r="B653" s="54"/>
      <c r="E653" s="354"/>
      <c r="F653" s="354"/>
      <c r="G653" s="354"/>
      <c r="H653" s="242"/>
      <c r="I653" s="358"/>
      <c r="J653" s="217"/>
      <c r="K653" s="54"/>
      <c r="L653" s="218"/>
      <c r="M653" s="218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</row>
    <row r="654" ht="12.75" customHeight="1">
      <c r="A654" s="353"/>
      <c r="B654" s="54"/>
      <c r="E654" s="354"/>
      <c r="F654" s="354"/>
      <c r="G654" s="354"/>
      <c r="H654" s="242"/>
      <c r="I654" s="358"/>
      <c r="J654" s="217"/>
      <c r="K654" s="54"/>
      <c r="L654" s="218"/>
      <c r="M654" s="218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</row>
    <row r="655" ht="12.75" customHeight="1">
      <c r="A655" s="353"/>
      <c r="B655" s="54"/>
      <c r="E655" s="354"/>
      <c r="F655" s="354"/>
      <c r="G655" s="354"/>
      <c r="H655" s="242"/>
      <c r="I655" s="358"/>
      <c r="J655" s="217"/>
      <c r="K655" s="54"/>
      <c r="L655" s="218"/>
      <c r="M655" s="218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</row>
    <row r="656" ht="12.75" customHeight="1">
      <c r="A656" s="353"/>
      <c r="B656" s="54"/>
      <c r="E656" s="354"/>
      <c r="F656" s="354"/>
      <c r="G656" s="354"/>
      <c r="H656" s="242"/>
      <c r="I656" s="358"/>
      <c r="J656" s="217"/>
      <c r="K656" s="54"/>
      <c r="L656" s="218"/>
      <c r="M656" s="218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</row>
    <row r="657" ht="12.75" customHeight="1">
      <c r="A657" s="353"/>
      <c r="B657" s="54"/>
      <c r="E657" s="354"/>
      <c r="F657" s="354"/>
      <c r="G657" s="354"/>
      <c r="H657" s="242"/>
      <c r="I657" s="358"/>
      <c r="J657" s="217"/>
      <c r="K657" s="54"/>
      <c r="L657" s="218"/>
      <c r="M657" s="218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</row>
    <row r="658" ht="12.75" customHeight="1">
      <c r="A658" s="353"/>
      <c r="B658" s="54"/>
      <c r="E658" s="354"/>
      <c r="F658" s="354"/>
      <c r="G658" s="354"/>
      <c r="H658" s="242"/>
      <c r="I658" s="358"/>
      <c r="J658" s="217"/>
      <c r="K658" s="54"/>
      <c r="L658" s="218"/>
      <c r="M658" s="218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</row>
    <row r="659" ht="12.75" customHeight="1">
      <c r="A659" s="353"/>
      <c r="B659" s="54"/>
      <c r="E659" s="354"/>
      <c r="F659" s="354"/>
      <c r="G659" s="354"/>
      <c r="H659" s="242"/>
      <c r="I659" s="358"/>
      <c r="J659" s="217"/>
      <c r="K659" s="54"/>
      <c r="L659" s="218"/>
      <c r="M659" s="218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</row>
    <row r="660" ht="12.75" customHeight="1">
      <c r="A660" s="353"/>
      <c r="B660" s="54"/>
      <c r="E660" s="354"/>
      <c r="F660" s="354"/>
      <c r="G660" s="354"/>
      <c r="H660" s="242"/>
      <c r="I660" s="358"/>
      <c r="J660" s="217"/>
      <c r="K660" s="54"/>
      <c r="L660" s="218"/>
      <c r="M660" s="218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</row>
    <row r="661" ht="12.75" customHeight="1">
      <c r="A661" s="353"/>
      <c r="B661" s="54"/>
      <c r="E661" s="354"/>
      <c r="F661" s="354"/>
      <c r="G661" s="354"/>
      <c r="H661" s="242"/>
      <c r="I661" s="358"/>
      <c r="J661" s="217"/>
      <c r="K661" s="54"/>
      <c r="L661" s="218"/>
      <c r="M661" s="218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</row>
    <row r="662" ht="12.75" customHeight="1">
      <c r="A662" s="353"/>
      <c r="B662" s="54"/>
      <c r="E662" s="354"/>
      <c r="F662" s="354"/>
      <c r="G662" s="354"/>
      <c r="H662" s="242"/>
      <c r="I662" s="358"/>
      <c r="J662" s="217"/>
      <c r="K662" s="54"/>
      <c r="L662" s="218"/>
      <c r="M662" s="218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</row>
    <row r="663" ht="12.75" customHeight="1">
      <c r="A663" s="353"/>
      <c r="B663" s="54"/>
      <c r="E663" s="354"/>
      <c r="F663" s="354"/>
      <c r="G663" s="354"/>
      <c r="H663" s="242"/>
      <c r="I663" s="358"/>
      <c r="J663" s="217"/>
      <c r="K663" s="54"/>
      <c r="L663" s="218"/>
      <c r="M663" s="218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</row>
    <row r="664" ht="12.75" customHeight="1">
      <c r="A664" s="353"/>
      <c r="B664" s="54"/>
      <c r="E664" s="354"/>
      <c r="F664" s="354"/>
      <c r="G664" s="354"/>
      <c r="H664" s="242"/>
      <c r="I664" s="358"/>
      <c r="J664" s="217"/>
      <c r="K664" s="54"/>
      <c r="L664" s="218"/>
      <c r="M664" s="218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</row>
    <row r="665" ht="12.75" customHeight="1">
      <c r="A665" s="353"/>
      <c r="B665" s="54"/>
      <c r="E665" s="354"/>
      <c r="F665" s="354"/>
      <c r="G665" s="354"/>
      <c r="H665" s="242"/>
      <c r="I665" s="358"/>
      <c r="J665" s="217"/>
      <c r="K665" s="54"/>
      <c r="L665" s="218"/>
      <c r="M665" s="218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</row>
    <row r="666" ht="12.75" customHeight="1">
      <c r="A666" s="353"/>
      <c r="B666" s="54"/>
      <c r="E666" s="354"/>
      <c r="F666" s="354"/>
      <c r="G666" s="354"/>
      <c r="H666" s="242"/>
      <c r="I666" s="358"/>
      <c r="J666" s="217"/>
      <c r="K666" s="54"/>
      <c r="L666" s="218"/>
      <c r="M666" s="218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</row>
    <row r="667" ht="12.75" customHeight="1">
      <c r="A667" s="353"/>
      <c r="B667" s="54"/>
      <c r="E667" s="354"/>
      <c r="F667" s="354"/>
      <c r="G667" s="354"/>
      <c r="H667" s="242"/>
      <c r="I667" s="358"/>
      <c r="J667" s="217"/>
      <c r="K667" s="54"/>
      <c r="L667" s="218"/>
      <c r="M667" s="218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</row>
    <row r="668" ht="12.75" customHeight="1">
      <c r="A668" s="353"/>
      <c r="B668" s="54"/>
      <c r="E668" s="354"/>
      <c r="F668" s="354"/>
      <c r="G668" s="354"/>
      <c r="H668" s="242"/>
      <c r="I668" s="358"/>
      <c r="J668" s="217"/>
      <c r="K668" s="54"/>
      <c r="L668" s="218"/>
      <c r="M668" s="218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</row>
    <row r="669" ht="12.75" customHeight="1">
      <c r="A669" s="353"/>
      <c r="B669" s="54"/>
      <c r="E669" s="354"/>
      <c r="F669" s="354"/>
      <c r="G669" s="354"/>
      <c r="H669" s="242"/>
      <c r="I669" s="358"/>
      <c r="J669" s="217"/>
      <c r="K669" s="54"/>
      <c r="L669" s="218"/>
      <c r="M669" s="218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</row>
    <row r="670" ht="12.75" customHeight="1">
      <c r="A670" s="353"/>
      <c r="B670" s="54"/>
      <c r="E670" s="354"/>
      <c r="F670" s="354"/>
      <c r="G670" s="354"/>
      <c r="H670" s="242"/>
      <c r="I670" s="358"/>
      <c r="J670" s="217"/>
      <c r="K670" s="54"/>
      <c r="L670" s="218"/>
      <c r="M670" s="218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</row>
    <row r="671" ht="12.75" customHeight="1">
      <c r="A671" s="353"/>
      <c r="B671" s="54"/>
      <c r="E671" s="354"/>
      <c r="F671" s="354"/>
      <c r="G671" s="354"/>
      <c r="H671" s="242"/>
      <c r="I671" s="358"/>
      <c r="J671" s="217"/>
      <c r="K671" s="54"/>
      <c r="L671" s="218"/>
      <c r="M671" s="218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</row>
    <row r="672" ht="12.75" customHeight="1">
      <c r="A672" s="353"/>
      <c r="B672" s="54"/>
      <c r="E672" s="354"/>
      <c r="F672" s="354"/>
      <c r="G672" s="354"/>
      <c r="H672" s="242"/>
      <c r="I672" s="358"/>
      <c r="J672" s="217"/>
      <c r="K672" s="54"/>
      <c r="L672" s="218"/>
      <c r="M672" s="218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</row>
    <row r="673" ht="12.75" customHeight="1">
      <c r="A673" s="353"/>
      <c r="B673" s="54"/>
      <c r="E673" s="354"/>
      <c r="F673" s="354"/>
      <c r="G673" s="354"/>
      <c r="H673" s="242"/>
      <c r="I673" s="358"/>
      <c r="J673" s="217"/>
      <c r="K673" s="54"/>
      <c r="L673" s="218"/>
      <c r="M673" s="218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</row>
    <row r="674" ht="12.75" customHeight="1">
      <c r="A674" s="353"/>
      <c r="B674" s="54"/>
      <c r="E674" s="354"/>
      <c r="F674" s="354"/>
      <c r="G674" s="354"/>
      <c r="H674" s="242"/>
      <c r="I674" s="358"/>
      <c r="J674" s="217"/>
      <c r="K674" s="54"/>
      <c r="L674" s="218"/>
      <c r="M674" s="218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</row>
    <row r="675" ht="12.75" customHeight="1">
      <c r="A675" s="353"/>
      <c r="B675" s="54"/>
      <c r="E675" s="354"/>
      <c r="F675" s="354"/>
      <c r="G675" s="354"/>
      <c r="H675" s="242"/>
      <c r="I675" s="358"/>
      <c r="J675" s="217"/>
      <c r="K675" s="54"/>
      <c r="L675" s="218"/>
      <c r="M675" s="218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</row>
    <row r="676" ht="12.75" customHeight="1">
      <c r="A676" s="353"/>
      <c r="B676" s="54"/>
      <c r="E676" s="354"/>
      <c r="F676" s="354"/>
      <c r="G676" s="354"/>
      <c r="H676" s="242"/>
      <c r="I676" s="358"/>
      <c r="J676" s="217"/>
      <c r="K676" s="54"/>
      <c r="L676" s="218"/>
      <c r="M676" s="218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</row>
    <row r="677" ht="12.75" customHeight="1">
      <c r="A677" s="353"/>
      <c r="B677" s="54"/>
      <c r="E677" s="354"/>
      <c r="F677" s="354"/>
      <c r="G677" s="354"/>
      <c r="H677" s="242"/>
      <c r="I677" s="358"/>
      <c r="J677" s="217"/>
      <c r="K677" s="54"/>
      <c r="L677" s="218"/>
      <c r="M677" s="218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</row>
    <row r="678" ht="12.75" customHeight="1">
      <c r="A678" s="353"/>
      <c r="B678" s="54"/>
      <c r="E678" s="354"/>
      <c r="F678" s="354"/>
      <c r="G678" s="354"/>
      <c r="H678" s="242"/>
      <c r="I678" s="358"/>
      <c r="J678" s="217"/>
      <c r="K678" s="54"/>
      <c r="L678" s="218"/>
      <c r="M678" s="218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</row>
    <row r="679" ht="12.75" customHeight="1">
      <c r="A679" s="353"/>
      <c r="B679" s="54"/>
      <c r="E679" s="354"/>
      <c r="F679" s="354"/>
      <c r="G679" s="354"/>
      <c r="H679" s="242"/>
      <c r="I679" s="358"/>
      <c r="J679" s="217"/>
      <c r="K679" s="54"/>
      <c r="L679" s="218"/>
      <c r="M679" s="218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</row>
    <row r="680" ht="12.75" customHeight="1">
      <c r="A680" s="353"/>
      <c r="B680" s="54"/>
      <c r="E680" s="354"/>
      <c r="F680" s="354"/>
      <c r="G680" s="354"/>
      <c r="H680" s="242"/>
      <c r="I680" s="358"/>
      <c r="J680" s="217"/>
      <c r="K680" s="54"/>
      <c r="L680" s="218"/>
      <c r="M680" s="218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</row>
    <row r="681" ht="12.75" customHeight="1">
      <c r="A681" s="353"/>
      <c r="B681" s="54"/>
      <c r="E681" s="354"/>
      <c r="F681" s="354"/>
      <c r="G681" s="354"/>
      <c r="H681" s="242"/>
      <c r="I681" s="358"/>
      <c r="J681" s="217"/>
      <c r="K681" s="54"/>
      <c r="L681" s="218"/>
      <c r="M681" s="218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</row>
    <row r="682" ht="12.75" customHeight="1">
      <c r="A682" s="353"/>
      <c r="B682" s="54"/>
      <c r="E682" s="354"/>
      <c r="F682" s="354"/>
      <c r="G682" s="354"/>
      <c r="H682" s="242"/>
      <c r="I682" s="358"/>
      <c r="J682" s="217"/>
      <c r="K682" s="54"/>
      <c r="L682" s="218"/>
      <c r="M682" s="218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</row>
    <row r="683" ht="12.75" customHeight="1">
      <c r="A683" s="353"/>
      <c r="B683" s="54"/>
      <c r="E683" s="354"/>
      <c r="F683" s="354"/>
      <c r="G683" s="354"/>
      <c r="H683" s="242"/>
      <c r="I683" s="358"/>
      <c r="J683" s="217"/>
      <c r="K683" s="54"/>
      <c r="L683" s="218"/>
      <c r="M683" s="218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</row>
    <row r="684" ht="12.75" customHeight="1">
      <c r="A684" s="353"/>
      <c r="B684" s="54"/>
      <c r="E684" s="354"/>
      <c r="F684" s="354"/>
      <c r="G684" s="354"/>
      <c r="H684" s="242"/>
      <c r="I684" s="358"/>
      <c r="J684" s="217"/>
      <c r="K684" s="54"/>
      <c r="L684" s="218"/>
      <c r="M684" s="218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</row>
    <row r="685" ht="12.75" customHeight="1">
      <c r="A685" s="353"/>
      <c r="B685" s="54"/>
      <c r="E685" s="354"/>
      <c r="F685" s="354"/>
      <c r="G685" s="354"/>
      <c r="H685" s="242"/>
      <c r="I685" s="358"/>
      <c r="J685" s="217"/>
      <c r="K685" s="54"/>
      <c r="L685" s="218"/>
      <c r="M685" s="218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</row>
    <row r="686" ht="12.75" customHeight="1">
      <c r="A686" s="353"/>
      <c r="B686" s="54"/>
      <c r="E686" s="354"/>
      <c r="F686" s="354"/>
      <c r="G686" s="354"/>
      <c r="H686" s="242"/>
      <c r="I686" s="358"/>
      <c r="J686" s="217"/>
      <c r="K686" s="54"/>
      <c r="L686" s="218"/>
      <c r="M686" s="218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</row>
    <row r="687" ht="12.75" customHeight="1">
      <c r="A687" s="353"/>
      <c r="B687" s="54"/>
      <c r="E687" s="354"/>
      <c r="F687" s="354"/>
      <c r="G687" s="354"/>
      <c r="H687" s="242"/>
      <c r="I687" s="358"/>
      <c r="J687" s="217"/>
      <c r="K687" s="54"/>
      <c r="L687" s="218"/>
      <c r="M687" s="218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</row>
    <row r="688" ht="12.75" customHeight="1">
      <c r="A688" s="353"/>
      <c r="B688" s="54"/>
      <c r="E688" s="354"/>
      <c r="F688" s="354"/>
      <c r="G688" s="354"/>
      <c r="H688" s="242"/>
      <c r="I688" s="358"/>
      <c r="J688" s="217"/>
      <c r="K688" s="54"/>
      <c r="L688" s="218"/>
      <c r="M688" s="218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</row>
    <row r="689" ht="12.75" customHeight="1">
      <c r="A689" s="353"/>
      <c r="B689" s="54"/>
      <c r="E689" s="354"/>
      <c r="F689" s="354"/>
      <c r="G689" s="354"/>
      <c r="H689" s="242"/>
      <c r="I689" s="358"/>
      <c r="J689" s="217"/>
      <c r="K689" s="54"/>
      <c r="L689" s="218"/>
      <c r="M689" s="218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</row>
    <row r="690" ht="12.75" customHeight="1">
      <c r="A690" s="353"/>
      <c r="B690" s="54"/>
      <c r="E690" s="354"/>
      <c r="F690" s="354"/>
      <c r="G690" s="354"/>
      <c r="H690" s="242"/>
      <c r="I690" s="358"/>
      <c r="J690" s="217"/>
      <c r="K690" s="54"/>
      <c r="L690" s="218"/>
      <c r="M690" s="218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</row>
    <row r="691" ht="12.75" customHeight="1">
      <c r="A691" s="353"/>
      <c r="B691" s="54"/>
      <c r="E691" s="354"/>
      <c r="F691" s="354"/>
      <c r="G691" s="354"/>
      <c r="H691" s="242"/>
      <c r="I691" s="358"/>
      <c r="J691" s="217"/>
      <c r="K691" s="54"/>
      <c r="L691" s="218"/>
      <c r="M691" s="218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</row>
    <row r="692" ht="12.75" customHeight="1">
      <c r="A692" s="353"/>
      <c r="B692" s="54"/>
      <c r="E692" s="354"/>
      <c r="F692" s="354"/>
      <c r="G692" s="354"/>
      <c r="H692" s="242"/>
      <c r="I692" s="358"/>
      <c r="J692" s="217"/>
      <c r="K692" s="54"/>
      <c r="L692" s="218"/>
      <c r="M692" s="218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</row>
    <row r="693" ht="12.75" customHeight="1">
      <c r="A693" s="353"/>
      <c r="B693" s="54"/>
      <c r="E693" s="354"/>
      <c r="F693" s="354"/>
      <c r="G693" s="354"/>
      <c r="H693" s="242"/>
      <c r="I693" s="358"/>
      <c r="J693" s="217"/>
      <c r="K693" s="54"/>
      <c r="L693" s="218"/>
      <c r="M693" s="218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</row>
    <row r="694" ht="12.75" customHeight="1">
      <c r="A694" s="353"/>
      <c r="B694" s="54"/>
      <c r="E694" s="354"/>
      <c r="F694" s="354"/>
      <c r="G694" s="354"/>
      <c r="H694" s="242"/>
      <c r="I694" s="358"/>
      <c r="J694" s="217"/>
      <c r="K694" s="54"/>
      <c r="L694" s="218"/>
      <c r="M694" s="218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</row>
    <row r="695" ht="12.75" customHeight="1">
      <c r="A695" s="353"/>
      <c r="B695" s="54"/>
      <c r="E695" s="354"/>
      <c r="F695" s="354"/>
      <c r="G695" s="354"/>
      <c r="H695" s="242"/>
      <c r="I695" s="358"/>
      <c r="J695" s="217"/>
      <c r="K695" s="54"/>
      <c r="L695" s="218"/>
      <c r="M695" s="218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</row>
    <row r="696" ht="12.75" customHeight="1">
      <c r="A696" s="353"/>
      <c r="B696" s="54"/>
      <c r="E696" s="354"/>
      <c r="F696" s="354"/>
      <c r="G696" s="354"/>
      <c r="H696" s="242"/>
      <c r="I696" s="358"/>
      <c r="J696" s="217"/>
      <c r="K696" s="54"/>
      <c r="L696" s="218"/>
      <c r="M696" s="218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</row>
    <row r="697" ht="12.75" customHeight="1">
      <c r="A697" s="353"/>
      <c r="B697" s="54"/>
      <c r="E697" s="354"/>
      <c r="F697" s="354"/>
      <c r="G697" s="354"/>
      <c r="H697" s="242"/>
      <c r="I697" s="358"/>
      <c r="J697" s="217"/>
      <c r="K697" s="54"/>
      <c r="L697" s="218"/>
      <c r="M697" s="218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</row>
    <row r="698" ht="12.75" customHeight="1">
      <c r="A698" s="353"/>
      <c r="B698" s="54"/>
      <c r="E698" s="354"/>
      <c r="F698" s="354"/>
      <c r="G698" s="354"/>
      <c r="H698" s="242"/>
      <c r="I698" s="358"/>
      <c r="J698" s="217"/>
      <c r="K698" s="54"/>
      <c r="L698" s="218"/>
      <c r="M698" s="218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</row>
    <row r="699" ht="12.75" customHeight="1">
      <c r="A699" s="353"/>
      <c r="B699" s="54"/>
      <c r="E699" s="354"/>
      <c r="F699" s="354"/>
      <c r="G699" s="354"/>
      <c r="H699" s="242"/>
      <c r="I699" s="358"/>
      <c r="J699" s="217"/>
      <c r="K699" s="54"/>
      <c r="L699" s="218"/>
      <c r="M699" s="218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</row>
    <row r="700" ht="12.75" customHeight="1">
      <c r="A700" s="353"/>
      <c r="B700" s="54"/>
      <c r="E700" s="354"/>
      <c r="F700" s="354"/>
      <c r="G700" s="354"/>
      <c r="H700" s="242"/>
      <c r="I700" s="358"/>
      <c r="J700" s="217"/>
      <c r="K700" s="54"/>
      <c r="L700" s="218"/>
      <c r="M700" s="218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</row>
    <row r="701" ht="12.75" customHeight="1">
      <c r="A701" s="353"/>
      <c r="B701" s="54"/>
      <c r="E701" s="354"/>
      <c r="F701" s="354"/>
      <c r="G701" s="354"/>
      <c r="H701" s="242"/>
      <c r="I701" s="358"/>
      <c r="J701" s="217"/>
      <c r="K701" s="54"/>
      <c r="L701" s="218"/>
      <c r="M701" s="218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</row>
    <row r="702" ht="12.75" customHeight="1">
      <c r="A702" s="353"/>
      <c r="B702" s="54"/>
      <c r="E702" s="354"/>
      <c r="F702" s="354"/>
      <c r="G702" s="354"/>
      <c r="H702" s="242"/>
      <c r="I702" s="358"/>
      <c r="J702" s="217"/>
      <c r="K702" s="54"/>
      <c r="L702" s="218"/>
      <c r="M702" s="218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</row>
    <row r="703" ht="12.75" customHeight="1">
      <c r="A703" s="353"/>
      <c r="B703" s="54"/>
      <c r="E703" s="354"/>
      <c r="F703" s="354"/>
      <c r="G703" s="354"/>
      <c r="H703" s="242"/>
      <c r="I703" s="358"/>
      <c r="J703" s="217"/>
      <c r="K703" s="54"/>
      <c r="L703" s="218"/>
      <c r="M703" s="218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</row>
    <row r="704" ht="12.75" customHeight="1">
      <c r="A704" s="353"/>
      <c r="B704" s="54"/>
      <c r="E704" s="354"/>
      <c r="F704" s="354"/>
      <c r="G704" s="354"/>
      <c r="H704" s="242"/>
      <c r="I704" s="358"/>
      <c r="J704" s="217"/>
      <c r="K704" s="54"/>
      <c r="L704" s="218"/>
      <c r="M704" s="218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</row>
    <row r="705" ht="12.75" customHeight="1">
      <c r="A705" s="353"/>
      <c r="B705" s="54"/>
      <c r="E705" s="354"/>
      <c r="F705" s="354"/>
      <c r="G705" s="354"/>
      <c r="H705" s="242"/>
      <c r="I705" s="358"/>
      <c r="J705" s="217"/>
      <c r="K705" s="54"/>
      <c r="L705" s="218"/>
      <c r="M705" s="218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</row>
    <row r="706" ht="12.75" customHeight="1">
      <c r="A706" s="353"/>
      <c r="B706" s="54"/>
      <c r="E706" s="354"/>
      <c r="F706" s="354"/>
      <c r="G706" s="354"/>
      <c r="H706" s="242"/>
      <c r="I706" s="358"/>
      <c r="J706" s="217"/>
      <c r="K706" s="54"/>
      <c r="L706" s="218"/>
      <c r="M706" s="218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</row>
    <row r="707" ht="12.75" customHeight="1">
      <c r="A707" s="353"/>
      <c r="B707" s="54"/>
      <c r="E707" s="354"/>
      <c r="F707" s="354"/>
      <c r="G707" s="354"/>
      <c r="H707" s="242"/>
      <c r="I707" s="358"/>
      <c r="J707" s="217"/>
      <c r="K707" s="54"/>
      <c r="L707" s="218"/>
      <c r="M707" s="218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</row>
    <row r="708" ht="12.75" customHeight="1">
      <c r="A708" s="353"/>
      <c r="B708" s="54"/>
      <c r="E708" s="354"/>
      <c r="F708" s="354"/>
      <c r="G708" s="354"/>
      <c r="H708" s="242"/>
      <c r="I708" s="358"/>
      <c r="J708" s="217"/>
      <c r="K708" s="54"/>
      <c r="L708" s="218"/>
      <c r="M708" s="218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</row>
    <row r="709" ht="12.75" customHeight="1">
      <c r="A709" s="353"/>
      <c r="B709" s="54"/>
      <c r="E709" s="354"/>
      <c r="F709" s="354"/>
      <c r="G709" s="354"/>
      <c r="H709" s="242"/>
      <c r="I709" s="358"/>
      <c r="J709" s="217"/>
      <c r="K709" s="54"/>
      <c r="L709" s="218"/>
      <c r="M709" s="218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</row>
    <row r="710" ht="12.75" customHeight="1">
      <c r="A710" s="353"/>
      <c r="B710" s="54"/>
      <c r="E710" s="354"/>
      <c r="F710" s="354"/>
      <c r="G710" s="354"/>
      <c r="H710" s="242"/>
      <c r="I710" s="358"/>
      <c r="J710" s="217"/>
      <c r="K710" s="54"/>
      <c r="L710" s="218"/>
      <c r="M710" s="218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</row>
    <row r="711" ht="12.75" customHeight="1">
      <c r="A711" s="353"/>
      <c r="B711" s="54"/>
      <c r="E711" s="354"/>
      <c r="F711" s="354"/>
      <c r="G711" s="354"/>
      <c r="H711" s="242"/>
      <c r="I711" s="358"/>
      <c r="J711" s="217"/>
      <c r="K711" s="54"/>
      <c r="L711" s="218"/>
      <c r="M711" s="218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</row>
    <row r="712" ht="12.75" customHeight="1">
      <c r="A712" s="353"/>
      <c r="B712" s="54"/>
      <c r="E712" s="354"/>
      <c r="F712" s="354"/>
      <c r="G712" s="354"/>
      <c r="H712" s="242"/>
      <c r="I712" s="358"/>
      <c r="J712" s="217"/>
      <c r="K712" s="54"/>
      <c r="L712" s="218"/>
      <c r="M712" s="218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</row>
    <row r="713" ht="12.75" customHeight="1">
      <c r="A713" s="353"/>
      <c r="B713" s="54"/>
      <c r="E713" s="354"/>
      <c r="F713" s="354"/>
      <c r="G713" s="354"/>
      <c r="H713" s="242"/>
      <c r="I713" s="358"/>
      <c r="J713" s="217"/>
      <c r="K713" s="54"/>
      <c r="L713" s="218"/>
      <c r="M713" s="218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</row>
    <row r="714" ht="12.75" customHeight="1">
      <c r="A714" s="353"/>
      <c r="B714" s="54"/>
      <c r="E714" s="354"/>
      <c r="F714" s="354"/>
      <c r="G714" s="354"/>
      <c r="H714" s="242"/>
      <c r="I714" s="358"/>
      <c r="J714" s="217"/>
      <c r="K714" s="54"/>
      <c r="L714" s="218"/>
      <c r="M714" s="218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</row>
    <row r="715" ht="12.75" customHeight="1">
      <c r="A715" s="353"/>
      <c r="B715" s="54"/>
      <c r="E715" s="354"/>
      <c r="F715" s="354"/>
      <c r="G715" s="354"/>
      <c r="H715" s="242"/>
      <c r="I715" s="358"/>
      <c r="J715" s="217"/>
      <c r="K715" s="54"/>
      <c r="L715" s="218"/>
      <c r="M715" s="218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</row>
    <row r="716" ht="12.75" customHeight="1">
      <c r="A716" s="353"/>
      <c r="B716" s="54"/>
      <c r="E716" s="354"/>
      <c r="F716" s="354"/>
      <c r="G716" s="354"/>
      <c r="H716" s="242"/>
      <c r="I716" s="358"/>
      <c r="J716" s="217"/>
      <c r="K716" s="54"/>
      <c r="L716" s="218"/>
      <c r="M716" s="218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</row>
    <row r="717" ht="12.75" customHeight="1">
      <c r="A717" s="353"/>
      <c r="B717" s="54"/>
      <c r="E717" s="354"/>
      <c r="F717" s="354"/>
      <c r="G717" s="354"/>
      <c r="H717" s="242"/>
      <c r="I717" s="358"/>
      <c r="J717" s="217"/>
      <c r="K717" s="54"/>
      <c r="L717" s="218"/>
      <c r="M717" s="218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</row>
    <row r="718" ht="12.75" customHeight="1">
      <c r="A718" s="353"/>
      <c r="B718" s="54"/>
      <c r="E718" s="354"/>
      <c r="F718" s="354"/>
      <c r="G718" s="354"/>
      <c r="H718" s="242"/>
      <c r="I718" s="358"/>
      <c r="J718" s="217"/>
      <c r="K718" s="54"/>
      <c r="L718" s="218"/>
      <c r="M718" s="218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</row>
    <row r="719" ht="12.75" customHeight="1">
      <c r="A719" s="353"/>
      <c r="B719" s="54"/>
      <c r="E719" s="354"/>
      <c r="F719" s="354"/>
      <c r="G719" s="354"/>
      <c r="H719" s="242"/>
      <c r="I719" s="358"/>
      <c r="J719" s="217"/>
      <c r="K719" s="54"/>
      <c r="L719" s="218"/>
      <c r="M719" s="218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</row>
    <row r="720" ht="12.75" customHeight="1">
      <c r="A720" s="353"/>
      <c r="B720" s="54"/>
      <c r="E720" s="354"/>
      <c r="F720" s="354"/>
      <c r="G720" s="354"/>
      <c r="H720" s="242"/>
      <c r="I720" s="358"/>
      <c r="J720" s="217"/>
      <c r="K720" s="54"/>
      <c r="L720" s="218"/>
      <c r="M720" s="218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</row>
    <row r="721" ht="12.75" customHeight="1">
      <c r="A721" s="353"/>
      <c r="B721" s="54"/>
      <c r="E721" s="354"/>
      <c r="F721" s="354"/>
      <c r="G721" s="354"/>
      <c r="H721" s="242"/>
      <c r="I721" s="358"/>
      <c r="J721" s="217"/>
      <c r="K721" s="54"/>
      <c r="L721" s="218"/>
      <c r="M721" s="218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</row>
    <row r="722" ht="12.75" customHeight="1">
      <c r="A722" s="353"/>
      <c r="B722" s="54"/>
      <c r="E722" s="354"/>
      <c r="F722" s="354"/>
      <c r="G722" s="354"/>
      <c r="H722" s="242"/>
      <c r="I722" s="358"/>
      <c r="J722" s="217"/>
      <c r="K722" s="54"/>
      <c r="L722" s="218"/>
      <c r="M722" s="218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</row>
    <row r="723" ht="12.75" customHeight="1">
      <c r="A723" s="353"/>
      <c r="B723" s="54"/>
      <c r="E723" s="354"/>
      <c r="F723" s="354"/>
      <c r="G723" s="354"/>
      <c r="H723" s="242"/>
      <c r="I723" s="358"/>
      <c r="J723" s="217"/>
      <c r="K723" s="54"/>
      <c r="L723" s="218"/>
      <c r="M723" s="218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</row>
    <row r="724" ht="12.75" customHeight="1">
      <c r="A724" s="353"/>
      <c r="B724" s="54"/>
      <c r="E724" s="354"/>
      <c r="F724" s="354"/>
      <c r="G724" s="354"/>
      <c r="H724" s="242"/>
      <c r="I724" s="358"/>
      <c r="J724" s="217"/>
      <c r="K724" s="54"/>
      <c r="L724" s="218"/>
      <c r="M724" s="218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</row>
    <row r="725" ht="12.75" customHeight="1">
      <c r="A725" s="353"/>
      <c r="B725" s="54"/>
      <c r="E725" s="354"/>
      <c r="F725" s="354"/>
      <c r="G725" s="354"/>
      <c r="H725" s="242"/>
      <c r="I725" s="358"/>
      <c r="J725" s="217"/>
      <c r="K725" s="54"/>
      <c r="L725" s="218"/>
      <c r="M725" s="218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</row>
    <row r="726" ht="12.75" customHeight="1">
      <c r="A726" s="353"/>
      <c r="B726" s="54"/>
      <c r="E726" s="354"/>
      <c r="F726" s="354"/>
      <c r="G726" s="354"/>
      <c r="H726" s="242"/>
      <c r="I726" s="358"/>
      <c r="J726" s="217"/>
      <c r="K726" s="54"/>
      <c r="L726" s="218"/>
      <c r="M726" s="218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</row>
    <row r="727" ht="12.75" customHeight="1">
      <c r="A727" s="353"/>
      <c r="B727" s="54"/>
      <c r="E727" s="354"/>
      <c r="F727" s="354"/>
      <c r="G727" s="354"/>
      <c r="H727" s="242"/>
      <c r="I727" s="358"/>
      <c r="J727" s="217"/>
      <c r="K727" s="54"/>
      <c r="L727" s="218"/>
      <c r="M727" s="218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</row>
    <row r="728" ht="12.75" customHeight="1">
      <c r="A728" s="353"/>
      <c r="B728" s="54"/>
      <c r="E728" s="354"/>
      <c r="F728" s="354"/>
      <c r="G728" s="354"/>
      <c r="H728" s="242"/>
      <c r="I728" s="358"/>
      <c r="J728" s="217"/>
      <c r="K728" s="54"/>
      <c r="L728" s="218"/>
      <c r="M728" s="218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</row>
    <row r="729" ht="12.75" customHeight="1">
      <c r="A729" s="353"/>
      <c r="B729" s="54"/>
      <c r="E729" s="354"/>
      <c r="F729" s="354"/>
      <c r="G729" s="354"/>
      <c r="H729" s="242"/>
      <c r="I729" s="358"/>
      <c r="J729" s="217"/>
      <c r="K729" s="54"/>
      <c r="L729" s="218"/>
      <c r="M729" s="218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</row>
    <row r="730" ht="12.75" customHeight="1">
      <c r="A730" s="353"/>
      <c r="B730" s="54"/>
      <c r="E730" s="354"/>
      <c r="F730" s="354"/>
      <c r="G730" s="354"/>
      <c r="H730" s="242"/>
      <c r="I730" s="358"/>
      <c r="J730" s="217"/>
      <c r="K730" s="54"/>
      <c r="L730" s="218"/>
      <c r="M730" s="218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</row>
    <row r="731" ht="12.75" customHeight="1">
      <c r="A731" s="353"/>
      <c r="B731" s="54"/>
      <c r="E731" s="354"/>
      <c r="F731" s="354"/>
      <c r="G731" s="354"/>
      <c r="H731" s="242"/>
      <c r="I731" s="358"/>
      <c r="J731" s="217"/>
      <c r="K731" s="54"/>
      <c r="L731" s="218"/>
      <c r="M731" s="218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</row>
    <row r="732" ht="12.75" customHeight="1">
      <c r="A732" s="353"/>
      <c r="B732" s="54"/>
      <c r="E732" s="354"/>
      <c r="F732" s="354"/>
      <c r="G732" s="354"/>
      <c r="H732" s="242"/>
      <c r="I732" s="358"/>
      <c r="J732" s="217"/>
      <c r="K732" s="54"/>
      <c r="L732" s="218"/>
      <c r="M732" s="218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</row>
    <row r="733" ht="12.75" customHeight="1">
      <c r="A733" s="353"/>
      <c r="B733" s="54"/>
      <c r="E733" s="354"/>
      <c r="F733" s="354"/>
      <c r="G733" s="354"/>
      <c r="H733" s="242"/>
      <c r="I733" s="358"/>
      <c r="J733" s="217"/>
      <c r="K733" s="54"/>
      <c r="L733" s="218"/>
      <c r="M733" s="218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</row>
    <row r="734" ht="12.75" customHeight="1">
      <c r="A734" s="353"/>
      <c r="B734" s="54"/>
      <c r="E734" s="354"/>
      <c r="F734" s="354"/>
      <c r="G734" s="354"/>
      <c r="H734" s="242"/>
      <c r="I734" s="358"/>
      <c r="J734" s="217"/>
      <c r="K734" s="54"/>
      <c r="L734" s="218"/>
      <c r="M734" s="218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</row>
    <row r="735" ht="12.75" customHeight="1">
      <c r="A735" s="353"/>
      <c r="B735" s="54"/>
      <c r="E735" s="354"/>
      <c r="F735" s="354"/>
      <c r="G735" s="354"/>
      <c r="H735" s="242"/>
      <c r="I735" s="358"/>
      <c r="J735" s="217"/>
      <c r="K735" s="54"/>
      <c r="L735" s="218"/>
      <c r="M735" s="218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</row>
    <row r="736" ht="12.75" customHeight="1">
      <c r="A736" s="353"/>
      <c r="B736" s="54"/>
      <c r="E736" s="354"/>
      <c r="F736" s="354"/>
      <c r="G736" s="354"/>
      <c r="H736" s="242"/>
      <c r="I736" s="358"/>
      <c r="J736" s="217"/>
      <c r="K736" s="54"/>
      <c r="L736" s="218"/>
      <c r="M736" s="218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</row>
    <row r="737" ht="12.75" customHeight="1">
      <c r="A737" s="353"/>
      <c r="B737" s="54"/>
      <c r="E737" s="354"/>
      <c r="F737" s="354"/>
      <c r="G737" s="354"/>
      <c r="H737" s="242"/>
      <c r="I737" s="358"/>
      <c r="J737" s="217"/>
      <c r="K737" s="54"/>
      <c r="L737" s="218"/>
      <c r="M737" s="218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</row>
    <row r="738" ht="12.75" customHeight="1">
      <c r="A738" s="353"/>
      <c r="B738" s="54"/>
      <c r="E738" s="354"/>
      <c r="F738" s="354"/>
      <c r="G738" s="354"/>
      <c r="H738" s="242"/>
      <c r="I738" s="358"/>
      <c r="J738" s="217"/>
      <c r="K738" s="54"/>
      <c r="L738" s="218"/>
      <c r="M738" s="218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</row>
    <row r="739" ht="12.75" customHeight="1">
      <c r="A739" s="353"/>
      <c r="B739" s="54"/>
      <c r="E739" s="354"/>
      <c r="F739" s="354"/>
      <c r="G739" s="354"/>
      <c r="H739" s="242"/>
      <c r="I739" s="358"/>
      <c r="J739" s="217"/>
      <c r="K739" s="54"/>
      <c r="L739" s="218"/>
      <c r="M739" s="218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</row>
    <row r="740" ht="12.75" customHeight="1">
      <c r="A740" s="353"/>
      <c r="B740" s="54"/>
      <c r="E740" s="354"/>
      <c r="F740" s="354"/>
      <c r="G740" s="354"/>
      <c r="H740" s="242"/>
      <c r="I740" s="358"/>
      <c r="J740" s="217"/>
      <c r="K740" s="54"/>
      <c r="L740" s="218"/>
      <c r="M740" s="218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</row>
    <row r="741" ht="12.75" customHeight="1">
      <c r="A741" s="353"/>
      <c r="B741" s="54"/>
      <c r="E741" s="354"/>
      <c r="F741" s="354"/>
      <c r="G741" s="354"/>
      <c r="H741" s="242"/>
      <c r="I741" s="358"/>
      <c r="J741" s="217"/>
      <c r="K741" s="54"/>
      <c r="L741" s="218"/>
      <c r="M741" s="218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</row>
    <row r="742" ht="12.75" customHeight="1">
      <c r="A742" s="353"/>
      <c r="B742" s="54"/>
      <c r="E742" s="354"/>
      <c r="F742" s="354"/>
      <c r="G742" s="354"/>
      <c r="H742" s="242"/>
      <c r="I742" s="358"/>
      <c r="J742" s="217"/>
      <c r="K742" s="54"/>
      <c r="L742" s="218"/>
      <c r="M742" s="218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</row>
    <row r="743" ht="12.75" customHeight="1">
      <c r="A743" s="353"/>
      <c r="B743" s="54"/>
      <c r="E743" s="354"/>
      <c r="F743" s="354"/>
      <c r="G743" s="354"/>
      <c r="H743" s="242"/>
      <c r="I743" s="358"/>
      <c r="J743" s="217"/>
      <c r="K743" s="54"/>
      <c r="L743" s="218"/>
      <c r="M743" s="218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</row>
    <row r="744" ht="12.75" customHeight="1">
      <c r="A744" s="353"/>
      <c r="B744" s="54"/>
      <c r="E744" s="354"/>
      <c r="F744" s="354"/>
      <c r="G744" s="354"/>
      <c r="H744" s="242"/>
      <c r="I744" s="358"/>
      <c r="J744" s="217"/>
      <c r="K744" s="54"/>
      <c r="L744" s="218"/>
      <c r="M744" s="218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</row>
    <row r="745" ht="12.75" customHeight="1">
      <c r="A745" s="353"/>
      <c r="B745" s="54"/>
      <c r="E745" s="354"/>
      <c r="F745" s="354"/>
      <c r="G745" s="354"/>
      <c r="H745" s="242"/>
      <c r="I745" s="358"/>
      <c r="J745" s="217"/>
      <c r="K745" s="54"/>
      <c r="L745" s="218"/>
      <c r="M745" s="218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</row>
    <row r="746" ht="12.75" customHeight="1">
      <c r="A746" s="353"/>
      <c r="B746" s="54"/>
      <c r="E746" s="354"/>
      <c r="F746" s="354"/>
      <c r="G746" s="354"/>
      <c r="H746" s="242"/>
      <c r="I746" s="358"/>
      <c r="J746" s="217"/>
      <c r="K746" s="54"/>
      <c r="L746" s="218"/>
      <c r="M746" s="218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</row>
    <row r="747" ht="12.75" customHeight="1">
      <c r="A747" s="353"/>
      <c r="B747" s="54"/>
      <c r="E747" s="354"/>
      <c r="F747" s="354"/>
      <c r="G747" s="354"/>
      <c r="H747" s="242"/>
      <c r="I747" s="358"/>
      <c r="J747" s="217"/>
      <c r="K747" s="54"/>
      <c r="L747" s="218"/>
      <c r="M747" s="218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</row>
    <row r="748" ht="12.75" customHeight="1">
      <c r="A748" s="353"/>
      <c r="B748" s="54"/>
      <c r="E748" s="354"/>
      <c r="F748" s="354"/>
      <c r="G748" s="354"/>
      <c r="H748" s="242"/>
      <c r="I748" s="358"/>
      <c r="J748" s="217"/>
      <c r="K748" s="54"/>
      <c r="L748" s="218"/>
      <c r="M748" s="218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</row>
    <row r="749" ht="12.75" customHeight="1">
      <c r="A749" s="353"/>
      <c r="B749" s="54"/>
      <c r="E749" s="354"/>
      <c r="F749" s="354"/>
      <c r="G749" s="354"/>
      <c r="H749" s="242"/>
      <c r="I749" s="358"/>
      <c r="J749" s="217"/>
      <c r="K749" s="54"/>
      <c r="L749" s="218"/>
      <c r="M749" s="218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</row>
    <row r="750" ht="12.75" customHeight="1">
      <c r="A750" s="353"/>
      <c r="B750" s="54"/>
      <c r="E750" s="354"/>
      <c r="F750" s="354"/>
      <c r="G750" s="354"/>
      <c r="H750" s="242"/>
      <c r="I750" s="358"/>
      <c r="J750" s="217"/>
      <c r="K750" s="54"/>
      <c r="L750" s="218"/>
      <c r="M750" s="218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</row>
    <row r="751" ht="12.75" customHeight="1">
      <c r="A751" s="353"/>
      <c r="B751" s="54"/>
      <c r="E751" s="354"/>
      <c r="F751" s="354"/>
      <c r="G751" s="354"/>
      <c r="H751" s="242"/>
      <c r="I751" s="358"/>
      <c r="J751" s="217"/>
      <c r="K751" s="54"/>
      <c r="L751" s="218"/>
      <c r="M751" s="218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</row>
    <row r="752" ht="12.75" customHeight="1">
      <c r="A752" s="353"/>
      <c r="B752" s="54"/>
      <c r="E752" s="354"/>
      <c r="F752" s="354"/>
      <c r="G752" s="354"/>
      <c r="H752" s="242"/>
      <c r="I752" s="358"/>
      <c r="J752" s="217"/>
      <c r="K752" s="54"/>
      <c r="L752" s="218"/>
      <c r="M752" s="218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</row>
    <row r="753" ht="12.75" customHeight="1">
      <c r="A753" s="353"/>
      <c r="B753" s="54"/>
      <c r="E753" s="354"/>
      <c r="F753" s="354"/>
      <c r="G753" s="354"/>
      <c r="H753" s="242"/>
      <c r="I753" s="358"/>
      <c r="J753" s="217"/>
      <c r="K753" s="54"/>
      <c r="L753" s="218"/>
      <c r="M753" s="218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</row>
    <row r="754" ht="12.75" customHeight="1">
      <c r="A754" s="353"/>
      <c r="B754" s="54"/>
      <c r="E754" s="354"/>
      <c r="F754" s="354"/>
      <c r="G754" s="354"/>
      <c r="H754" s="242"/>
      <c r="I754" s="358"/>
      <c r="J754" s="217"/>
      <c r="K754" s="54"/>
      <c r="L754" s="218"/>
      <c r="M754" s="218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</row>
    <row r="755" ht="12.75" customHeight="1">
      <c r="A755" s="353"/>
      <c r="B755" s="54"/>
      <c r="E755" s="354"/>
      <c r="F755" s="354"/>
      <c r="G755" s="354"/>
      <c r="H755" s="242"/>
      <c r="I755" s="358"/>
      <c r="J755" s="217"/>
      <c r="K755" s="54"/>
      <c r="L755" s="218"/>
      <c r="M755" s="218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</row>
    <row r="756" ht="12.75" customHeight="1">
      <c r="A756" s="353"/>
      <c r="B756" s="54"/>
      <c r="E756" s="354"/>
      <c r="F756" s="354"/>
      <c r="G756" s="354"/>
      <c r="H756" s="242"/>
      <c r="I756" s="358"/>
      <c r="J756" s="217"/>
      <c r="K756" s="54"/>
      <c r="L756" s="218"/>
      <c r="M756" s="218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</row>
    <row r="757" ht="12.75" customHeight="1">
      <c r="A757" s="353"/>
      <c r="B757" s="54"/>
      <c r="E757" s="354"/>
      <c r="F757" s="354"/>
      <c r="G757" s="354"/>
      <c r="H757" s="242"/>
      <c r="I757" s="358"/>
      <c r="J757" s="217"/>
      <c r="K757" s="54"/>
      <c r="L757" s="218"/>
      <c r="M757" s="218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</row>
    <row r="758" ht="12.75" customHeight="1">
      <c r="A758" s="353"/>
      <c r="B758" s="54"/>
      <c r="E758" s="354"/>
      <c r="F758" s="354"/>
      <c r="G758" s="354"/>
      <c r="H758" s="242"/>
      <c r="I758" s="358"/>
      <c r="J758" s="217"/>
      <c r="K758" s="54"/>
      <c r="L758" s="218"/>
      <c r="M758" s="218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</row>
    <row r="759" ht="12.75" customHeight="1">
      <c r="A759" s="353"/>
      <c r="B759" s="54"/>
      <c r="E759" s="354"/>
      <c r="F759" s="354"/>
      <c r="G759" s="354"/>
      <c r="H759" s="242"/>
      <c r="I759" s="358"/>
      <c r="J759" s="217"/>
      <c r="K759" s="54"/>
      <c r="L759" s="218"/>
      <c r="M759" s="218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</row>
    <row r="760" ht="12.75" customHeight="1">
      <c r="A760" s="353"/>
      <c r="B760" s="54"/>
      <c r="E760" s="354"/>
      <c r="F760" s="354"/>
      <c r="G760" s="354"/>
      <c r="H760" s="242"/>
      <c r="I760" s="358"/>
      <c r="J760" s="217"/>
      <c r="K760" s="54"/>
      <c r="L760" s="218"/>
      <c r="M760" s="218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</row>
    <row r="761" ht="12.75" customHeight="1">
      <c r="A761" s="353"/>
      <c r="B761" s="54"/>
      <c r="E761" s="354"/>
      <c r="F761" s="354"/>
      <c r="G761" s="354"/>
      <c r="H761" s="242"/>
      <c r="I761" s="358"/>
      <c r="J761" s="217"/>
      <c r="K761" s="54"/>
      <c r="L761" s="218"/>
      <c r="M761" s="218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</row>
    <row r="762" ht="12.75" customHeight="1">
      <c r="A762" s="353"/>
      <c r="B762" s="54"/>
      <c r="E762" s="354"/>
      <c r="F762" s="354"/>
      <c r="G762" s="354"/>
      <c r="H762" s="242"/>
      <c r="I762" s="358"/>
      <c r="J762" s="217"/>
      <c r="K762" s="54"/>
      <c r="L762" s="218"/>
      <c r="M762" s="218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</row>
    <row r="763" ht="12.75" customHeight="1">
      <c r="A763" s="353"/>
      <c r="B763" s="54"/>
      <c r="E763" s="354"/>
      <c r="F763" s="354"/>
      <c r="G763" s="354"/>
      <c r="H763" s="242"/>
      <c r="I763" s="358"/>
      <c r="J763" s="217"/>
      <c r="K763" s="54"/>
      <c r="L763" s="218"/>
      <c r="M763" s="218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</row>
    <row r="764" ht="12.75" customHeight="1">
      <c r="A764" s="353"/>
      <c r="B764" s="54"/>
      <c r="E764" s="354"/>
      <c r="F764" s="354"/>
      <c r="G764" s="354"/>
      <c r="H764" s="242"/>
      <c r="I764" s="358"/>
      <c r="J764" s="217"/>
      <c r="K764" s="54"/>
      <c r="L764" s="218"/>
      <c r="M764" s="218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</row>
    <row r="765" ht="12.75" customHeight="1">
      <c r="A765" s="353"/>
      <c r="B765" s="54"/>
      <c r="E765" s="354"/>
      <c r="F765" s="354"/>
      <c r="G765" s="354"/>
      <c r="H765" s="242"/>
      <c r="I765" s="358"/>
      <c r="J765" s="217"/>
      <c r="K765" s="54"/>
      <c r="L765" s="218"/>
      <c r="M765" s="218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</row>
    <row r="766" ht="12.75" customHeight="1">
      <c r="A766" s="353"/>
      <c r="B766" s="54"/>
      <c r="E766" s="354"/>
      <c r="F766" s="354"/>
      <c r="G766" s="354"/>
      <c r="H766" s="242"/>
      <c r="I766" s="358"/>
      <c r="J766" s="217"/>
      <c r="K766" s="54"/>
      <c r="L766" s="218"/>
      <c r="M766" s="218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</row>
    <row r="767" ht="12.75" customHeight="1">
      <c r="A767" s="353"/>
      <c r="B767" s="54"/>
      <c r="E767" s="354"/>
      <c r="F767" s="354"/>
      <c r="G767" s="354"/>
      <c r="H767" s="242"/>
      <c r="I767" s="358"/>
      <c r="J767" s="217"/>
      <c r="K767" s="54"/>
      <c r="L767" s="218"/>
      <c r="M767" s="218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</row>
    <row r="768" ht="12.75" customHeight="1">
      <c r="A768" s="353"/>
      <c r="B768" s="54"/>
      <c r="E768" s="354"/>
      <c r="F768" s="354"/>
      <c r="G768" s="354"/>
      <c r="H768" s="242"/>
      <c r="I768" s="358"/>
      <c r="J768" s="217"/>
      <c r="K768" s="54"/>
      <c r="L768" s="218"/>
      <c r="M768" s="218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</row>
    <row r="769" ht="12.75" customHeight="1">
      <c r="A769" s="353"/>
      <c r="B769" s="54"/>
      <c r="E769" s="354"/>
      <c r="F769" s="354"/>
      <c r="G769" s="354"/>
      <c r="H769" s="242"/>
      <c r="I769" s="358"/>
      <c r="J769" s="217"/>
      <c r="K769" s="54"/>
      <c r="L769" s="218"/>
      <c r="M769" s="218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</row>
    <row r="770" ht="12.75" customHeight="1">
      <c r="A770" s="353"/>
      <c r="B770" s="54"/>
      <c r="E770" s="354"/>
      <c r="F770" s="354"/>
      <c r="G770" s="354"/>
      <c r="H770" s="242"/>
      <c r="I770" s="358"/>
      <c r="J770" s="217"/>
      <c r="K770" s="54"/>
      <c r="L770" s="218"/>
      <c r="M770" s="218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</row>
    <row r="771" ht="12.75" customHeight="1">
      <c r="A771" s="353"/>
      <c r="B771" s="54"/>
      <c r="E771" s="354"/>
      <c r="F771" s="354"/>
      <c r="G771" s="354"/>
      <c r="H771" s="242"/>
      <c r="I771" s="358"/>
      <c r="J771" s="217"/>
      <c r="K771" s="54"/>
      <c r="L771" s="218"/>
      <c r="M771" s="218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</row>
    <row r="772" ht="12.75" customHeight="1">
      <c r="A772" s="353"/>
      <c r="B772" s="54"/>
      <c r="E772" s="354"/>
      <c r="F772" s="354"/>
      <c r="G772" s="354"/>
      <c r="H772" s="242"/>
      <c r="I772" s="358"/>
      <c r="J772" s="217"/>
      <c r="K772" s="54"/>
      <c r="L772" s="218"/>
      <c r="M772" s="218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</row>
    <row r="773" ht="12.75" customHeight="1">
      <c r="A773" s="353"/>
      <c r="B773" s="54"/>
      <c r="E773" s="354"/>
      <c r="F773" s="354"/>
      <c r="G773" s="354"/>
      <c r="H773" s="242"/>
      <c r="I773" s="358"/>
      <c r="J773" s="217"/>
      <c r="K773" s="54"/>
      <c r="L773" s="218"/>
      <c r="M773" s="218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</row>
    <row r="774" ht="12.75" customHeight="1">
      <c r="A774" s="353"/>
      <c r="B774" s="54"/>
      <c r="E774" s="354"/>
      <c r="F774" s="354"/>
      <c r="G774" s="354"/>
      <c r="H774" s="242"/>
      <c r="I774" s="358"/>
      <c r="J774" s="217"/>
      <c r="K774" s="54"/>
      <c r="L774" s="218"/>
      <c r="M774" s="218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</row>
    <row r="775" ht="12.75" customHeight="1">
      <c r="A775" s="353"/>
      <c r="B775" s="54"/>
      <c r="E775" s="354"/>
      <c r="F775" s="354"/>
      <c r="G775" s="354"/>
      <c r="H775" s="242"/>
      <c r="I775" s="358"/>
      <c r="J775" s="217"/>
      <c r="K775" s="54"/>
      <c r="L775" s="218"/>
      <c r="M775" s="218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</row>
    <row r="776" ht="12.75" customHeight="1">
      <c r="A776" s="353"/>
      <c r="B776" s="54"/>
      <c r="E776" s="354"/>
      <c r="F776" s="354"/>
      <c r="G776" s="354"/>
      <c r="H776" s="242"/>
      <c r="I776" s="358"/>
      <c r="J776" s="217"/>
      <c r="K776" s="54"/>
      <c r="L776" s="218"/>
      <c r="M776" s="218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</row>
    <row r="777" ht="12.75" customHeight="1">
      <c r="A777" s="353"/>
      <c r="B777" s="54"/>
      <c r="E777" s="354"/>
      <c r="F777" s="354"/>
      <c r="G777" s="354"/>
      <c r="H777" s="242"/>
      <c r="I777" s="358"/>
      <c r="J777" s="217"/>
      <c r="K777" s="54"/>
      <c r="L777" s="218"/>
      <c r="M777" s="218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</row>
    <row r="778" ht="12.75" customHeight="1">
      <c r="A778" s="353"/>
      <c r="B778" s="54"/>
      <c r="E778" s="354"/>
      <c r="F778" s="354"/>
      <c r="G778" s="354"/>
      <c r="H778" s="242"/>
      <c r="I778" s="358"/>
      <c r="J778" s="217"/>
      <c r="K778" s="54"/>
      <c r="L778" s="218"/>
      <c r="M778" s="218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</row>
    <row r="779" ht="12.75" customHeight="1">
      <c r="A779" s="353"/>
      <c r="B779" s="54"/>
      <c r="E779" s="354"/>
      <c r="F779" s="354"/>
      <c r="G779" s="354"/>
      <c r="H779" s="242"/>
      <c r="I779" s="358"/>
      <c r="J779" s="217"/>
      <c r="K779" s="54"/>
      <c r="L779" s="218"/>
      <c r="M779" s="218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</row>
    <row r="780" ht="12.75" customHeight="1">
      <c r="A780" s="353"/>
      <c r="B780" s="54"/>
      <c r="E780" s="354"/>
      <c r="F780" s="354"/>
      <c r="G780" s="354"/>
      <c r="H780" s="242"/>
      <c r="I780" s="358"/>
      <c r="J780" s="217"/>
      <c r="K780" s="54"/>
      <c r="L780" s="218"/>
      <c r="M780" s="218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</row>
    <row r="781" ht="12.75" customHeight="1">
      <c r="A781" s="353"/>
      <c r="B781" s="54"/>
      <c r="E781" s="354"/>
      <c r="F781" s="354"/>
      <c r="G781" s="354"/>
      <c r="H781" s="242"/>
      <c r="I781" s="358"/>
      <c r="J781" s="217"/>
      <c r="K781" s="54"/>
      <c r="L781" s="218"/>
      <c r="M781" s="218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</row>
    <row r="782" ht="12.75" customHeight="1">
      <c r="A782" s="353"/>
      <c r="B782" s="54"/>
      <c r="E782" s="354"/>
      <c r="F782" s="354"/>
      <c r="G782" s="354"/>
      <c r="H782" s="242"/>
      <c r="I782" s="358"/>
      <c r="J782" s="217"/>
      <c r="K782" s="54"/>
      <c r="L782" s="218"/>
      <c r="M782" s="218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</row>
    <row r="783" ht="12.75" customHeight="1">
      <c r="A783" s="353"/>
      <c r="B783" s="54"/>
      <c r="E783" s="354"/>
      <c r="F783" s="354"/>
      <c r="G783" s="354"/>
      <c r="H783" s="242"/>
      <c r="I783" s="358"/>
      <c r="J783" s="217"/>
      <c r="K783" s="54"/>
      <c r="L783" s="218"/>
      <c r="M783" s="218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</row>
    <row r="784" ht="12.75" customHeight="1">
      <c r="A784" s="353"/>
      <c r="B784" s="54"/>
      <c r="E784" s="354"/>
      <c r="F784" s="354"/>
      <c r="G784" s="354"/>
      <c r="H784" s="242"/>
      <c r="I784" s="358"/>
      <c r="J784" s="217"/>
      <c r="K784" s="54"/>
      <c r="L784" s="218"/>
      <c r="M784" s="218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</row>
    <row r="785" ht="12.75" customHeight="1">
      <c r="A785" s="353"/>
      <c r="B785" s="54"/>
      <c r="E785" s="354"/>
      <c r="F785" s="354"/>
      <c r="G785" s="354"/>
      <c r="H785" s="242"/>
      <c r="I785" s="358"/>
      <c r="J785" s="217"/>
      <c r="K785" s="54"/>
      <c r="L785" s="218"/>
      <c r="M785" s="218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</row>
    <row r="786" ht="12.75" customHeight="1">
      <c r="A786" s="353"/>
      <c r="B786" s="54"/>
      <c r="E786" s="354"/>
      <c r="F786" s="354"/>
      <c r="G786" s="354"/>
      <c r="H786" s="242"/>
      <c r="I786" s="358"/>
      <c r="J786" s="217"/>
      <c r="K786" s="54"/>
      <c r="L786" s="218"/>
      <c r="M786" s="218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</row>
    <row r="787" ht="12.75" customHeight="1">
      <c r="A787" s="353"/>
      <c r="B787" s="54"/>
      <c r="E787" s="354"/>
      <c r="F787" s="354"/>
      <c r="G787" s="354"/>
      <c r="H787" s="242"/>
      <c r="I787" s="358"/>
      <c r="J787" s="217"/>
      <c r="K787" s="54"/>
      <c r="L787" s="218"/>
      <c r="M787" s="218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</row>
    <row r="788" ht="12.75" customHeight="1">
      <c r="A788" s="353"/>
      <c r="B788" s="54"/>
      <c r="E788" s="354"/>
      <c r="F788" s="354"/>
      <c r="G788" s="354"/>
      <c r="H788" s="242"/>
      <c r="I788" s="358"/>
      <c r="J788" s="217"/>
      <c r="K788" s="54"/>
      <c r="L788" s="218"/>
      <c r="M788" s="218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</row>
    <row r="789" ht="12.75" customHeight="1">
      <c r="A789" s="353"/>
      <c r="B789" s="54"/>
      <c r="E789" s="354"/>
      <c r="F789" s="354"/>
      <c r="G789" s="354"/>
      <c r="H789" s="242"/>
      <c r="I789" s="358"/>
      <c r="J789" s="217"/>
      <c r="K789" s="54"/>
      <c r="L789" s="218"/>
      <c r="M789" s="218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</row>
    <row r="790" ht="12.75" customHeight="1">
      <c r="A790" s="353"/>
      <c r="B790" s="54"/>
      <c r="E790" s="354"/>
      <c r="F790" s="354"/>
      <c r="G790" s="354"/>
      <c r="H790" s="242"/>
      <c r="I790" s="358"/>
      <c r="J790" s="217"/>
      <c r="K790" s="54"/>
      <c r="L790" s="218"/>
      <c r="M790" s="218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</row>
    <row r="791" ht="12.75" customHeight="1">
      <c r="A791" s="353"/>
      <c r="B791" s="54"/>
      <c r="E791" s="354"/>
      <c r="F791" s="354"/>
      <c r="G791" s="354"/>
      <c r="H791" s="242"/>
      <c r="I791" s="358"/>
      <c r="J791" s="217"/>
      <c r="K791" s="54"/>
      <c r="L791" s="218"/>
      <c r="M791" s="218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</row>
    <row r="792" ht="12.75" customHeight="1">
      <c r="A792" s="353"/>
      <c r="B792" s="54"/>
      <c r="E792" s="354"/>
      <c r="F792" s="354"/>
      <c r="G792" s="354"/>
      <c r="H792" s="242"/>
      <c r="I792" s="358"/>
      <c r="J792" s="217"/>
      <c r="K792" s="54"/>
      <c r="L792" s="218"/>
      <c r="M792" s="218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</row>
    <row r="793" ht="12.75" customHeight="1">
      <c r="A793" s="353"/>
      <c r="B793" s="54"/>
      <c r="E793" s="354"/>
      <c r="F793" s="354"/>
      <c r="G793" s="354"/>
      <c r="H793" s="242"/>
      <c r="I793" s="358"/>
      <c r="J793" s="217"/>
      <c r="K793" s="54"/>
      <c r="L793" s="218"/>
      <c r="M793" s="218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</row>
    <row r="794" ht="12.75" customHeight="1">
      <c r="A794" s="353"/>
      <c r="B794" s="54"/>
      <c r="E794" s="354"/>
      <c r="F794" s="354"/>
      <c r="G794" s="354"/>
      <c r="H794" s="242"/>
      <c r="I794" s="358"/>
      <c r="J794" s="217"/>
      <c r="K794" s="54"/>
      <c r="L794" s="218"/>
      <c r="M794" s="218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</row>
    <row r="795" ht="12.75" customHeight="1">
      <c r="A795" s="353"/>
      <c r="B795" s="54"/>
      <c r="E795" s="354"/>
      <c r="F795" s="354"/>
      <c r="G795" s="354"/>
      <c r="H795" s="242"/>
      <c r="I795" s="358"/>
      <c r="J795" s="217"/>
      <c r="K795" s="54"/>
      <c r="L795" s="218"/>
      <c r="M795" s="218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</row>
    <row r="796" ht="12.75" customHeight="1">
      <c r="A796" s="353"/>
      <c r="B796" s="54"/>
      <c r="E796" s="354"/>
      <c r="F796" s="354"/>
      <c r="G796" s="354"/>
      <c r="H796" s="242"/>
      <c r="I796" s="358"/>
      <c r="J796" s="217"/>
      <c r="K796" s="54"/>
      <c r="L796" s="218"/>
      <c r="M796" s="218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</row>
    <row r="797" ht="12.75" customHeight="1">
      <c r="A797" s="353"/>
      <c r="B797" s="54"/>
      <c r="E797" s="354"/>
      <c r="F797" s="354"/>
      <c r="G797" s="354"/>
      <c r="H797" s="242"/>
      <c r="I797" s="358"/>
      <c r="J797" s="217"/>
      <c r="K797" s="54"/>
      <c r="L797" s="218"/>
      <c r="M797" s="218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</row>
    <row r="798" ht="12.75" customHeight="1">
      <c r="A798" s="353"/>
      <c r="B798" s="54"/>
      <c r="E798" s="354"/>
      <c r="F798" s="354"/>
      <c r="G798" s="354"/>
      <c r="H798" s="242"/>
      <c r="I798" s="358"/>
      <c r="J798" s="217"/>
      <c r="K798" s="54"/>
      <c r="L798" s="218"/>
      <c r="M798" s="218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</row>
    <row r="799" ht="12.75" customHeight="1">
      <c r="A799" s="353"/>
      <c r="B799" s="54"/>
      <c r="E799" s="354"/>
      <c r="F799" s="354"/>
      <c r="G799" s="354"/>
      <c r="H799" s="242"/>
      <c r="I799" s="358"/>
      <c r="J799" s="217"/>
      <c r="K799" s="54"/>
      <c r="L799" s="218"/>
      <c r="M799" s="218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</row>
    <row r="800" ht="12.75" customHeight="1">
      <c r="A800" s="353"/>
      <c r="B800" s="54"/>
      <c r="E800" s="354"/>
      <c r="F800" s="354"/>
      <c r="G800" s="354"/>
      <c r="H800" s="242"/>
      <c r="I800" s="358"/>
      <c r="J800" s="217"/>
      <c r="K800" s="54"/>
      <c r="L800" s="218"/>
      <c r="M800" s="218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</row>
    <row r="801" ht="12.75" customHeight="1">
      <c r="A801" s="353"/>
      <c r="B801" s="54"/>
      <c r="E801" s="354"/>
      <c r="F801" s="354"/>
      <c r="G801" s="354"/>
      <c r="H801" s="242"/>
      <c r="I801" s="358"/>
      <c r="J801" s="217"/>
      <c r="K801" s="54"/>
      <c r="L801" s="218"/>
      <c r="M801" s="218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</row>
    <row r="802" ht="12.75" customHeight="1">
      <c r="A802" s="353"/>
      <c r="B802" s="54"/>
      <c r="E802" s="354"/>
      <c r="F802" s="354"/>
      <c r="G802" s="354"/>
      <c r="H802" s="242"/>
      <c r="I802" s="358"/>
      <c r="J802" s="217"/>
      <c r="K802" s="54"/>
      <c r="L802" s="218"/>
      <c r="M802" s="218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</row>
    <row r="803" ht="12.75" customHeight="1">
      <c r="A803" s="353"/>
      <c r="B803" s="54"/>
      <c r="E803" s="354"/>
      <c r="F803" s="354"/>
      <c r="G803" s="354"/>
      <c r="H803" s="242"/>
      <c r="I803" s="358"/>
      <c r="J803" s="217"/>
      <c r="K803" s="54"/>
      <c r="L803" s="218"/>
      <c r="M803" s="218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</row>
    <row r="804" ht="12.75" customHeight="1">
      <c r="A804" s="353"/>
      <c r="B804" s="54"/>
      <c r="E804" s="354"/>
      <c r="F804" s="354"/>
      <c r="G804" s="354"/>
      <c r="H804" s="242"/>
      <c r="I804" s="358"/>
      <c r="J804" s="217"/>
      <c r="K804" s="54"/>
      <c r="L804" s="218"/>
      <c r="M804" s="218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</row>
    <row r="805" ht="12.75" customHeight="1">
      <c r="A805" s="353"/>
      <c r="B805" s="54"/>
      <c r="E805" s="354"/>
      <c r="F805" s="354"/>
      <c r="G805" s="354"/>
      <c r="H805" s="242"/>
      <c r="I805" s="358"/>
      <c r="J805" s="217"/>
      <c r="K805" s="54"/>
      <c r="L805" s="218"/>
      <c r="M805" s="218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</row>
    <row r="806" ht="12.75" customHeight="1">
      <c r="A806" s="353"/>
      <c r="B806" s="54"/>
      <c r="E806" s="354"/>
      <c r="F806" s="354"/>
      <c r="G806" s="354"/>
      <c r="H806" s="242"/>
      <c r="I806" s="358"/>
      <c r="J806" s="217"/>
      <c r="K806" s="54"/>
      <c r="L806" s="218"/>
      <c r="M806" s="218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</row>
    <row r="807" ht="12.75" customHeight="1">
      <c r="A807" s="353"/>
      <c r="B807" s="54"/>
      <c r="E807" s="354"/>
      <c r="F807" s="354"/>
      <c r="G807" s="354"/>
      <c r="H807" s="242"/>
      <c r="I807" s="358"/>
      <c r="J807" s="217"/>
      <c r="K807" s="54"/>
      <c r="L807" s="218"/>
      <c r="M807" s="218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</row>
    <row r="808" ht="12.75" customHeight="1">
      <c r="A808" s="353"/>
      <c r="B808" s="54"/>
      <c r="E808" s="354"/>
      <c r="F808" s="354"/>
      <c r="G808" s="354"/>
      <c r="H808" s="242"/>
      <c r="I808" s="358"/>
      <c r="J808" s="217"/>
      <c r="K808" s="54"/>
      <c r="L808" s="218"/>
      <c r="M808" s="218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</row>
    <row r="809" ht="12.75" customHeight="1">
      <c r="A809" s="353"/>
      <c r="B809" s="54"/>
      <c r="E809" s="354"/>
      <c r="F809" s="354"/>
      <c r="G809" s="354"/>
      <c r="H809" s="242"/>
      <c r="I809" s="358"/>
      <c r="J809" s="217"/>
      <c r="K809" s="54"/>
      <c r="L809" s="218"/>
      <c r="M809" s="218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</row>
    <row r="810" ht="12.75" customHeight="1">
      <c r="A810" s="353"/>
      <c r="B810" s="54"/>
      <c r="E810" s="354"/>
      <c r="F810" s="354"/>
      <c r="G810" s="354"/>
      <c r="H810" s="242"/>
      <c r="I810" s="358"/>
      <c r="J810" s="217"/>
      <c r="K810" s="54"/>
      <c r="L810" s="218"/>
      <c r="M810" s="218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</row>
    <row r="811" ht="12.75" customHeight="1">
      <c r="A811" s="353"/>
      <c r="B811" s="54"/>
      <c r="E811" s="354"/>
      <c r="F811" s="354"/>
      <c r="G811" s="354"/>
      <c r="H811" s="242"/>
      <c r="I811" s="358"/>
      <c r="J811" s="217"/>
      <c r="K811" s="54"/>
      <c r="L811" s="218"/>
      <c r="M811" s="218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</row>
    <row r="812" ht="12.75" customHeight="1">
      <c r="A812" s="353"/>
      <c r="B812" s="54"/>
      <c r="E812" s="354"/>
      <c r="F812" s="354"/>
      <c r="G812" s="354"/>
      <c r="H812" s="242"/>
      <c r="I812" s="358"/>
      <c r="J812" s="217"/>
      <c r="K812" s="54"/>
      <c r="L812" s="218"/>
      <c r="M812" s="218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</row>
    <row r="813" ht="12.75" customHeight="1">
      <c r="A813" s="353"/>
      <c r="B813" s="54"/>
      <c r="E813" s="354"/>
      <c r="F813" s="354"/>
      <c r="G813" s="354"/>
      <c r="H813" s="242"/>
      <c r="I813" s="358"/>
      <c r="J813" s="217"/>
      <c r="K813" s="54"/>
      <c r="L813" s="218"/>
      <c r="M813" s="218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</row>
    <row r="814" ht="12.75" customHeight="1">
      <c r="A814" s="353"/>
      <c r="B814" s="54"/>
      <c r="E814" s="354"/>
      <c r="F814" s="354"/>
      <c r="G814" s="354"/>
      <c r="H814" s="242"/>
      <c r="I814" s="358"/>
      <c r="J814" s="217"/>
      <c r="K814" s="54"/>
      <c r="L814" s="218"/>
      <c r="M814" s="218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</row>
    <row r="815" ht="12.75" customHeight="1">
      <c r="A815" s="353"/>
      <c r="B815" s="54"/>
      <c r="E815" s="354"/>
      <c r="F815" s="354"/>
      <c r="G815" s="354"/>
      <c r="H815" s="242"/>
      <c r="I815" s="358"/>
      <c r="J815" s="217"/>
      <c r="K815" s="54"/>
      <c r="L815" s="218"/>
      <c r="M815" s="218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</row>
    <row r="816" ht="12.75" customHeight="1">
      <c r="A816" s="353"/>
      <c r="B816" s="54"/>
      <c r="E816" s="354"/>
      <c r="F816" s="354"/>
      <c r="G816" s="354"/>
      <c r="H816" s="242"/>
      <c r="I816" s="358"/>
      <c r="J816" s="217"/>
      <c r="K816" s="54"/>
      <c r="L816" s="218"/>
      <c r="M816" s="218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</row>
    <row r="817" ht="12.75" customHeight="1">
      <c r="A817" s="353"/>
      <c r="B817" s="54"/>
      <c r="E817" s="354"/>
      <c r="F817" s="354"/>
      <c r="G817" s="354"/>
      <c r="H817" s="242"/>
      <c r="I817" s="358"/>
      <c r="J817" s="217"/>
      <c r="K817" s="54"/>
      <c r="L817" s="218"/>
      <c r="M817" s="218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</row>
    <row r="818" ht="12.75" customHeight="1">
      <c r="A818" s="353"/>
      <c r="B818" s="54"/>
      <c r="E818" s="354"/>
      <c r="F818" s="354"/>
      <c r="G818" s="354"/>
      <c r="H818" s="242"/>
      <c r="I818" s="358"/>
      <c r="J818" s="217"/>
      <c r="K818" s="54"/>
      <c r="L818" s="218"/>
      <c r="M818" s="218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</row>
    <row r="819" ht="12.75" customHeight="1">
      <c r="A819" s="353"/>
      <c r="B819" s="54"/>
      <c r="E819" s="354"/>
      <c r="F819" s="354"/>
      <c r="G819" s="354"/>
      <c r="H819" s="242"/>
      <c r="I819" s="358"/>
      <c r="J819" s="217"/>
      <c r="K819" s="54"/>
      <c r="L819" s="218"/>
      <c r="M819" s="218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</row>
    <row r="820" ht="12.75" customHeight="1">
      <c r="A820" s="353"/>
      <c r="B820" s="54"/>
      <c r="E820" s="354"/>
      <c r="F820" s="354"/>
      <c r="G820" s="354"/>
      <c r="H820" s="242"/>
      <c r="I820" s="358"/>
      <c r="J820" s="217"/>
      <c r="K820" s="54"/>
      <c r="L820" s="218"/>
      <c r="M820" s="218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</row>
    <row r="821" ht="12.75" customHeight="1">
      <c r="A821" s="353"/>
      <c r="B821" s="54"/>
      <c r="E821" s="354"/>
      <c r="F821" s="354"/>
      <c r="G821" s="354"/>
      <c r="H821" s="242"/>
      <c r="I821" s="358"/>
      <c r="J821" s="217"/>
      <c r="K821" s="54"/>
      <c r="L821" s="218"/>
      <c r="M821" s="218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</row>
    <row r="822" ht="12.75" customHeight="1">
      <c r="A822" s="353"/>
      <c r="B822" s="54"/>
      <c r="E822" s="354"/>
      <c r="F822" s="354"/>
      <c r="G822" s="354"/>
      <c r="H822" s="242"/>
      <c r="I822" s="358"/>
      <c r="J822" s="217"/>
      <c r="K822" s="54"/>
      <c r="L822" s="218"/>
      <c r="M822" s="218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</row>
    <row r="823" ht="12.75" customHeight="1">
      <c r="A823" s="353"/>
      <c r="B823" s="54"/>
      <c r="E823" s="354"/>
      <c r="F823" s="354"/>
      <c r="G823" s="354"/>
      <c r="H823" s="242"/>
      <c r="I823" s="358"/>
      <c r="J823" s="217"/>
      <c r="K823" s="54"/>
      <c r="L823" s="218"/>
      <c r="M823" s="218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</row>
    <row r="824" ht="12.75" customHeight="1">
      <c r="A824" s="353"/>
      <c r="B824" s="54"/>
      <c r="E824" s="354"/>
      <c r="F824" s="354"/>
      <c r="G824" s="354"/>
      <c r="H824" s="242"/>
      <c r="I824" s="358"/>
      <c r="J824" s="217"/>
      <c r="K824" s="54"/>
      <c r="L824" s="218"/>
      <c r="M824" s="218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</row>
    <row r="825" ht="12.75" customHeight="1">
      <c r="A825" s="353"/>
      <c r="B825" s="54"/>
      <c r="E825" s="354"/>
      <c r="F825" s="354"/>
      <c r="G825" s="354"/>
      <c r="H825" s="242"/>
      <c r="I825" s="358"/>
      <c r="J825" s="217"/>
      <c r="K825" s="54"/>
      <c r="L825" s="218"/>
      <c r="M825" s="218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</row>
    <row r="826" ht="12.75" customHeight="1">
      <c r="A826" s="353"/>
      <c r="B826" s="54"/>
      <c r="E826" s="354"/>
      <c r="F826" s="354"/>
      <c r="G826" s="354"/>
      <c r="H826" s="242"/>
      <c r="I826" s="358"/>
      <c r="J826" s="217"/>
      <c r="K826" s="54"/>
      <c r="L826" s="218"/>
      <c r="M826" s="218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</row>
    <row r="827" ht="12.75" customHeight="1">
      <c r="A827" s="353"/>
      <c r="B827" s="54"/>
      <c r="E827" s="354"/>
      <c r="F827" s="354"/>
      <c r="G827" s="354"/>
      <c r="H827" s="242"/>
      <c r="I827" s="358"/>
      <c r="J827" s="217"/>
      <c r="K827" s="54"/>
      <c r="L827" s="218"/>
      <c r="M827" s="218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</row>
    <row r="828" ht="12.75" customHeight="1">
      <c r="A828" s="353"/>
      <c r="B828" s="54"/>
      <c r="E828" s="354"/>
      <c r="F828" s="354"/>
      <c r="G828" s="354"/>
      <c r="H828" s="242"/>
      <c r="I828" s="358"/>
      <c r="J828" s="217"/>
      <c r="K828" s="54"/>
      <c r="L828" s="218"/>
      <c r="M828" s="218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</row>
    <row r="829" ht="12.75" customHeight="1">
      <c r="A829" s="353"/>
      <c r="B829" s="54"/>
      <c r="E829" s="354"/>
      <c r="F829" s="354"/>
      <c r="G829" s="354"/>
      <c r="H829" s="242"/>
      <c r="I829" s="358"/>
      <c r="J829" s="217"/>
      <c r="K829" s="54"/>
      <c r="L829" s="218"/>
      <c r="M829" s="218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</row>
    <row r="830" ht="12.75" customHeight="1">
      <c r="A830" s="353"/>
      <c r="B830" s="54"/>
      <c r="E830" s="354"/>
      <c r="F830" s="354"/>
      <c r="G830" s="354"/>
      <c r="H830" s="242"/>
      <c r="I830" s="358"/>
      <c r="J830" s="217"/>
      <c r="K830" s="54"/>
      <c r="L830" s="218"/>
      <c r="M830" s="218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</row>
    <row r="831" ht="12.75" customHeight="1">
      <c r="A831" s="353"/>
      <c r="B831" s="54"/>
      <c r="E831" s="354"/>
      <c r="F831" s="354"/>
      <c r="G831" s="354"/>
      <c r="H831" s="242"/>
      <c r="I831" s="358"/>
      <c r="J831" s="217"/>
      <c r="K831" s="54"/>
      <c r="L831" s="218"/>
      <c r="M831" s="218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</row>
    <row r="832" ht="12.75" customHeight="1">
      <c r="A832" s="353"/>
      <c r="B832" s="54"/>
      <c r="E832" s="354"/>
      <c r="F832" s="354"/>
      <c r="G832" s="354"/>
      <c r="H832" s="242"/>
      <c r="I832" s="358"/>
      <c r="J832" s="217"/>
      <c r="K832" s="54"/>
      <c r="L832" s="218"/>
      <c r="M832" s="218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</row>
    <row r="833" ht="12.75" customHeight="1">
      <c r="A833" s="353"/>
      <c r="B833" s="54"/>
      <c r="E833" s="354"/>
      <c r="F833" s="354"/>
      <c r="G833" s="354"/>
      <c r="H833" s="242"/>
      <c r="I833" s="358"/>
      <c r="J833" s="217"/>
      <c r="K833" s="54"/>
      <c r="L833" s="218"/>
      <c r="M833" s="218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</row>
    <row r="834" ht="12.75" customHeight="1">
      <c r="A834" s="353"/>
      <c r="B834" s="54"/>
      <c r="E834" s="354"/>
      <c r="F834" s="354"/>
      <c r="G834" s="354"/>
      <c r="H834" s="242"/>
      <c r="I834" s="358"/>
      <c r="J834" s="217"/>
      <c r="K834" s="54"/>
      <c r="L834" s="218"/>
      <c r="M834" s="218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</row>
    <row r="835" ht="12.75" customHeight="1">
      <c r="A835" s="353"/>
      <c r="B835" s="54"/>
      <c r="E835" s="354"/>
      <c r="F835" s="354"/>
      <c r="G835" s="354"/>
      <c r="H835" s="242"/>
      <c r="I835" s="358"/>
      <c r="J835" s="217"/>
      <c r="K835" s="54"/>
      <c r="L835" s="218"/>
      <c r="M835" s="218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</row>
    <row r="836" ht="12.75" customHeight="1">
      <c r="A836" s="353"/>
      <c r="B836" s="54"/>
      <c r="E836" s="354"/>
      <c r="F836" s="354"/>
      <c r="G836" s="354"/>
      <c r="H836" s="242"/>
      <c r="I836" s="358"/>
      <c r="J836" s="217"/>
      <c r="K836" s="54"/>
      <c r="L836" s="218"/>
      <c r="M836" s="218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</row>
    <row r="837" ht="12.75" customHeight="1">
      <c r="A837" s="353"/>
      <c r="B837" s="54"/>
      <c r="E837" s="354"/>
      <c r="F837" s="354"/>
      <c r="G837" s="354"/>
      <c r="H837" s="242"/>
      <c r="I837" s="358"/>
      <c r="J837" s="217"/>
      <c r="K837" s="54"/>
      <c r="L837" s="218"/>
      <c r="M837" s="218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</row>
    <row r="838" ht="12.75" customHeight="1">
      <c r="A838" s="353"/>
      <c r="B838" s="54"/>
      <c r="E838" s="354"/>
      <c r="F838" s="354"/>
      <c r="G838" s="354"/>
      <c r="H838" s="242"/>
      <c r="I838" s="358"/>
      <c r="J838" s="217"/>
      <c r="K838" s="54"/>
      <c r="L838" s="218"/>
      <c r="M838" s="218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</row>
    <row r="839" ht="12.75" customHeight="1">
      <c r="A839" s="353"/>
      <c r="B839" s="54"/>
      <c r="E839" s="354"/>
      <c r="F839" s="354"/>
      <c r="G839" s="354"/>
      <c r="H839" s="242"/>
      <c r="I839" s="358"/>
      <c r="J839" s="217"/>
      <c r="K839" s="54"/>
      <c r="L839" s="218"/>
      <c r="M839" s="218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</row>
    <row r="840" ht="12.75" customHeight="1">
      <c r="A840" s="353"/>
      <c r="B840" s="54"/>
      <c r="E840" s="354"/>
      <c r="F840" s="354"/>
      <c r="G840" s="354"/>
      <c r="H840" s="242"/>
      <c r="I840" s="358"/>
      <c r="J840" s="217"/>
      <c r="K840" s="54"/>
      <c r="L840" s="218"/>
      <c r="M840" s="218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</row>
    <row r="841" ht="12.75" customHeight="1">
      <c r="A841" s="353"/>
      <c r="B841" s="54"/>
      <c r="E841" s="354"/>
      <c r="F841" s="354"/>
      <c r="G841" s="354"/>
      <c r="H841" s="242"/>
      <c r="I841" s="358"/>
      <c r="J841" s="217"/>
      <c r="K841" s="54"/>
      <c r="L841" s="218"/>
      <c r="M841" s="218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</row>
    <row r="842" ht="12.75" customHeight="1">
      <c r="A842" s="353"/>
      <c r="B842" s="54"/>
      <c r="E842" s="354"/>
      <c r="F842" s="354"/>
      <c r="G842" s="354"/>
      <c r="H842" s="242"/>
      <c r="I842" s="358"/>
      <c r="J842" s="217"/>
      <c r="K842" s="54"/>
      <c r="L842" s="218"/>
      <c r="M842" s="218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</row>
    <row r="843" ht="12.75" customHeight="1">
      <c r="A843" s="353"/>
      <c r="B843" s="54"/>
      <c r="E843" s="354"/>
      <c r="F843" s="354"/>
      <c r="G843" s="354"/>
      <c r="H843" s="242"/>
      <c r="I843" s="358"/>
      <c r="J843" s="217"/>
      <c r="K843" s="54"/>
      <c r="L843" s="218"/>
      <c r="M843" s="218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</row>
    <row r="844" ht="12.75" customHeight="1">
      <c r="A844" s="353"/>
      <c r="B844" s="54"/>
      <c r="E844" s="354"/>
      <c r="F844" s="354"/>
      <c r="G844" s="354"/>
      <c r="H844" s="242"/>
      <c r="I844" s="358"/>
      <c r="J844" s="217"/>
      <c r="K844" s="54"/>
      <c r="L844" s="218"/>
      <c r="M844" s="218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</row>
    <row r="845" ht="12.75" customHeight="1">
      <c r="A845" s="353"/>
      <c r="B845" s="54"/>
      <c r="E845" s="354"/>
      <c r="F845" s="354"/>
      <c r="G845" s="354"/>
      <c r="H845" s="242"/>
      <c r="I845" s="358"/>
      <c r="J845" s="217"/>
      <c r="K845" s="54"/>
      <c r="L845" s="218"/>
      <c r="M845" s="218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</row>
    <row r="846" ht="12.75" customHeight="1">
      <c r="A846" s="353"/>
      <c r="B846" s="54"/>
      <c r="E846" s="354"/>
      <c r="F846" s="354"/>
      <c r="G846" s="354"/>
      <c r="H846" s="242"/>
      <c r="I846" s="358"/>
      <c r="J846" s="217"/>
      <c r="K846" s="54"/>
      <c r="L846" s="218"/>
      <c r="M846" s="218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</row>
    <row r="847" ht="12.75" customHeight="1">
      <c r="A847" s="353"/>
      <c r="B847" s="54"/>
      <c r="E847" s="354"/>
      <c r="F847" s="354"/>
      <c r="G847" s="354"/>
      <c r="H847" s="242"/>
      <c r="I847" s="358"/>
      <c r="J847" s="217"/>
      <c r="K847" s="54"/>
      <c r="L847" s="218"/>
      <c r="M847" s="218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</row>
    <row r="848" ht="12.75" customHeight="1">
      <c r="A848" s="353"/>
      <c r="B848" s="54"/>
      <c r="E848" s="354"/>
      <c r="F848" s="354"/>
      <c r="G848" s="354"/>
      <c r="H848" s="242"/>
      <c r="I848" s="358"/>
      <c r="J848" s="217"/>
      <c r="K848" s="54"/>
      <c r="L848" s="218"/>
      <c r="M848" s="218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</row>
    <row r="849" ht="12.75" customHeight="1">
      <c r="A849" s="353"/>
      <c r="B849" s="54"/>
      <c r="E849" s="354"/>
      <c r="F849" s="354"/>
      <c r="G849" s="354"/>
      <c r="H849" s="242"/>
      <c r="I849" s="358"/>
      <c r="J849" s="217"/>
      <c r="K849" s="54"/>
      <c r="L849" s="218"/>
      <c r="M849" s="218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</row>
    <row r="850" ht="12.75" customHeight="1">
      <c r="A850" s="353"/>
      <c r="B850" s="54"/>
      <c r="E850" s="354"/>
      <c r="F850" s="354"/>
      <c r="G850" s="354"/>
      <c r="H850" s="242"/>
      <c r="I850" s="358"/>
      <c r="J850" s="217"/>
      <c r="K850" s="54"/>
      <c r="L850" s="218"/>
      <c r="M850" s="218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</row>
    <row r="851" ht="12.75" customHeight="1">
      <c r="A851" s="353"/>
      <c r="B851" s="54"/>
      <c r="E851" s="354"/>
      <c r="F851" s="354"/>
      <c r="G851" s="354"/>
      <c r="H851" s="242"/>
      <c r="I851" s="358"/>
      <c r="J851" s="217"/>
      <c r="K851" s="54"/>
      <c r="L851" s="218"/>
      <c r="M851" s="218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</row>
    <row r="852" ht="12.75" customHeight="1">
      <c r="A852" s="353"/>
      <c r="B852" s="54"/>
      <c r="E852" s="354"/>
      <c r="F852" s="354"/>
      <c r="G852" s="354"/>
      <c r="H852" s="242"/>
      <c r="I852" s="358"/>
      <c r="J852" s="217"/>
      <c r="K852" s="54"/>
      <c r="L852" s="218"/>
      <c r="M852" s="218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</row>
    <row r="853" ht="12.75" customHeight="1">
      <c r="A853" s="353"/>
      <c r="B853" s="54"/>
      <c r="E853" s="354"/>
      <c r="F853" s="354"/>
      <c r="G853" s="354"/>
      <c r="H853" s="242"/>
      <c r="I853" s="358"/>
      <c r="J853" s="217"/>
      <c r="K853" s="54"/>
      <c r="L853" s="218"/>
      <c r="M853" s="218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</row>
    <row r="854" ht="12.75" customHeight="1">
      <c r="A854" s="353"/>
      <c r="B854" s="54"/>
      <c r="E854" s="354"/>
      <c r="F854" s="354"/>
      <c r="G854" s="354"/>
      <c r="H854" s="242"/>
      <c r="I854" s="358"/>
      <c r="J854" s="217"/>
      <c r="K854" s="54"/>
      <c r="L854" s="218"/>
      <c r="M854" s="218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</row>
    <row r="855" ht="12.75" customHeight="1">
      <c r="A855" s="353"/>
      <c r="B855" s="54"/>
      <c r="E855" s="354"/>
      <c r="F855" s="354"/>
      <c r="G855" s="354"/>
      <c r="H855" s="242"/>
      <c r="I855" s="358"/>
      <c r="J855" s="217"/>
      <c r="K855" s="54"/>
      <c r="L855" s="218"/>
      <c r="M855" s="218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</row>
    <row r="856" ht="12.75" customHeight="1">
      <c r="A856" s="353"/>
      <c r="B856" s="54"/>
      <c r="E856" s="354"/>
      <c r="F856" s="354"/>
      <c r="G856" s="354"/>
      <c r="H856" s="242"/>
      <c r="I856" s="358"/>
      <c r="J856" s="217"/>
      <c r="K856" s="54"/>
      <c r="L856" s="218"/>
      <c r="M856" s="218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</row>
    <row r="857" ht="12.75" customHeight="1">
      <c r="A857" s="353"/>
      <c r="B857" s="54"/>
      <c r="E857" s="354"/>
      <c r="F857" s="354"/>
      <c r="G857" s="354"/>
      <c r="H857" s="242"/>
      <c r="I857" s="358"/>
      <c r="J857" s="217"/>
      <c r="K857" s="54"/>
      <c r="L857" s="218"/>
      <c r="M857" s="218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</row>
    <row r="858" ht="12.75" customHeight="1">
      <c r="A858" s="353"/>
      <c r="B858" s="54"/>
      <c r="E858" s="354"/>
      <c r="F858" s="354"/>
      <c r="G858" s="354"/>
      <c r="H858" s="242"/>
      <c r="I858" s="358"/>
      <c r="J858" s="217"/>
      <c r="K858" s="54"/>
      <c r="L858" s="218"/>
      <c r="M858" s="218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</row>
    <row r="859" ht="12.75" customHeight="1">
      <c r="A859" s="353"/>
      <c r="B859" s="54"/>
      <c r="E859" s="354"/>
      <c r="F859" s="354"/>
      <c r="G859" s="354"/>
      <c r="H859" s="242"/>
      <c r="I859" s="358"/>
      <c r="J859" s="217"/>
      <c r="K859" s="54"/>
      <c r="L859" s="218"/>
      <c r="M859" s="218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</row>
    <row r="860" ht="12.75" customHeight="1">
      <c r="A860" s="353"/>
      <c r="B860" s="54"/>
      <c r="E860" s="354"/>
      <c r="F860" s="354"/>
      <c r="G860" s="354"/>
      <c r="H860" s="242"/>
      <c r="I860" s="358"/>
      <c r="J860" s="217"/>
      <c r="K860" s="54"/>
      <c r="L860" s="218"/>
      <c r="M860" s="218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</row>
    <row r="861" ht="12.75" customHeight="1">
      <c r="A861" s="353"/>
      <c r="B861" s="54"/>
      <c r="E861" s="354"/>
      <c r="F861" s="354"/>
      <c r="G861" s="354"/>
      <c r="H861" s="242"/>
      <c r="I861" s="358"/>
      <c r="J861" s="217"/>
      <c r="K861" s="54"/>
      <c r="L861" s="218"/>
      <c r="M861" s="218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</row>
    <row r="862" ht="12.75" customHeight="1">
      <c r="A862" s="353"/>
      <c r="B862" s="54"/>
      <c r="E862" s="354"/>
      <c r="F862" s="354"/>
      <c r="G862" s="354"/>
      <c r="H862" s="242"/>
      <c r="I862" s="358"/>
      <c r="J862" s="217"/>
      <c r="K862" s="54"/>
      <c r="L862" s="218"/>
      <c r="M862" s="218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</row>
    <row r="863" ht="12.75" customHeight="1">
      <c r="A863" s="353"/>
      <c r="B863" s="54"/>
      <c r="E863" s="354"/>
      <c r="F863" s="354"/>
      <c r="G863" s="354"/>
      <c r="H863" s="242"/>
      <c r="I863" s="358"/>
      <c r="J863" s="217"/>
      <c r="K863" s="54"/>
      <c r="L863" s="218"/>
      <c r="M863" s="218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</row>
    <row r="864" ht="12.75" customHeight="1">
      <c r="A864" s="353"/>
      <c r="B864" s="54"/>
      <c r="E864" s="354"/>
      <c r="F864" s="354"/>
      <c r="G864" s="354"/>
      <c r="H864" s="242"/>
      <c r="I864" s="358"/>
      <c r="J864" s="217"/>
      <c r="K864" s="54"/>
      <c r="L864" s="218"/>
      <c r="M864" s="218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</row>
    <row r="865" ht="12.75" customHeight="1">
      <c r="A865" s="353"/>
      <c r="B865" s="54"/>
      <c r="E865" s="354"/>
      <c r="F865" s="354"/>
      <c r="G865" s="354"/>
      <c r="H865" s="242"/>
      <c r="I865" s="358"/>
      <c r="J865" s="217"/>
      <c r="K865" s="54"/>
      <c r="L865" s="218"/>
      <c r="M865" s="218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</row>
    <row r="866" ht="12.75" customHeight="1">
      <c r="A866" s="353"/>
      <c r="B866" s="54"/>
      <c r="E866" s="354"/>
      <c r="F866" s="354"/>
      <c r="G866" s="354"/>
      <c r="H866" s="242"/>
      <c r="I866" s="358"/>
      <c r="J866" s="217"/>
      <c r="K866" s="54"/>
      <c r="L866" s="218"/>
      <c r="M866" s="218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</row>
    <row r="867" ht="12.75" customHeight="1">
      <c r="A867" s="353"/>
      <c r="B867" s="54"/>
      <c r="E867" s="354"/>
      <c r="F867" s="354"/>
      <c r="G867" s="354"/>
      <c r="H867" s="242"/>
      <c r="I867" s="358"/>
      <c r="J867" s="217"/>
      <c r="K867" s="54"/>
      <c r="L867" s="218"/>
      <c r="M867" s="218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</row>
    <row r="868" ht="12.75" customHeight="1">
      <c r="A868" s="353"/>
      <c r="B868" s="54"/>
      <c r="E868" s="354"/>
      <c r="F868" s="354"/>
      <c r="G868" s="354"/>
      <c r="H868" s="242"/>
      <c r="I868" s="358"/>
      <c r="J868" s="217"/>
      <c r="K868" s="54"/>
      <c r="L868" s="218"/>
      <c r="M868" s="218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</row>
    <row r="869" ht="12.75" customHeight="1">
      <c r="A869" s="353"/>
      <c r="B869" s="54"/>
      <c r="E869" s="354"/>
      <c r="F869" s="354"/>
      <c r="G869" s="354"/>
      <c r="H869" s="242"/>
      <c r="I869" s="358"/>
      <c r="J869" s="217"/>
      <c r="K869" s="54"/>
      <c r="L869" s="218"/>
      <c r="M869" s="218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</row>
    <row r="870" ht="12.75" customHeight="1">
      <c r="A870" s="353"/>
      <c r="B870" s="54"/>
      <c r="E870" s="354"/>
      <c r="F870" s="354"/>
      <c r="G870" s="354"/>
      <c r="H870" s="242"/>
      <c r="I870" s="358"/>
      <c r="J870" s="217"/>
      <c r="K870" s="54"/>
      <c r="L870" s="218"/>
      <c r="M870" s="218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</row>
    <row r="871" ht="12.75" customHeight="1">
      <c r="A871" s="353"/>
      <c r="B871" s="54"/>
      <c r="E871" s="354"/>
      <c r="F871" s="354"/>
      <c r="G871" s="354"/>
      <c r="H871" s="242"/>
      <c r="I871" s="358"/>
      <c r="J871" s="217"/>
      <c r="K871" s="54"/>
      <c r="L871" s="218"/>
      <c r="M871" s="218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</row>
    <row r="872" ht="12.75" customHeight="1">
      <c r="A872" s="353"/>
      <c r="B872" s="54"/>
      <c r="E872" s="354"/>
      <c r="F872" s="354"/>
      <c r="G872" s="354"/>
      <c r="H872" s="242"/>
      <c r="I872" s="358"/>
      <c r="J872" s="217"/>
      <c r="K872" s="54"/>
      <c r="L872" s="218"/>
      <c r="M872" s="218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</row>
    <row r="873" ht="12.75" customHeight="1">
      <c r="A873" s="353"/>
      <c r="B873" s="54"/>
      <c r="E873" s="354"/>
      <c r="F873" s="354"/>
      <c r="G873" s="354"/>
      <c r="H873" s="242"/>
      <c r="I873" s="358"/>
      <c r="J873" s="217"/>
      <c r="K873" s="54"/>
      <c r="L873" s="218"/>
      <c r="M873" s="218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</row>
    <row r="874" ht="12.75" customHeight="1">
      <c r="A874" s="353"/>
      <c r="B874" s="54"/>
      <c r="E874" s="354"/>
      <c r="F874" s="354"/>
      <c r="G874" s="354"/>
      <c r="H874" s="242"/>
      <c r="I874" s="358"/>
      <c r="J874" s="217"/>
      <c r="K874" s="54"/>
      <c r="L874" s="218"/>
      <c r="M874" s="218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</row>
    <row r="875" ht="12.75" customHeight="1">
      <c r="A875" s="353"/>
      <c r="B875" s="54"/>
      <c r="E875" s="354"/>
      <c r="F875" s="354"/>
      <c r="G875" s="354"/>
      <c r="H875" s="242"/>
      <c r="I875" s="358"/>
      <c r="J875" s="217"/>
      <c r="K875" s="54"/>
      <c r="L875" s="218"/>
      <c r="M875" s="218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</row>
    <row r="876" ht="12.75" customHeight="1">
      <c r="A876" s="353"/>
      <c r="B876" s="54"/>
      <c r="E876" s="354"/>
      <c r="F876" s="354"/>
      <c r="G876" s="354"/>
      <c r="H876" s="242"/>
      <c r="I876" s="358"/>
      <c r="J876" s="217"/>
      <c r="K876" s="54"/>
      <c r="L876" s="218"/>
      <c r="M876" s="218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</row>
    <row r="877" ht="12.75" customHeight="1">
      <c r="A877" s="353"/>
      <c r="B877" s="54"/>
      <c r="E877" s="354"/>
      <c r="F877" s="354"/>
      <c r="G877" s="354"/>
      <c r="H877" s="242"/>
      <c r="I877" s="358"/>
      <c r="J877" s="217"/>
      <c r="K877" s="54"/>
      <c r="L877" s="218"/>
      <c r="M877" s="218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</row>
    <row r="878" ht="12.75" customHeight="1">
      <c r="A878" s="353"/>
      <c r="B878" s="54"/>
      <c r="E878" s="354"/>
      <c r="F878" s="354"/>
      <c r="G878" s="354"/>
      <c r="H878" s="242"/>
      <c r="I878" s="358"/>
      <c r="J878" s="217"/>
      <c r="K878" s="54"/>
      <c r="L878" s="218"/>
      <c r="M878" s="218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</row>
    <row r="879" ht="12.75" customHeight="1">
      <c r="A879" s="353"/>
      <c r="B879" s="54"/>
      <c r="E879" s="354"/>
      <c r="F879" s="354"/>
      <c r="G879" s="354"/>
      <c r="H879" s="242"/>
      <c r="I879" s="358"/>
      <c r="J879" s="217"/>
      <c r="K879" s="54"/>
      <c r="L879" s="218"/>
      <c r="M879" s="218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</row>
    <row r="880" ht="12.75" customHeight="1">
      <c r="A880" s="353"/>
      <c r="B880" s="54"/>
      <c r="E880" s="354"/>
      <c r="F880" s="354"/>
      <c r="G880" s="354"/>
      <c r="H880" s="242"/>
      <c r="I880" s="358"/>
      <c r="J880" s="217"/>
      <c r="K880" s="54"/>
      <c r="L880" s="218"/>
      <c r="M880" s="218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</row>
    <row r="881" ht="12.75" customHeight="1">
      <c r="A881" s="353"/>
      <c r="B881" s="54"/>
      <c r="E881" s="354"/>
      <c r="F881" s="354"/>
      <c r="G881" s="354"/>
      <c r="H881" s="242"/>
      <c r="I881" s="358"/>
      <c r="J881" s="217"/>
      <c r="K881" s="54"/>
      <c r="L881" s="218"/>
      <c r="M881" s="218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</row>
    <row r="882" ht="12.75" customHeight="1">
      <c r="A882" s="353"/>
      <c r="B882" s="54"/>
      <c r="E882" s="354"/>
      <c r="F882" s="354"/>
      <c r="G882" s="354"/>
      <c r="H882" s="242"/>
      <c r="I882" s="358"/>
      <c r="J882" s="217"/>
      <c r="K882" s="54"/>
      <c r="L882" s="218"/>
      <c r="M882" s="218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</row>
    <row r="883" ht="12.75" customHeight="1">
      <c r="A883" s="353"/>
      <c r="B883" s="54"/>
      <c r="E883" s="354"/>
      <c r="F883" s="354"/>
      <c r="G883" s="354"/>
      <c r="H883" s="242"/>
      <c r="I883" s="358"/>
      <c r="J883" s="217"/>
      <c r="K883" s="54"/>
      <c r="L883" s="218"/>
      <c r="M883" s="218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</row>
    <row r="884" ht="12.75" customHeight="1">
      <c r="A884" s="353"/>
      <c r="B884" s="54"/>
      <c r="E884" s="354"/>
      <c r="F884" s="354"/>
      <c r="G884" s="354"/>
      <c r="H884" s="242"/>
      <c r="I884" s="358"/>
      <c r="J884" s="217"/>
      <c r="K884" s="54"/>
      <c r="L884" s="218"/>
      <c r="M884" s="218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</row>
    <row r="885" ht="12.75" customHeight="1">
      <c r="A885" s="353"/>
      <c r="B885" s="54"/>
      <c r="E885" s="354"/>
      <c r="F885" s="354"/>
      <c r="G885" s="354"/>
      <c r="H885" s="242"/>
      <c r="I885" s="358"/>
      <c r="J885" s="217"/>
      <c r="K885" s="54"/>
      <c r="L885" s="218"/>
      <c r="M885" s="218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</row>
    <row r="886" ht="12.75" customHeight="1">
      <c r="A886" s="353"/>
      <c r="B886" s="54"/>
      <c r="E886" s="354"/>
      <c r="F886" s="354"/>
      <c r="G886" s="354"/>
      <c r="H886" s="242"/>
      <c r="I886" s="358"/>
      <c r="J886" s="217"/>
      <c r="K886" s="54"/>
      <c r="L886" s="218"/>
      <c r="M886" s="218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</row>
    <row r="887" ht="12.75" customHeight="1">
      <c r="A887" s="353"/>
      <c r="B887" s="54"/>
      <c r="E887" s="354"/>
      <c r="F887" s="354"/>
      <c r="G887" s="354"/>
      <c r="H887" s="242"/>
      <c r="I887" s="358"/>
      <c r="J887" s="217"/>
      <c r="K887" s="54"/>
      <c r="L887" s="218"/>
      <c r="M887" s="218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</row>
    <row r="888" ht="12.75" customHeight="1">
      <c r="A888" s="353"/>
      <c r="B888" s="54"/>
      <c r="E888" s="354"/>
      <c r="F888" s="354"/>
      <c r="G888" s="354"/>
      <c r="H888" s="242"/>
      <c r="I888" s="358"/>
      <c r="J888" s="217"/>
      <c r="K888" s="54"/>
      <c r="L888" s="218"/>
      <c r="M888" s="218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</row>
    <row r="889" ht="12.75" customHeight="1">
      <c r="A889" s="353"/>
      <c r="B889" s="54"/>
      <c r="E889" s="354"/>
      <c r="F889" s="354"/>
      <c r="G889" s="354"/>
      <c r="H889" s="242"/>
      <c r="I889" s="358"/>
      <c r="J889" s="217"/>
      <c r="K889" s="54"/>
      <c r="L889" s="218"/>
      <c r="M889" s="218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</row>
    <row r="890" ht="12.75" customHeight="1">
      <c r="A890" s="353"/>
      <c r="B890" s="54"/>
      <c r="E890" s="354"/>
      <c r="F890" s="354"/>
      <c r="G890" s="354"/>
      <c r="H890" s="242"/>
      <c r="I890" s="358"/>
      <c r="J890" s="217"/>
      <c r="K890" s="54"/>
      <c r="L890" s="218"/>
      <c r="M890" s="218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</row>
    <row r="891" ht="12.75" customHeight="1">
      <c r="A891" s="353"/>
      <c r="B891" s="54"/>
      <c r="E891" s="354"/>
      <c r="F891" s="354"/>
      <c r="G891" s="354"/>
      <c r="H891" s="242"/>
      <c r="I891" s="358"/>
      <c r="J891" s="217"/>
      <c r="K891" s="54"/>
      <c r="L891" s="218"/>
      <c r="M891" s="218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</row>
    <row r="892" ht="12.75" customHeight="1">
      <c r="A892" s="353"/>
      <c r="B892" s="54"/>
      <c r="E892" s="354"/>
      <c r="F892" s="354"/>
      <c r="G892" s="354"/>
      <c r="H892" s="242"/>
      <c r="I892" s="358"/>
      <c r="J892" s="217"/>
      <c r="K892" s="54"/>
      <c r="L892" s="218"/>
      <c r="M892" s="218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</row>
    <row r="893" ht="12.75" customHeight="1">
      <c r="A893" s="353"/>
      <c r="B893" s="54"/>
      <c r="E893" s="354"/>
      <c r="F893" s="354"/>
      <c r="G893" s="354"/>
      <c r="H893" s="242"/>
      <c r="I893" s="358"/>
      <c r="J893" s="217"/>
      <c r="K893" s="54"/>
      <c r="L893" s="218"/>
      <c r="M893" s="218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</row>
    <row r="894" ht="12.75" customHeight="1">
      <c r="A894" s="353"/>
      <c r="B894" s="54"/>
      <c r="E894" s="354"/>
      <c r="F894" s="354"/>
      <c r="G894" s="354"/>
      <c r="H894" s="242"/>
      <c r="I894" s="358"/>
      <c r="J894" s="217"/>
      <c r="K894" s="54"/>
      <c r="L894" s="218"/>
      <c r="M894" s="218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</row>
    <row r="895" ht="12.75" customHeight="1">
      <c r="A895" s="353"/>
      <c r="B895" s="54"/>
      <c r="E895" s="354"/>
      <c r="F895" s="354"/>
      <c r="G895" s="354"/>
      <c r="H895" s="242"/>
      <c r="I895" s="358"/>
      <c r="J895" s="217"/>
      <c r="K895" s="54"/>
      <c r="L895" s="218"/>
      <c r="M895" s="218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</row>
    <row r="896" ht="12.75" customHeight="1">
      <c r="A896" s="353"/>
      <c r="B896" s="54"/>
      <c r="E896" s="354"/>
      <c r="F896" s="354"/>
      <c r="G896" s="354"/>
      <c r="H896" s="242"/>
      <c r="I896" s="358"/>
      <c r="J896" s="217"/>
      <c r="K896" s="54"/>
      <c r="L896" s="218"/>
      <c r="M896" s="218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</row>
    <row r="897" ht="12.75" customHeight="1">
      <c r="A897" s="353"/>
      <c r="B897" s="54"/>
      <c r="E897" s="354"/>
      <c r="F897" s="354"/>
      <c r="G897" s="354"/>
      <c r="H897" s="242"/>
      <c r="I897" s="358"/>
      <c r="J897" s="217"/>
      <c r="K897" s="54"/>
      <c r="L897" s="218"/>
      <c r="M897" s="218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</row>
    <row r="898" ht="12.75" customHeight="1">
      <c r="A898" s="353"/>
      <c r="B898" s="54"/>
      <c r="E898" s="354"/>
      <c r="F898" s="354"/>
      <c r="G898" s="354"/>
      <c r="H898" s="242"/>
      <c r="I898" s="358"/>
      <c r="J898" s="217"/>
      <c r="K898" s="54"/>
      <c r="L898" s="218"/>
      <c r="M898" s="218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</row>
    <row r="899" ht="12.75" customHeight="1">
      <c r="A899" s="353"/>
      <c r="B899" s="54"/>
      <c r="E899" s="354"/>
      <c r="F899" s="354"/>
      <c r="G899" s="354"/>
      <c r="H899" s="242"/>
      <c r="I899" s="358"/>
      <c r="J899" s="217"/>
      <c r="K899" s="54"/>
      <c r="L899" s="218"/>
      <c r="M899" s="218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</row>
    <row r="900" ht="12.75" customHeight="1">
      <c r="A900" s="353"/>
      <c r="B900" s="54"/>
      <c r="E900" s="354"/>
      <c r="F900" s="354"/>
      <c r="G900" s="354"/>
      <c r="H900" s="242"/>
      <c r="I900" s="358"/>
      <c r="J900" s="217"/>
      <c r="K900" s="54"/>
      <c r="L900" s="218"/>
      <c r="M900" s="218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</row>
    <row r="901" ht="12.75" customHeight="1">
      <c r="A901" s="353"/>
      <c r="B901" s="54"/>
      <c r="E901" s="354"/>
      <c r="F901" s="354"/>
      <c r="G901" s="354"/>
      <c r="H901" s="242"/>
      <c r="I901" s="358"/>
      <c r="J901" s="217"/>
      <c r="K901" s="54"/>
      <c r="L901" s="218"/>
      <c r="M901" s="218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</row>
    <row r="902" ht="12.75" customHeight="1">
      <c r="A902" s="353"/>
      <c r="B902" s="54"/>
      <c r="E902" s="354"/>
      <c r="F902" s="354"/>
      <c r="G902" s="354"/>
      <c r="H902" s="242"/>
      <c r="I902" s="358"/>
      <c r="J902" s="217"/>
      <c r="K902" s="54"/>
      <c r="L902" s="218"/>
      <c r="M902" s="218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</row>
    <row r="903" ht="12.75" customHeight="1">
      <c r="A903" s="353"/>
      <c r="B903" s="54"/>
      <c r="E903" s="354"/>
      <c r="F903" s="354"/>
      <c r="G903" s="354"/>
      <c r="H903" s="242"/>
      <c r="I903" s="358"/>
      <c r="J903" s="217"/>
      <c r="K903" s="54"/>
      <c r="L903" s="218"/>
      <c r="M903" s="218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</row>
    <row r="904" ht="12.75" customHeight="1">
      <c r="A904" s="353"/>
      <c r="B904" s="54"/>
      <c r="E904" s="354"/>
      <c r="F904" s="354"/>
      <c r="G904" s="354"/>
      <c r="H904" s="242"/>
      <c r="I904" s="358"/>
      <c r="J904" s="217"/>
      <c r="K904" s="54"/>
      <c r="L904" s="218"/>
      <c r="M904" s="218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</row>
    <row r="905" ht="12.75" customHeight="1">
      <c r="A905" s="353"/>
      <c r="B905" s="54"/>
      <c r="E905" s="354"/>
      <c r="F905" s="354"/>
      <c r="G905" s="354"/>
      <c r="H905" s="242"/>
      <c r="I905" s="358"/>
      <c r="J905" s="217"/>
      <c r="K905" s="54"/>
      <c r="L905" s="218"/>
      <c r="M905" s="218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</row>
    <row r="906" ht="12.75" customHeight="1">
      <c r="A906" s="353"/>
      <c r="B906" s="54"/>
      <c r="E906" s="354"/>
      <c r="F906" s="354"/>
      <c r="G906" s="354"/>
      <c r="H906" s="242"/>
      <c r="I906" s="358"/>
      <c r="J906" s="217"/>
      <c r="K906" s="54"/>
      <c r="L906" s="218"/>
      <c r="M906" s="218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</row>
    <row r="907" ht="12.75" customHeight="1">
      <c r="A907" s="353"/>
      <c r="B907" s="54"/>
      <c r="E907" s="354"/>
      <c r="F907" s="354"/>
      <c r="G907" s="354"/>
      <c r="H907" s="242"/>
      <c r="I907" s="358"/>
      <c r="J907" s="217"/>
      <c r="K907" s="54"/>
      <c r="L907" s="218"/>
      <c r="M907" s="218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</row>
    <row r="908" ht="12.75" customHeight="1">
      <c r="A908" s="353"/>
      <c r="B908" s="54"/>
      <c r="E908" s="354"/>
      <c r="F908" s="354"/>
      <c r="G908" s="354"/>
      <c r="H908" s="242"/>
      <c r="I908" s="358"/>
      <c r="J908" s="217"/>
      <c r="K908" s="54"/>
      <c r="L908" s="218"/>
      <c r="M908" s="218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</row>
    <row r="909" ht="12.75" customHeight="1">
      <c r="A909" s="353"/>
      <c r="B909" s="54"/>
      <c r="E909" s="354"/>
      <c r="F909" s="354"/>
      <c r="G909" s="354"/>
      <c r="H909" s="242"/>
      <c r="I909" s="358"/>
      <c r="J909" s="217"/>
      <c r="K909" s="54"/>
      <c r="L909" s="218"/>
      <c r="M909" s="218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</row>
    <row r="910" ht="12.75" customHeight="1">
      <c r="A910" s="353"/>
      <c r="B910" s="54"/>
      <c r="E910" s="354"/>
      <c r="F910" s="354"/>
      <c r="G910" s="354"/>
      <c r="H910" s="242"/>
      <c r="I910" s="358"/>
      <c r="J910" s="217"/>
      <c r="K910" s="54"/>
      <c r="L910" s="218"/>
      <c r="M910" s="218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</row>
    <row r="911" ht="12.75" customHeight="1">
      <c r="A911" s="353"/>
      <c r="B911" s="54"/>
      <c r="E911" s="354"/>
      <c r="F911" s="354"/>
      <c r="G911" s="354"/>
      <c r="H911" s="242"/>
      <c r="I911" s="358"/>
      <c r="J911" s="217"/>
      <c r="K911" s="54"/>
      <c r="L911" s="218"/>
      <c r="M911" s="218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</row>
    <row r="912" ht="12.75" customHeight="1">
      <c r="A912" s="353"/>
      <c r="B912" s="54"/>
      <c r="E912" s="354"/>
      <c r="F912" s="354"/>
      <c r="G912" s="354"/>
      <c r="H912" s="242"/>
      <c r="I912" s="358"/>
      <c r="J912" s="217"/>
      <c r="K912" s="54"/>
      <c r="L912" s="218"/>
      <c r="M912" s="218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</row>
    <row r="913" ht="12.75" customHeight="1">
      <c r="A913" s="353"/>
      <c r="B913" s="54"/>
      <c r="E913" s="354"/>
      <c r="F913" s="354"/>
      <c r="G913" s="354"/>
      <c r="H913" s="242"/>
      <c r="I913" s="358"/>
      <c r="J913" s="217"/>
      <c r="K913" s="54"/>
      <c r="L913" s="218"/>
      <c r="M913" s="218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</row>
    <row r="914" ht="12.75" customHeight="1">
      <c r="A914" s="353"/>
      <c r="B914" s="54"/>
      <c r="E914" s="354"/>
      <c r="F914" s="354"/>
      <c r="G914" s="354"/>
      <c r="H914" s="242"/>
      <c r="I914" s="358"/>
      <c r="J914" s="217"/>
      <c r="K914" s="54"/>
      <c r="L914" s="218"/>
      <c r="M914" s="218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</row>
    <row r="915" ht="12.75" customHeight="1">
      <c r="A915" s="353"/>
      <c r="B915" s="54"/>
      <c r="E915" s="354"/>
      <c r="F915" s="354"/>
      <c r="G915" s="354"/>
      <c r="H915" s="242"/>
      <c r="I915" s="358"/>
      <c r="J915" s="217"/>
      <c r="K915" s="54"/>
      <c r="L915" s="218"/>
      <c r="M915" s="218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</row>
    <row r="916" ht="12.75" customHeight="1">
      <c r="A916" s="353"/>
      <c r="B916" s="54"/>
      <c r="E916" s="354"/>
      <c r="F916" s="354"/>
      <c r="G916" s="354"/>
      <c r="H916" s="242"/>
      <c r="I916" s="358"/>
      <c r="J916" s="217"/>
      <c r="K916" s="54"/>
      <c r="L916" s="218"/>
      <c r="M916" s="218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</row>
    <row r="917" ht="12.75" customHeight="1">
      <c r="A917" s="353"/>
      <c r="B917" s="54"/>
      <c r="E917" s="354"/>
      <c r="F917" s="354"/>
      <c r="G917" s="354"/>
      <c r="H917" s="242"/>
      <c r="I917" s="358"/>
      <c r="J917" s="217"/>
      <c r="K917" s="54"/>
      <c r="L917" s="218"/>
      <c r="M917" s="218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</row>
    <row r="918" ht="12.75" customHeight="1">
      <c r="A918" s="353"/>
      <c r="B918" s="54"/>
      <c r="E918" s="354"/>
      <c r="F918" s="354"/>
      <c r="G918" s="354"/>
      <c r="H918" s="242"/>
      <c r="I918" s="358"/>
      <c r="J918" s="217"/>
      <c r="K918" s="54"/>
      <c r="L918" s="218"/>
      <c r="M918" s="218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</row>
    <row r="919" ht="12.75" customHeight="1">
      <c r="A919" s="353"/>
      <c r="B919" s="54"/>
      <c r="E919" s="354"/>
      <c r="F919" s="354"/>
      <c r="G919" s="354"/>
      <c r="H919" s="242"/>
      <c r="I919" s="358"/>
      <c r="J919" s="217"/>
      <c r="K919" s="54"/>
      <c r="L919" s="218"/>
      <c r="M919" s="218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</row>
    <row r="920" ht="12.75" customHeight="1">
      <c r="A920" s="353"/>
      <c r="B920" s="54"/>
      <c r="E920" s="354"/>
      <c r="F920" s="354"/>
      <c r="G920" s="354"/>
      <c r="H920" s="242"/>
      <c r="I920" s="358"/>
      <c r="J920" s="217"/>
      <c r="K920" s="54"/>
      <c r="L920" s="218"/>
      <c r="M920" s="218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</row>
    <row r="921" ht="12.75" customHeight="1">
      <c r="A921" s="353"/>
      <c r="B921" s="54"/>
      <c r="E921" s="354"/>
      <c r="F921" s="354"/>
      <c r="G921" s="354"/>
      <c r="H921" s="242"/>
      <c r="I921" s="358"/>
      <c r="J921" s="217"/>
      <c r="K921" s="54"/>
      <c r="L921" s="218"/>
      <c r="M921" s="218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</row>
    <row r="922" ht="12.75" customHeight="1">
      <c r="A922" s="353"/>
      <c r="B922" s="54"/>
      <c r="E922" s="354"/>
      <c r="F922" s="354"/>
      <c r="G922" s="354"/>
      <c r="H922" s="242"/>
      <c r="I922" s="358"/>
      <c r="J922" s="217"/>
      <c r="K922" s="54"/>
      <c r="L922" s="218"/>
      <c r="M922" s="218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</row>
    <row r="923" ht="12.75" customHeight="1">
      <c r="A923" s="353"/>
      <c r="B923" s="54"/>
      <c r="E923" s="354"/>
      <c r="F923" s="354"/>
      <c r="G923" s="354"/>
      <c r="H923" s="242"/>
      <c r="I923" s="358"/>
      <c r="J923" s="217"/>
      <c r="K923" s="54"/>
      <c r="L923" s="218"/>
      <c r="M923" s="218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</row>
    <row r="924" ht="12.75" customHeight="1">
      <c r="A924" s="353"/>
      <c r="B924" s="54"/>
      <c r="E924" s="354"/>
      <c r="F924" s="354"/>
      <c r="G924" s="354"/>
      <c r="H924" s="242"/>
      <c r="I924" s="358"/>
      <c r="J924" s="217"/>
      <c r="K924" s="54"/>
      <c r="L924" s="218"/>
      <c r="M924" s="218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</row>
    <row r="925" ht="12.75" customHeight="1">
      <c r="A925" s="353"/>
      <c r="B925" s="54"/>
      <c r="E925" s="354"/>
      <c r="F925" s="354"/>
      <c r="G925" s="354"/>
      <c r="H925" s="242"/>
      <c r="I925" s="358"/>
      <c r="J925" s="217"/>
      <c r="K925" s="54"/>
      <c r="L925" s="218"/>
      <c r="M925" s="218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</row>
    <row r="926" ht="12.75" customHeight="1">
      <c r="A926" s="353"/>
      <c r="B926" s="54"/>
      <c r="E926" s="354"/>
      <c r="F926" s="354"/>
      <c r="G926" s="354"/>
      <c r="H926" s="242"/>
      <c r="I926" s="358"/>
      <c r="J926" s="217"/>
      <c r="K926" s="54"/>
      <c r="L926" s="218"/>
      <c r="M926" s="218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</row>
    <row r="927" ht="12.75" customHeight="1">
      <c r="A927" s="353"/>
      <c r="B927" s="54"/>
      <c r="E927" s="354"/>
      <c r="F927" s="354"/>
      <c r="G927" s="354"/>
      <c r="H927" s="242"/>
      <c r="I927" s="358"/>
      <c r="J927" s="217"/>
      <c r="K927" s="54"/>
      <c r="L927" s="218"/>
      <c r="M927" s="218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</row>
    <row r="928" ht="12.75" customHeight="1">
      <c r="A928" s="353"/>
      <c r="B928" s="54"/>
      <c r="E928" s="354"/>
      <c r="F928" s="354"/>
      <c r="G928" s="354"/>
      <c r="H928" s="242"/>
      <c r="I928" s="358"/>
      <c r="J928" s="217"/>
      <c r="K928" s="54"/>
      <c r="L928" s="218"/>
      <c r="M928" s="218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</row>
    <row r="929" ht="12.75" customHeight="1">
      <c r="A929" s="353"/>
      <c r="B929" s="54"/>
      <c r="E929" s="354"/>
      <c r="F929" s="354"/>
      <c r="G929" s="354"/>
      <c r="H929" s="242"/>
      <c r="I929" s="358"/>
      <c r="J929" s="217"/>
      <c r="K929" s="54"/>
      <c r="L929" s="218"/>
      <c r="M929" s="218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</row>
    <row r="930" ht="12.75" customHeight="1">
      <c r="A930" s="353"/>
      <c r="B930" s="54"/>
      <c r="E930" s="354"/>
      <c r="F930" s="354"/>
      <c r="G930" s="354"/>
      <c r="H930" s="242"/>
      <c r="I930" s="358"/>
      <c r="J930" s="217"/>
      <c r="K930" s="54"/>
      <c r="L930" s="218"/>
      <c r="M930" s="218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</row>
    <row r="931" ht="12.75" customHeight="1">
      <c r="A931" s="353"/>
      <c r="B931" s="54"/>
      <c r="E931" s="354"/>
      <c r="F931" s="354"/>
      <c r="G931" s="354"/>
      <c r="H931" s="242"/>
      <c r="I931" s="358"/>
      <c r="J931" s="217"/>
      <c r="K931" s="54"/>
      <c r="L931" s="218"/>
      <c r="M931" s="218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</row>
    <row r="932" ht="12.75" customHeight="1">
      <c r="A932" s="353"/>
      <c r="B932" s="54"/>
      <c r="E932" s="354"/>
      <c r="F932" s="354"/>
      <c r="G932" s="354"/>
      <c r="H932" s="242"/>
      <c r="I932" s="358"/>
      <c r="J932" s="217"/>
      <c r="K932" s="54"/>
      <c r="L932" s="218"/>
      <c r="M932" s="218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</row>
    <row r="933" ht="12.75" customHeight="1">
      <c r="A933" s="353"/>
      <c r="B933" s="54"/>
      <c r="E933" s="354"/>
      <c r="F933" s="354"/>
      <c r="G933" s="354"/>
      <c r="H933" s="242"/>
      <c r="I933" s="358"/>
      <c r="J933" s="217"/>
      <c r="K933" s="54"/>
      <c r="L933" s="218"/>
      <c r="M933" s="218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</row>
    <row r="934" ht="12.75" customHeight="1">
      <c r="A934" s="353"/>
      <c r="B934" s="54"/>
      <c r="E934" s="354"/>
      <c r="F934" s="354"/>
      <c r="G934" s="354"/>
      <c r="H934" s="242"/>
      <c r="I934" s="358"/>
      <c r="J934" s="217"/>
      <c r="K934" s="54"/>
      <c r="L934" s="218"/>
      <c r="M934" s="218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</row>
    <row r="935" ht="12.75" customHeight="1">
      <c r="A935" s="353"/>
      <c r="B935" s="54"/>
      <c r="E935" s="354"/>
      <c r="F935" s="354"/>
      <c r="G935" s="354"/>
      <c r="H935" s="242"/>
      <c r="I935" s="358"/>
      <c r="J935" s="217"/>
      <c r="K935" s="54"/>
      <c r="L935" s="218"/>
      <c r="M935" s="218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</row>
    <row r="936" ht="12.75" customHeight="1">
      <c r="A936" s="353"/>
      <c r="B936" s="54"/>
      <c r="E936" s="354"/>
      <c r="F936" s="354"/>
      <c r="G936" s="354"/>
      <c r="H936" s="242"/>
      <c r="I936" s="358"/>
      <c r="J936" s="217"/>
      <c r="K936" s="54"/>
      <c r="L936" s="218"/>
      <c r="M936" s="218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</row>
    <row r="937" ht="12.75" customHeight="1">
      <c r="A937" s="353"/>
      <c r="B937" s="54"/>
      <c r="E937" s="354"/>
      <c r="F937" s="354"/>
      <c r="G937" s="354"/>
      <c r="H937" s="242"/>
      <c r="I937" s="358"/>
      <c r="J937" s="217"/>
      <c r="K937" s="54"/>
      <c r="L937" s="218"/>
      <c r="M937" s="218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</row>
    <row r="938" ht="12.75" customHeight="1">
      <c r="A938" s="353"/>
      <c r="B938" s="54"/>
      <c r="E938" s="354"/>
      <c r="F938" s="354"/>
      <c r="G938" s="354"/>
      <c r="H938" s="242"/>
      <c r="I938" s="358"/>
      <c r="J938" s="217"/>
      <c r="K938" s="54"/>
      <c r="L938" s="218"/>
      <c r="M938" s="218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</row>
    <row r="939" ht="12.75" customHeight="1">
      <c r="A939" s="353"/>
      <c r="B939" s="54"/>
      <c r="E939" s="354"/>
      <c r="F939" s="354"/>
      <c r="G939" s="354"/>
      <c r="H939" s="242"/>
      <c r="I939" s="358"/>
      <c r="J939" s="217"/>
      <c r="K939" s="54"/>
      <c r="L939" s="218"/>
      <c r="M939" s="218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</row>
    <row r="940" ht="12.75" customHeight="1">
      <c r="A940" s="353"/>
      <c r="B940" s="54"/>
      <c r="E940" s="354"/>
      <c r="F940" s="354"/>
      <c r="G940" s="354"/>
      <c r="H940" s="242"/>
      <c r="I940" s="358"/>
      <c r="J940" s="217"/>
      <c r="K940" s="54"/>
      <c r="L940" s="218"/>
      <c r="M940" s="218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</row>
    <row r="941" ht="12.75" customHeight="1">
      <c r="A941" s="353"/>
      <c r="B941" s="54"/>
      <c r="E941" s="354"/>
      <c r="F941" s="354"/>
      <c r="G941" s="354"/>
      <c r="H941" s="242"/>
      <c r="I941" s="358"/>
      <c r="J941" s="217"/>
      <c r="K941" s="54"/>
      <c r="L941" s="218"/>
      <c r="M941" s="218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</row>
    <row r="942" ht="12.75" customHeight="1">
      <c r="A942" s="353"/>
      <c r="B942" s="54"/>
      <c r="E942" s="354"/>
      <c r="F942" s="354"/>
      <c r="G942" s="354"/>
      <c r="H942" s="242"/>
      <c r="I942" s="358"/>
      <c r="J942" s="217"/>
      <c r="K942" s="54"/>
      <c r="L942" s="218"/>
      <c r="M942" s="218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</row>
    <row r="943" ht="12.75" customHeight="1">
      <c r="A943" s="353"/>
      <c r="B943" s="54"/>
      <c r="E943" s="354"/>
      <c r="F943" s="354"/>
      <c r="G943" s="354"/>
      <c r="H943" s="242"/>
      <c r="I943" s="358"/>
      <c r="J943" s="217"/>
      <c r="K943" s="54"/>
      <c r="L943" s="218"/>
      <c r="M943" s="218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</row>
    <row r="944" ht="12.75" customHeight="1">
      <c r="A944" s="353"/>
      <c r="B944" s="54"/>
      <c r="E944" s="354"/>
      <c r="F944" s="354"/>
      <c r="G944" s="354"/>
      <c r="H944" s="242"/>
      <c r="I944" s="358"/>
      <c r="J944" s="217"/>
      <c r="K944" s="54"/>
      <c r="L944" s="218"/>
      <c r="M944" s="218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</row>
    <row r="945" ht="12.75" customHeight="1">
      <c r="A945" s="353"/>
      <c r="B945" s="54"/>
      <c r="E945" s="354"/>
      <c r="F945" s="354"/>
      <c r="G945" s="354"/>
      <c r="H945" s="242"/>
      <c r="I945" s="358"/>
      <c r="J945" s="217"/>
      <c r="K945" s="54"/>
      <c r="L945" s="218"/>
      <c r="M945" s="218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</row>
    <row r="946" ht="12.75" customHeight="1">
      <c r="A946" s="353"/>
      <c r="B946" s="54"/>
      <c r="E946" s="354"/>
      <c r="F946" s="354"/>
      <c r="G946" s="354"/>
      <c r="H946" s="242"/>
      <c r="I946" s="358"/>
      <c r="J946" s="217"/>
      <c r="K946" s="54"/>
      <c r="L946" s="218"/>
      <c r="M946" s="218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</row>
    <row r="947" ht="12.75" customHeight="1">
      <c r="A947" s="353"/>
      <c r="B947" s="54"/>
      <c r="E947" s="354"/>
      <c r="F947" s="354"/>
      <c r="G947" s="354"/>
      <c r="H947" s="242"/>
      <c r="I947" s="358"/>
      <c r="J947" s="217"/>
      <c r="K947" s="54"/>
      <c r="L947" s="218"/>
      <c r="M947" s="218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</row>
    <row r="948" ht="12.75" customHeight="1">
      <c r="A948" s="353"/>
      <c r="B948" s="54"/>
      <c r="E948" s="354"/>
      <c r="F948" s="354"/>
      <c r="G948" s="354"/>
      <c r="H948" s="242"/>
      <c r="I948" s="358"/>
      <c r="J948" s="217"/>
      <c r="K948" s="54"/>
      <c r="L948" s="218"/>
      <c r="M948" s="218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</row>
    <row r="949" ht="12.75" customHeight="1">
      <c r="A949" s="353"/>
      <c r="B949" s="54"/>
      <c r="E949" s="354"/>
      <c r="F949" s="354"/>
      <c r="G949" s="354"/>
      <c r="H949" s="242"/>
      <c r="I949" s="358"/>
      <c r="J949" s="217"/>
      <c r="K949" s="54"/>
      <c r="L949" s="218"/>
      <c r="M949" s="218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</row>
    <row r="950" ht="12.75" customHeight="1">
      <c r="A950" s="353"/>
      <c r="B950" s="54"/>
      <c r="E950" s="354"/>
      <c r="F950" s="354"/>
      <c r="G950" s="354"/>
      <c r="H950" s="242"/>
      <c r="I950" s="358"/>
      <c r="J950" s="217"/>
      <c r="K950" s="54"/>
      <c r="L950" s="218"/>
      <c r="M950" s="218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</row>
    <row r="951" ht="12.75" customHeight="1">
      <c r="A951" s="353"/>
      <c r="B951" s="54"/>
      <c r="E951" s="354"/>
      <c r="F951" s="354"/>
      <c r="G951" s="354"/>
      <c r="H951" s="242"/>
      <c r="I951" s="358"/>
      <c r="J951" s="217"/>
      <c r="K951" s="54"/>
      <c r="L951" s="218"/>
      <c r="M951" s="218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</row>
    <row r="952" ht="12.75" customHeight="1">
      <c r="A952" s="353"/>
      <c r="B952" s="54"/>
      <c r="E952" s="354"/>
      <c r="F952" s="354"/>
      <c r="G952" s="354"/>
      <c r="H952" s="242"/>
      <c r="I952" s="358"/>
      <c r="J952" s="217"/>
      <c r="K952" s="54"/>
      <c r="L952" s="218"/>
      <c r="M952" s="218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</row>
    <row r="953" ht="12.75" customHeight="1">
      <c r="A953" s="353"/>
      <c r="B953" s="54"/>
      <c r="E953" s="354"/>
      <c r="F953" s="354"/>
      <c r="G953" s="354"/>
      <c r="H953" s="242"/>
      <c r="I953" s="358"/>
      <c r="J953" s="217"/>
      <c r="K953" s="54"/>
      <c r="L953" s="218"/>
      <c r="M953" s="218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</row>
    <row r="954" ht="12.75" customHeight="1">
      <c r="A954" s="353"/>
      <c r="B954" s="54"/>
      <c r="E954" s="354"/>
      <c r="F954" s="354"/>
      <c r="G954" s="354"/>
      <c r="H954" s="242"/>
      <c r="I954" s="358"/>
      <c r="J954" s="217"/>
      <c r="K954" s="54"/>
      <c r="L954" s="218"/>
      <c r="M954" s="218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</row>
    <row r="955" ht="12.75" customHeight="1">
      <c r="A955" s="353"/>
      <c r="B955" s="54"/>
      <c r="E955" s="354"/>
      <c r="F955" s="354"/>
      <c r="G955" s="354"/>
      <c r="H955" s="242"/>
      <c r="I955" s="358"/>
      <c r="J955" s="217"/>
      <c r="K955" s="54"/>
      <c r="L955" s="218"/>
      <c r="M955" s="218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</row>
    <row r="956" ht="12.75" customHeight="1">
      <c r="A956" s="353"/>
      <c r="B956" s="54"/>
      <c r="E956" s="354"/>
      <c r="F956" s="354"/>
      <c r="G956" s="354"/>
      <c r="H956" s="242"/>
      <c r="I956" s="358"/>
      <c r="J956" s="217"/>
      <c r="K956" s="54"/>
      <c r="L956" s="218"/>
      <c r="M956" s="218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</row>
    <row r="957" ht="12.75" customHeight="1">
      <c r="A957" s="353"/>
      <c r="B957" s="54"/>
      <c r="E957" s="354"/>
      <c r="F957" s="354"/>
      <c r="G957" s="354"/>
      <c r="H957" s="242"/>
      <c r="I957" s="358"/>
      <c r="J957" s="217"/>
      <c r="K957" s="54"/>
      <c r="L957" s="218"/>
      <c r="M957" s="218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</row>
    <row r="958" ht="12.75" customHeight="1">
      <c r="A958" s="353"/>
      <c r="B958" s="54"/>
      <c r="E958" s="354"/>
      <c r="F958" s="354"/>
      <c r="G958" s="354"/>
      <c r="H958" s="242"/>
      <c r="I958" s="358"/>
      <c r="J958" s="217"/>
      <c r="K958" s="54"/>
      <c r="L958" s="218"/>
      <c r="M958" s="218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</row>
    <row r="959" ht="12.75" customHeight="1">
      <c r="A959" s="353"/>
      <c r="B959" s="54"/>
      <c r="E959" s="354"/>
      <c r="F959" s="354"/>
      <c r="G959" s="354"/>
      <c r="H959" s="242"/>
      <c r="I959" s="358"/>
      <c r="J959" s="217"/>
      <c r="K959" s="54"/>
      <c r="L959" s="218"/>
      <c r="M959" s="218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</row>
    <row r="960" ht="12.75" customHeight="1">
      <c r="A960" s="353"/>
      <c r="B960" s="54"/>
      <c r="E960" s="354"/>
      <c r="F960" s="354"/>
      <c r="G960" s="354"/>
      <c r="H960" s="242"/>
      <c r="I960" s="358"/>
      <c r="J960" s="217"/>
      <c r="K960" s="54"/>
      <c r="L960" s="218"/>
      <c r="M960" s="218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</row>
    <row r="961" ht="12.75" customHeight="1">
      <c r="A961" s="353"/>
      <c r="B961" s="54"/>
      <c r="E961" s="354"/>
      <c r="F961" s="354"/>
      <c r="G961" s="354"/>
      <c r="H961" s="242"/>
      <c r="I961" s="358"/>
      <c r="J961" s="217"/>
      <c r="K961" s="54"/>
      <c r="L961" s="218"/>
      <c r="M961" s="218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</row>
    <row r="962" ht="12.75" customHeight="1">
      <c r="A962" s="353"/>
      <c r="B962" s="54"/>
      <c r="E962" s="354"/>
      <c r="F962" s="354"/>
      <c r="G962" s="354"/>
      <c r="H962" s="242"/>
      <c r="I962" s="358"/>
      <c r="J962" s="217"/>
      <c r="K962" s="54"/>
      <c r="L962" s="218"/>
      <c r="M962" s="218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</row>
    <row r="963" ht="12.75" customHeight="1">
      <c r="A963" s="353"/>
      <c r="B963" s="54"/>
      <c r="E963" s="354"/>
      <c r="F963" s="354"/>
      <c r="G963" s="354"/>
      <c r="H963" s="242"/>
      <c r="I963" s="358"/>
      <c r="J963" s="217"/>
      <c r="K963" s="54"/>
      <c r="L963" s="218"/>
      <c r="M963" s="218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</row>
    <row r="964" ht="12.75" customHeight="1">
      <c r="A964" s="353"/>
      <c r="B964" s="54"/>
      <c r="E964" s="354"/>
      <c r="F964" s="354"/>
      <c r="G964" s="354"/>
      <c r="H964" s="242"/>
      <c r="I964" s="358"/>
      <c r="J964" s="217"/>
      <c r="K964" s="54"/>
      <c r="L964" s="218"/>
      <c r="M964" s="218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</row>
    <row r="965" ht="12.75" customHeight="1">
      <c r="A965" s="353"/>
      <c r="B965" s="54"/>
      <c r="E965" s="354"/>
      <c r="F965" s="354"/>
      <c r="G965" s="354"/>
      <c r="H965" s="242"/>
      <c r="I965" s="358"/>
      <c r="J965" s="217"/>
      <c r="K965" s="54"/>
      <c r="L965" s="218"/>
      <c r="M965" s="218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</row>
    <row r="966" ht="12.75" customHeight="1">
      <c r="A966" s="353"/>
      <c r="B966" s="54"/>
      <c r="E966" s="354"/>
      <c r="F966" s="354"/>
      <c r="G966" s="354"/>
      <c r="H966" s="242"/>
      <c r="I966" s="358"/>
      <c r="J966" s="217"/>
      <c r="K966" s="54"/>
      <c r="L966" s="218"/>
      <c r="M966" s="218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</row>
    <row r="967" ht="12.75" customHeight="1">
      <c r="A967" s="353"/>
      <c r="B967" s="54"/>
      <c r="E967" s="354"/>
      <c r="F967" s="354"/>
      <c r="G967" s="354"/>
      <c r="H967" s="242"/>
      <c r="I967" s="358"/>
      <c r="J967" s="217"/>
      <c r="K967" s="54"/>
      <c r="L967" s="218"/>
      <c r="M967" s="218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</row>
    <row r="968" ht="12.75" customHeight="1">
      <c r="A968" s="353"/>
      <c r="B968" s="54"/>
      <c r="E968" s="354"/>
      <c r="F968" s="354"/>
      <c r="G968" s="354"/>
      <c r="H968" s="242"/>
      <c r="I968" s="358"/>
      <c r="J968" s="217"/>
      <c r="K968" s="54"/>
      <c r="L968" s="218"/>
      <c r="M968" s="218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</row>
    <row r="969" ht="12.75" customHeight="1">
      <c r="A969" s="353"/>
      <c r="B969" s="54"/>
      <c r="E969" s="354"/>
      <c r="F969" s="354"/>
      <c r="G969" s="354"/>
      <c r="H969" s="242"/>
      <c r="I969" s="358"/>
      <c r="J969" s="217"/>
      <c r="K969" s="54"/>
      <c r="L969" s="218"/>
      <c r="M969" s="218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</row>
    <row r="970" ht="12.75" customHeight="1">
      <c r="A970" s="353"/>
      <c r="B970" s="54"/>
      <c r="E970" s="354"/>
      <c r="F970" s="354"/>
      <c r="G970" s="354"/>
      <c r="H970" s="242"/>
      <c r="I970" s="358"/>
      <c r="J970" s="217"/>
      <c r="K970" s="54"/>
      <c r="L970" s="218"/>
      <c r="M970" s="218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</row>
    <row r="971" ht="12.75" customHeight="1">
      <c r="A971" s="353"/>
      <c r="B971" s="54"/>
      <c r="E971" s="354"/>
      <c r="F971" s="354"/>
      <c r="G971" s="354"/>
      <c r="H971" s="242"/>
      <c r="I971" s="358"/>
      <c r="J971" s="217"/>
      <c r="K971" s="54"/>
      <c r="L971" s="218"/>
      <c r="M971" s="218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</row>
    <row r="972" ht="12.75" customHeight="1">
      <c r="A972" s="353"/>
      <c r="B972" s="54"/>
      <c r="E972" s="354"/>
      <c r="F972" s="354"/>
      <c r="G972" s="354"/>
      <c r="H972" s="242"/>
      <c r="I972" s="358"/>
      <c r="J972" s="217"/>
      <c r="K972" s="54"/>
      <c r="L972" s="218"/>
      <c r="M972" s="218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</row>
    <row r="973" ht="12.75" customHeight="1">
      <c r="A973" s="353"/>
      <c r="B973" s="54"/>
      <c r="E973" s="354"/>
      <c r="F973" s="354"/>
      <c r="G973" s="354"/>
      <c r="H973" s="242"/>
      <c r="I973" s="358"/>
      <c r="J973" s="217"/>
      <c r="K973" s="54"/>
      <c r="L973" s="218"/>
      <c r="M973" s="218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</row>
    <row r="974" ht="12.75" customHeight="1">
      <c r="A974" s="353"/>
      <c r="B974" s="54"/>
      <c r="E974" s="354"/>
      <c r="F974" s="354"/>
      <c r="G974" s="354"/>
      <c r="H974" s="242"/>
      <c r="I974" s="358"/>
      <c r="J974" s="217"/>
      <c r="K974" s="54"/>
      <c r="L974" s="218"/>
      <c r="M974" s="218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</row>
    <row r="975" ht="12.75" customHeight="1">
      <c r="A975" s="353"/>
      <c r="B975" s="54"/>
      <c r="E975" s="354"/>
      <c r="F975" s="354"/>
      <c r="G975" s="354"/>
      <c r="H975" s="242"/>
      <c r="I975" s="358"/>
      <c r="J975" s="217"/>
      <c r="K975" s="54"/>
      <c r="L975" s="218"/>
      <c r="M975" s="218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</row>
    <row r="976" ht="12.75" customHeight="1">
      <c r="A976" s="353"/>
      <c r="B976" s="54"/>
      <c r="E976" s="354"/>
      <c r="F976" s="354"/>
      <c r="G976" s="354"/>
      <c r="H976" s="242"/>
      <c r="I976" s="358"/>
      <c r="J976" s="217"/>
      <c r="K976" s="54"/>
      <c r="L976" s="218"/>
      <c r="M976" s="218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</row>
    <row r="977" ht="12.75" customHeight="1">
      <c r="A977" s="353"/>
      <c r="B977" s="54"/>
      <c r="E977" s="354"/>
      <c r="F977" s="354"/>
      <c r="G977" s="354"/>
      <c r="H977" s="242"/>
      <c r="I977" s="358"/>
      <c r="J977" s="217"/>
      <c r="K977" s="54"/>
      <c r="L977" s="218"/>
      <c r="M977" s="218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</row>
    <row r="978" ht="12.75" customHeight="1">
      <c r="A978" s="353"/>
      <c r="B978" s="54"/>
      <c r="E978" s="354"/>
      <c r="F978" s="354"/>
      <c r="G978" s="354"/>
      <c r="H978" s="242"/>
      <c r="I978" s="358"/>
      <c r="J978" s="217"/>
      <c r="K978" s="54"/>
      <c r="L978" s="218"/>
      <c r="M978" s="218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</row>
    <row r="979" ht="12.75" customHeight="1">
      <c r="A979" s="353"/>
      <c r="B979" s="54"/>
      <c r="E979" s="354"/>
      <c r="F979" s="354"/>
      <c r="G979" s="354"/>
      <c r="H979" s="242"/>
      <c r="I979" s="358"/>
      <c r="J979" s="217"/>
      <c r="K979" s="54"/>
      <c r="L979" s="218"/>
      <c r="M979" s="218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</row>
    <row r="980" ht="12.75" customHeight="1">
      <c r="A980" s="353"/>
      <c r="B980" s="54"/>
      <c r="E980" s="354"/>
      <c r="F980" s="354"/>
      <c r="G980" s="354"/>
      <c r="H980" s="242"/>
      <c r="I980" s="358"/>
      <c r="J980" s="217"/>
      <c r="K980" s="54"/>
      <c r="L980" s="218"/>
      <c r="M980" s="218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</row>
    <row r="981" ht="12.75" customHeight="1">
      <c r="A981" s="353"/>
      <c r="B981" s="54"/>
      <c r="E981" s="354"/>
      <c r="F981" s="354"/>
      <c r="G981" s="354"/>
      <c r="H981" s="242"/>
      <c r="I981" s="358"/>
      <c r="J981" s="217"/>
      <c r="K981" s="54"/>
      <c r="L981" s="218"/>
      <c r="M981" s="218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</row>
    <row r="982" ht="12.75" customHeight="1">
      <c r="A982" s="353"/>
      <c r="B982" s="54"/>
      <c r="E982" s="354"/>
      <c r="F982" s="354"/>
      <c r="G982" s="354"/>
      <c r="H982" s="242"/>
      <c r="I982" s="358"/>
      <c r="J982" s="217"/>
      <c r="K982" s="54"/>
      <c r="L982" s="218"/>
      <c r="M982" s="218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</row>
    <row r="983" ht="12.75" customHeight="1">
      <c r="A983" s="353"/>
      <c r="B983" s="54"/>
      <c r="E983" s="354"/>
      <c r="F983" s="354"/>
      <c r="G983" s="354"/>
      <c r="H983" s="242"/>
      <c r="I983" s="358"/>
      <c r="J983" s="217"/>
      <c r="K983" s="54"/>
      <c r="L983" s="218"/>
      <c r="M983" s="218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</row>
    <row r="984" ht="12.75" customHeight="1">
      <c r="A984" s="353"/>
      <c r="B984" s="54"/>
      <c r="E984" s="354"/>
      <c r="F984" s="354"/>
      <c r="G984" s="354"/>
      <c r="H984" s="242"/>
      <c r="I984" s="358"/>
      <c r="J984" s="217"/>
      <c r="K984" s="54"/>
      <c r="L984" s="218"/>
      <c r="M984" s="218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</row>
    <row r="985" ht="12.75" customHeight="1">
      <c r="A985" s="353"/>
      <c r="B985" s="54"/>
      <c r="E985" s="354"/>
      <c r="F985" s="354"/>
      <c r="G985" s="354"/>
      <c r="H985" s="242"/>
      <c r="I985" s="358"/>
      <c r="J985" s="217"/>
      <c r="K985" s="54"/>
      <c r="L985" s="218"/>
      <c r="M985" s="218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</row>
    <row r="986" ht="12.75" customHeight="1">
      <c r="A986" s="353"/>
      <c r="B986" s="54"/>
      <c r="E986" s="354"/>
      <c r="F986" s="354"/>
      <c r="G986" s="354"/>
      <c r="H986" s="242"/>
      <c r="I986" s="358"/>
      <c r="J986" s="217"/>
      <c r="K986" s="54"/>
      <c r="L986" s="218"/>
      <c r="M986" s="218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</row>
    <row r="987" ht="12.75" customHeight="1">
      <c r="A987" s="353"/>
      <c r="B987" s="54"/>
      <c r="E987" s="354"/>
      <c r="F987" s="354"/>
      <c r="G987" s="354"/>
      <c r="H987" s="242"/>
      <c r="I987" s="358"/>
      <c r="J987" s="217"/>
      <c r="K987" s="54"/>
      <c r="L987" s="218"/>
      <c r="M987" s="218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</row>
    <row r="988" ht="12.75" customHeight="1">
      <c r="A988" s="353"/>
      <c r="B988" s="54"/>
      <c r="E988" s="354"/>
      <c r="F988" s="354"/>
      <c r="G988" s="354"/>
      <c r="H988" s="242"/>
      <c r="I988" s="358"/>
      <c r="J988" s="217"/>
      <c r="K988" s="54"/>
      <c r="L988" s="218"/>
      <c r="M988" s="218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</row>
    <row r="989" ht="12.75" customHeight="1">
      <c r="A989" s="353"/>
      <c r="B989" s="54"/>
      <c r="E989" s="354"/>
      <c r="F989" s="354"/>
      <c r="G989" s="354"/>
      <c r="H989" s="242"/>
      <c r="I989" s="358"/>
      <c r="J989" s="217"/>
      <c r="K989" s="54"/>
      <c r="L989" s="218"/>
      <c r="M989" s="218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</row>
    <row r="990" ht="12.75" customHeight="1">
      <c r="A990" s="353"/>
      <c r="B990" s="54"/>
      <c r="E990" s="354"/>
      <c r="F990" s="354"/>
      <c r="G990" s="354"/>
      <c r="H990" s="242"/>
      <c r="I990" s="358"/>
      <c r="J990" s="217"/>
      <c r="K990" s="54"/>
      <c r="L990" s="218"/>
      <c r="M990" s="218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</row>
    <row r="991" ht="12.75" customHeight="1">
      <c r="A991" s="353"/>
      <c r="B991" s="54"/>
      <c r="E991" s="354"/>
      <c r="F991" s="354"/>
      <c r="G991" s="354"/>
      <c r="H991" s="242"/>
      <c r="I991" s="358"/>
      <c r="J991" s="217"/>
      <c r="K991" s="54"/>
      <c r="L991" s="218"/>
      <c r="M991" s="218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</row>
    <row r="992" ht="12.75" customHeight="1">
      <c r="A992" s="353"/>
      <c r="B992" s="54"/>
      <c r="E992" s="354"/>
      <c r="F992" s="354"/>
      <c r="G992" s="354"/>
      <c r="H992" s="242"/>
      <c r="I992" s="358"/>
      <c r="J992" s="217"/>
      <c r="K992" s="54"/>
      <c r="L992" s="218"/>
      <c r="M992" s="218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</row>
    <row r="993" ht="12.75" customHeight="1">
      <c r="A993" s="353"/>
      <c r="B993" s="54"/>
      <c r="E993" s="354"/>
      <c r="F993" s="354"/>
      <c r="G993" s="354"/>
      <c r="H993" s="242"/>
      <c r="I993" s="358"/>
      <c r="J993" s="217"/>
      <c r="K993" s="54"/>
      <c r="L993" s="218"/>
      <c r="M993" s="218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</row>
    <row r="994" ht="12.75" customHeight="1">
      <c r="A994" s="353"/>
      <c r="B994" s="54"/>
      <c r="E994" s="354"/>
      <c r="F994" s="354"/>
      <c r="G994" s="354"/>
      <c r="H994" s="242"/>
      <c r="I994" s="358"/>
      <c r="J994" s="217"/>
      <c r="K994" s="54"/>
      <c r="L994" s="218"/>
      <c r="M994" s="218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</row>
    <row r="995" ht="12.75" customHeight="1">
      <c r="A995" s="353"/>
      <c r="B995" s="54"/>
      <c r="E995" s="354"/>
      <c r="F995" s="354"/>
      <c r="G995" s="354"/>
      <c r="H995" s="242"/>
      <c r="I995" s="358"/>
      <c r="J995" s="217"/>
      <c r="K995" s="54"/>
      <c r="L995" s="218"/>
      <c r="M995" s="218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</row>
    <row r="996" ht="12.75" customHeight="1">
      <c r="A996" s="353"/>
      <c r="B996" s="54"/>
      <c r="E996" s="354"/>
      <c r="F996" s="354"/>
      <c r="G996" s="354"/>
      <c r="H996" s="242"/>
      <c r="I996" s="358"/>
      <c r="J996" s="217"/>
      <c r="K996" s="54"/>
      <c r="L996" s="218"/>
      <c r="M996" s="218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</row>
    <row r="997" ht="12.75" customHeight="1">
      <c r="A997" s="353"/>
      <c r="B997" s="54"/>
      <c r="E997" s="354"/>
      <c r="F997" s="354"/>
      <c r="G997" s="354"/>
      <c r="H997" s="242"/>
      <c r="I997" s="358"/>
      <c r="J997" s="217"/>
      <c r="K997" s="54"/>
      <c r="L997" s="218"/>
      <c r="M997" s="218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</row>
    <row r="998" ht="12.75" customHeight="1">
      <c r="A998" s="353"/>
      <c r="B998" s="54"/>
      <c r="E998" s="354"/>
      <c r="F998" s="354"/>
      <c r="G998" s="354"/>
      <c r="H998" s="242"/>
      <c r="I998" s="358"/>
      <c r="J998" s="217"/>
      <c r="K998" s="54"/>
      <c r="L998" s="218"/>
      <c r="M998" s="218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</row>
    <row r="999" ht="12.75" customHeight="1">
      <c r="A999" s="353"/>
      <c r="B999" s="54"/>
      <c r="E999" s="354"/>
      <c r="F999" s="354"/>
      <c r="G999" s="354"/>
      <c r="H999" s="242"/>
      <c r="I999" s="358"/>
      <c r="J999" s="217"/>
      <c r="K999" s="54"/>
      <c r="L999" s="218"/>
      <c r="M999" s="218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</row>
    <row r="1000" ht="12.75" customHeight="1">
      <c r="A1000" s="353"/>
      <c r="B1000" s="54"/>
      <c r="E1000" s="354"/>
      <c r="F1000" s="354"/>
      <c r="G1000" s="354"/>
      <c r="H1000" s="242"/>
      <c r="I1000" s="358"/>
      <c r="J1000" s="217"/>
      <c r="K1000" s="54"/>
      <c r="L1000" s="218"/>
      <c r="M1000" s="218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</row>
    <row r="1001" ht="12.75" customHeight="1">
      <c r="A1001" s="353"/>
      <c r="B1001" s="54"/>
      <c r="E1001" s="354"/>
      <c r="F1001" s="354"/>
      <c r="G1001" s="354"/>
      <c r="H1001" s="242"/>
      <c r="I1001" s="358"/>
      <c r="J1001" s="217"/>
      <c r="K1001" s="54"/>
      <c r="L1001" s="218"/>
      <c r="M1001" s="218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</row>
    <row r="1002" ht="12.75" customHeight="1">
      <c r="A1002" s="353"/>
      <c r="B1002" s="54"/>
      <c r="E1002" s="354"/>
      <c r="F1002" s="354"/>
      <c r="G1002" s="354"/>
      <c r="H1002" s="242"/>
      <c r="I1002" s="358"/>
      <c r="J1002" s="217"/>
      <c r="K1002" s="54"/>
      <c r="L1002" s="218"/>
      <c r="M1002" s="218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</row>
    <row r="1003" ht="12.75" customHeight="1">
      <c r="A1003" s="353"/>
      <c r="B1003" s="54"/>
      <c r="E1003" s="354"/>
      <c r="F1003" s="354"/>
      <c r="G1003" s="354"/>
      <c r="H1003" s="242"/>
      <c r="I1003" s="358"/>
      <c r="J1003" s="217"/>
      <c r="K1003" s="54"/>
      <c r="L1003" s="218"/>
      <c r="M1003" s="218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</row>
    <row r="1004" ht="12.75" customHeight="1">
      <c r="A1004" s="353"/>
      <c r="B1004" s="54"/>
      <c r="E1004" s="354"/>
      <c r="F1004" s="354"/>
      <c r="G1004" s="354"/>
      <c r="H1004" s="242"/>
      <c r="I1004" s="358"/>
      <c r="J1004" s="217"/>
      <c r="K1004" s="54"/>
      <c r="L1004" s="218"/>
      <c r="M1004" s="218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</row>
    <row r="1005" ht="12.75" customHeight="1">
      <c r="A1005" s="353"/>
      <c r="B1005" s="54"/>
      <c r="E1005" s="354"/>
      <c r="F1005" s="354"/>
      <c r="G1005" s="354"/>
      <c r="H1005" s="242"/>
      <c r="I1005" s="358"/>
      <c r="J1005" s="217"/>
      <c r="K1005" s="54"/>
      <c r="L1005" s="218"/>
      <c r="M1005" s="218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</row>
    <row r="1006" ht="12.75" customHeight="1">
      <c r="A1006" s="353"/>
      <c r="B1006" s="54"/>
      <c r="E1006" s="354"/>
      <c r="F1006" s="354"/>
      <c r="G1006" s="354"/>
      <c r="H1006" s="242"/>
      <c r="I1006" s="358"/>
      <c r="J1006" s="217"/>
      <c r="K1006" s="54"/>
      <c r="L1006" s="218"/>
      <c r="M1006" s="218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</row>
    <row r="1007" ht="12.75" customHeight="1">
      <c r="A1007" s="353"/>
      <c r="B1007" s="54"/>
      <c r="E1007" s="354"/>
      <c r="F1007" s="354"/>
      <c r="G1007" s="354"/>
      <c r="H1007" s="242"/>
      <c r="I1007" s="358"/>
      <c r="J1007" s="217"/>
      <c r="K1007" s="54"/>
      <c r="L1007" s="218"/>
      <c r="M1007" s="218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</row>
    <row r="1008" ht="12.75" customHeight="1">
      <c r="A1008" s="353"/>
      <c r="B1008" s="54"/>
      <c r="E1008" s="354"/>
      <c r="F1008" s="354"/>
      <c r="G1008" s="354"/>
      <c r="H1008" s="242"/>
      <c r="I1008" s="358"/>
      <c r="J1008" s="217"/>
      <c r="K1008" s="54"/>
      <c r="L1008" s="218"/>
      <c r="M1008" s="218"/>
      <c r="N1008" s="54"/>
      <c r="O1008" s="54"/>
      <c r="P1008" s="54"/>
      <c r="Q1008" s="54"/>
      <c r="R1008" s="54"/>
      <c r="S1008" s="54"/>
      <c r="T1008" s="54"/>
      <c r="U1008" s="54"/>
      <c r="V1008" s="54"/>
      <c r="W1008" s="54"/>
      <c r="X1008" s="54"/>
      <c r="Y1008" s="54"/>
      <c r="Z1008" s="54"/>
      <c r="AA1008" s="54"/>
      <c r="AB1008" s="54"/>
      <c r="AC1008" s="54"/>
      <c r="AD1008" s="54"/>
    </row>
    <row r="1009" ht="12.75" customHeight="1">
      <c r="A1009" s="353"/>
      <c r="B1009" s="54"/>
      <c r="E1009" s="354"/>
      <c r="F1009" s="354"/>
      <c r="G1009" s="354"/>
      <c r="H1009" s="242"/>
      <c r="I1009" s="358"/>
      <c r="J1009" s="217"/>
      <c r="K1009" s="54"/>
      <c r="L1009" s="218"/>
      <c r="M1009" s="218"/>
      <c r="N1009" s="54"/>
      <c r="O1009" s="54"/>
      <c r="P1009" s="54"/>
      <c r="Q1009" s="54"/>
      <c r="R1009" s="54"/>
      <c r="S1009" s="54"/>
      <c r="T1009" s="54"/>
      <c r="U1009" s="54"/>
      <c r="V1009" s="54"/>
      <c r="W1009" s="54"/>
      <c r="X1009" s="54"/>
      <c r="Y1009" s="54"/>
      <c r="Z1009" s="54"/>
      <c r="AA1009" s="54"/>
      <c r="AB1009" s="54"/>
      <c r="AC1009" s="54"/>
      <c r="AD1009" s="54"/>
    </row>
    <row r="1010" ht="12.75" customHeight="1">
      <c r="A1010" s="353"/>
      <c r="B1010" s="54"/>
      <c r="E1010" s="354"/>
      <c r="F1010" s="354"/>
      <c r="G1010" s="354"/>
      <c r="H1010" s="242"/>
      <c r="I1010" s="358"/>
      <c r="J1010" s="217"/>
      <c r="K1010" s="54"/>
      <c r="L1010" s="218"/>
      <c r="M1010" s="218"/>
      <c r="N1010" s="54"/>
      <c r="O1010" s="54"/>
      <c r="P1010" s="54"/>
      <c r="Q1010" s="54"/>
      <c r="R1010" s="54"/>
      <c r="S1010" s="54"/>
      <c r="T1010" s="54"/>
      <c r="U1010" s="54"/>
      <c r="V1010" s="54"/>
      <c r="W1010" s="54"/>
      <c r="X1010" s="54"/>
      <c r="Y1010" s="54"/>
      <c r="Z1010" s="54"/>
      <c r="AA1010" s="54"/>
      <c r="AB1010" s="54"/>
      <c r="AC1010" s="54"/>
      <c r="AD1010" s="54"/>
    </row>
    <row r="1011" ht="12.75" customHeight="1">
      <c r="A1011" s="353"/>
      <c r="B1011" s="54"/>
      <c r="E1011" s="354"/>
      <c r="F1011" s="354"/>
      <c r="G1011" s="354"/>
      <c r="H1011" s="242"/>
      <c r="I1011" s="358"/>
      <c r="J1011" s="217"/>
      <c r="K1011" s="54"/>
      <c r="L1011" s="218"/>
      <c r="M1011" s="218"/>
      <c r="N1011" s="54"/>
      <c r="O1011" s="54"/>
      <c r="P1011" s="54"/>
      <c r="Q1011" s="54"/>
      <c r="R1011" s="54"/>
      <c r="S1011" s="54"/>
      <c r="T1011" s="54"/>
      <c r="U1011" s="54"/>
      <c r="V1011" s="54"/>
      <c r="W1011" s="54"/>
      <c r="X1011" s="54"/>
      <c r="Y1011" s="54"/>
      <c r="Z1011" s="54"/>
      <c r="AA1011" s="54"/>
      <c r="AB1011" s="54"/>
      <c r="AC1011" s="54"/>
      <c r="AD1011" s="54"/>
    </row>
    <row r="1012" ht="12.75" customHeight="1">
      <c r="A1012" s="353"/>
      <c r="B1012" s="54"/>
      <c r="E1012" s="354"/>
      <c r="F1012" s="354"/>
      <c r="G1012" s="354"/>
      <c r="H1012" s="242"/>
      <c r="I1012" s="358"/>
      <c r="J1012" s="217"/>
      <c r="K1012" s="54"/>
      <c r="L1012" s="218"/>
      <c r="M1012" s="218"/>
      <c r="N1012" s="54"/>
      <c r="O1012" s="54"/>
      <c r="P1012" s="54"/>
      <c r="Q1012" s="54"/>
      <c r="R1012" s="54"/>
      <c r="S1012" s="54"/>
      <c r="T1012" s="54"/>
      <c r="U1012" s="54"/>
      <c r="V1012" s="54"/>
      <c r="W1012" s="54"/>
      <c r="X1012" s="54"/>
      <c r="Y1012" s="54"/>
      <c r="Z1012" s="54"/>
      <c r="AA1012" s="54"/>
      <c r="AB1012" s="54"/>
      <c r="AC1012" s="54"/>
      <c r="AD1012" s="54"/>
    </row>
    <row r="1013" ht="12.75" customHeight="1">
      <c r="A1013" s="353"/>
      <c r="B1013" s="54"/>
      <c r="E1013" s="354"/>
      <c r="F1013" s="354"/>
      <c r="G1013" s="354"/>
      <c r="H1013" s="242"/>
      <c r="I1013" s="358"/>
      <c r="J1013" s="217"/>
      <c r="K1013" s="54"/>
      <c r="L1013" s="218"/>
      <c r="M1013" s="218"/>
      <c r="N1013" s="54"/>
      <c r="O1013" s="54"/>
      <c r="P1013" s="54"/>
      <c r="Q1013" s="54"/>
      <c r="R1013" s="54"/>
      <c r="S1013" s="54"/>
      <c r="T1013" s="54"/>
      <c r="U1013" s="54"/>
      <c r="V1013" s="54"/>
      <c r="W1013" s="54"/>
      <c r="X1013" s="54"/>
      <c r="Y1013" s="54"/>
      <c r="Z1013" s="54"/>
      <c r="AA1013" s="54"/>
      <c r="AB1013" s="54"/>
      <c r="AC1013" s="54"/>
      <c r="AD1013" s="54"/>
    </row>
    <row r="1014" ht="12.75" customHeight="1">
      <c r="A1014" s="353"/>
      <c r="B1014" s="54"/>
      <c r="E1014" s="354"/>
      <c r="F1014" s="354"/>
      <c r="G1014" s="354"/>
      <c r="H1014" s="242"/>
      <c r="I1014" s="358"/>
      <c r="J1014" s="217"/>
      <c r="K1014" s="54"/>
      <c r="L1014" s="218"/>
      <c r="M1014" s="218"/>
      <c r="N1014" s="54"/>
      <c r="O1014" s="54"/>
      <c r="P1014" s="54"/>
      <c r="Q1014" s="54"/>
      <c r="R1014" s="54"/>
      <c r="S1014" s="54"/>
      <c r="T1014" s="54"/>
      <c r="U1014" s="54"/>
      <c r="V1014" s="54"/>
      <c r="W1014" s="54"/>
      <c r="X1014" s="54"/>
      <c r="Y1014" s="54"/>
      <c r="Z1014" s="54"/>
      <c r="AA1014" s="54"/>
      <c r="AB1014" s="54"/>
      <c r="AC1014" s="54"/>
      <c r="AD1014" s="54"/>
    </row>
    <row r="1015" ht="12.75" customHeight="1">
      <c r="A1015" s="353"/>
      <c r="B1015" s="54"/>
      <c r="E1015" s="354"/>
      <c r="F1015" s="354"/>
      <c r="G1015" s="354"/>
      <c r="H1015" s="242"/>
      <c r="I1015" s="358"/>
      <c r="J1015" s="217"/>
      <c r="K1015" s="54"/>
      <c r="L1015" s="218"/>
      <c r="M1015" s="218"/>
      <c r="N1015" s="54"/>
      <c r="O1015" s="54"/>
      <c r="P1015" s="54"/>
      <c r="Q1015" s="54"/>
      <c r="R1015" s="54"/>
      <c r="S1015" s="54"/>
      <c r="T1015" s="54"/>
      <c r="U1015" s="54"/>
      <c r="V1015" s="54"/>
      <c r="W1015" s="54"/>
      <c r="X1015" s="54"/>
      <c r="Y1015" s="54"/>
      <c r="Z1015" s="54"/>
      <c r="AA1015" s="54"/>
      <c r="AB1015" s="54"/>
      <c r="AC1015" s="54"/>
      <c r="AD1015" s="54"/>
    </row>
    <row r="1016" ht="12.75" customHeight="1">
      <c r="A1016" s="353"/>
      <c r="B1016" s="54"/>
      <c r="E1016" s="354"/>
      <c r="F1016" s="354"/>
      <c r="G1016" s="354"/>
      <c r="H1016" s="242"/>
      <c r="I1016" s="358"/>
      <c r="J1016" s="217"/>
      <c r="K1016" s="54"/>
      <c r="L1016" s="218"/>
      <c r="M1016" s="218"/>
      <c r="N1016" s="54"/>
      <c r="O1016" s="54"/>
      <c r="P1016" s="54"/>
      <c r="Q1016" s="54"/>
      <c r="R1016" s="54"/>
      <c r="S1016" s="54"/>
      <c r="T1016" s="54"/>
      <c r="U1016" s="54"/>
      <c r="V1016" s="54"/>
      <c r="W1016" s="54"/>
      <c r="X1016" s="54"/>
      <c r="Y1016" s="54"/>
      <c r="Z1016" s="54"/>
      <c r="AA1016" s="54"/>
      <c r="AB1016" s="54"/>
      <c r="AC1016" s="54"/>
      <c r="AD1016" s="54"/>
    </row>
    <row r="1017" ht="12.75" customHeight="1">
      <c r="A1017" s="353"/>
      <c r="B1017" s="54"/>
      <c r="E1017" s="354"/>
      <c r="F1017" s="354"/>
      <c r="G1017" s="354"/>
      <c r="H1017" s="242"/>
      <c r="I1017" s="358"/>
      <c r="J1017" s="217"/>
      <c r="K1017" s="54"/>
      <c r="L1017" s="218"/>
      <c r="M1017" s="218"/>
      <c r="N1017" s="54"/>
      <c r="O1017" s="54"/>
      <c r="P1017" s="54"/>
      <c r="Q1017" s="54"/>
      <c r="R1017" s="54"/>
      <c r="S1017" s="54"/>
      <c r="T1017" s="54"/>
      <c r="U1017" s="54"/>
      <c r="V1017" s="54"/>
      <c r="W1017" s="54"/>
      <c r="X1017" s="54"/>
      <c r="Y1017" s="54"/>
      <c r="Z1017" s="54"/>
      <c r="AA1017" s="54"/>
      <c r="AB1017" s="54"/>
      <c r="AC1017" s="54"/>
      <c r="AD1017" s="54"/>
    </row>
    <row r="1018" ht="12.75" customHeight="1">
      <c r="A1018" s="353"/>
      <c r="B1018" s="54"/>
      <c r="E1018" s="354"/>
      <c r="F1018" s="354"/>
      <c r="G1018" s="354"/>
      <c r="H1018" s="242"/>
      <c r="I1018" s="358"/>
      <c r="J1018" s="217"/>
      <c r="K1018" s="54"/>
      <c r="L1018" s="218"/>
      <c r="M1018" s="218"/>
      <c r="N1018" s="54"/>
      <c r="O1018" s="54"/>
      <c r="P1018" s="54"/>
      <c r="Q1018" s="54"/>
      <c r="R1018" s="54"/>
      <c r="S1018" s="54"/>
      <c r="T1018" s="54"/>
      <c r="U1018" s="54"/>
      <c r="V1018" s="54"/>
      <c r="W1018" s="54"/>
      <c r="X1018" s="54"/>
      <c r="Y1018" s="54"/>
      <c r="Z1018" s="54"/>
      <c r="AA1018" s="54"/>
      <c r="AB1018" s="54"/>
      <c r="AC1018" s="54"/>
      <c r="AD1018" s="54"/>
    </row>
    <row r="1019" ht="12.75" customHeight="1">
      <c r="A1019" s="353"/>
      <c r="B1019" s="54"/>
      <c r="E1019" s="354"/>
      <c r="F1019" s="354"/>
      <c r="G1019" s="354"/>
      <c r="H1019" s="242"/>
      <c r="I1019" s="358"/>
      <c r="J1019" s="217"/>
      <c r="K1019" s="54"/>
      <c r="L1019" s="218"/>
      <c r="M1019" s="218"/>
      <c r="N1019" s="54"/>
      <c r="O1019" s="54"/>
      <c r="P1019" s="54"/>
      <c r="Q1019" s="54"/>
      <c r="R1019" s="54"/>
      <c r="S1019" s="54"/>
      <c r="T1019" s="54"/>
      <c r="U1019" s="54"/>
      <c r="V1019" s="54"/>
      <c r="W1019" s="54"/>
      <c r="X1019" s="54"/>
      <c r="Y1019" s="54"/>
      <c r="Z1019" s="54"/>
      <c r="AA1019" s="54"/>
      <c r="AB1019" s="54"/>
      <c r="AC1019" s="54"/>
      <c r="AD1019" s="54"/>
    </row>
    <row r="1020" ht="12.75" customHeight="1">
      <c r="A1020" s="353"/>
      <c r="B1020" s="54"/>
      <c r="E1020" s="354"/>
      <c r="F1020" s="354"/>
      <c r="G1020" s="354"/>
      <c r="H1020" s="242"/>
      <c r="I1020" s="358"/>
      <c r="J1020" s="217"/>
      <c r="K1020" s="54"/>
      <c r="L1020" s="218"/>
      <c r="M1020" s="218"/>
      <c r="N1020" s="54"/>
      <c r="O1020" s="54"/>
      <c r="P1020" s="54"/>
      <c r="Q1020" s="54"/>
      <c r="R1020" s="54"/>
      <c r="S1020" s="54"/>
      <c r="T1020" s="54"/>
      <c r="U1020" s="54"/>
      <c r="V1020" s="54"/>
      <c r="W1020" s="54"/>
      <c r="X1020" s="54"/>
      <c r="Y1020" s="54"/>
      <c r="Z1020" s="54"/>
      <c r="AA1020" s="54"/>
      <c r="AB1020" s="54"/>
      <c r="AC1020" s="54"/>
      <c r="AD1020" s="54"/>
    </row>
    <row r="1021" ht="12.75" customHeight="1">
      <c r="A1021" s="353"/>
      <c r="B1021" s="54"/>
      <c r="E1021" s="354"/>
      <c r="F1021" s="354"/>
      <c r="G1021" s="354"/>
      <c r="H1021" s="242"/>
      <c r="I1021" s="358"/>
      <c r="J1021" s="217"/>
      <c r="K1021" s="54"/>
      <c r="L1021" s="218"/>
      <c r="M1021" s="218"/>
      <c r="N1021" s="54"/>
      <c r="O1021" s="54"/>
      <c r="P1021" s="54"/>
      <c r="Q1021" s="54"/>
      <c r="R1021" s="54"/>
      <c r="S1021" s="54"/>
      <c r="T1021" s="54"/>
      <c r="U1021" s="54"/>
      <c r="V1021" s="54"/>
      <c r="W1021" s="54"/>
      <c r="X1021" s="54"/>
      <c r="Y1021" s="54"/>
      <c r="Z1021" s="54"/>
      <c r="AA1021" s="54"/>
      <c r="AB1021" s="54"/>
      <c r="AC1021" s="54"/>
      <c r="AD1021" s="54"/>
    </row>
    <row r="1022" ht="12.75" customHeight="1">
      <c r="A1022" s="353"/>
      <c r="B1022" s="54"/>
      <c r="E1022" s="354"/>
      <c r="F1022" s="354"/>
      <c r="G1022" s="354"/>
      <c r="H1022" s="242"/>
      <c r="I1022" s="358"/>
      <c r="J1022" s="217"/>
      <c r="K1022" s="54"/>
      <c r="L1022" s="218"/>
      <c r="M1022" s="218"/>
      <c r="N1022" s="54"/>
      <c r="O1022" s="54"/>
      <c r="P1022" s="54"/>
      <c r="Q1022" s="54"/>
      <c r="R1022" s="54"/>
      <c r="S1022" s="54"/>
      <c r="T1022" s="54"/>
      <c r="U1022" s="54"/>
      <c r="V1022" s="54"/>
      <c r="W1022" s="54"/>
      <c r="X1022" s="54"/>
      <c r="Y1022" s="54"/>
      <c r="Z1022" s="54"/>
      <c r="AA1022" s="54"/>
      <c r="AB1022" s="54"/>
      <c r="AC1022" s="54"/>
      <c r="AD1022" s="54"/>
    </row>
    <row r="1023" ht="12.75" customHeight="1">
      <c r="A1023" s="353"/>
      <c r="B1023" s="54"/>
      <c r="E1023" s="354"/>
      <c r="F1023" s="354"/>
      <c r="G1023" s="354"/>
      <c r="H1023" s="242"/>
      <c r="I1023" s="358"/>
      <c r="J1023" s="217"/>
      <c r="K1023" s="54"/>
      <c r="L1023" s="218"/>
      <c r="M1023" s="218"/>
      <c r="N1023" s="54"/>
      <c r="O1023" s="54"/>
      <c r="P1023" s="54"/>
      <c r="Q1023" s="54"/>
      <c r="R1023" s="54"/>
      <c r="S1023" s="54"/>
      <c r="T1023" s="54"/>
      <c r="U1023" s="54"/>
      <c r="V1023" s="54"/>
      <c r="W1023" s="54"/>
      <c r="X1023" s="54"/>
      <c r="Y1023" s="54"/>
      <c r="Z1023" s="54"/>
      <c r="AA1023" s="54"/>
      <c r="AB1023" s="54"/>
      <c r="AC1023" s="54"/>
      <c r="AD1023" s="54"/>
    </row>
    <row r="1024" ht="12.75" customHeight="1">
      <c r="A1024" s="353"/>
      <c r="B1024" s="54"/>
      <c r="E1024" s="354"/>
      <c r="F1024" s="354"/>
      <c r="G1024" s="354"/>
      <c r="H1024" s="242"/>
      <c r="I1024" s="358"/>
      <c r="J1024" s="217"/>
      <c r="K1024" s="54"/>
      <c r="L1024" s="218"/>
      <c r="M1024" s="218"/>
      <c r="N1024" s="54"/>
      <c r="O1024" s="54"/>
      <c r="P1024" s="54"/>
      <c r="Q1024" s="54"/>
      <c r="R1024" s="54"/>
      <c r="S1024" s="54"/>
      <c r="T1024" s="54"/>
      <c r="U1024" s="54"/>
      <c r="V1024" s="54"/>
      <c r="W1024" s="54"/>
      <c r="X1024" s="54"/>
      <c r="Y1024" s="54"/>
      <c r="Z1024" s="54"/>
      <c r="AA1024" s="54"/>
      <c r="AB1024" s="54"/>
      <c r="AC1024" s="54"/>
      <c r="AD1024" s="54"/>
    </row>
    <row r="1025" ht="12.75" customHeight="1">
      <c r="A1025" s="353"/>
      <c r="B1025" s="54"/>
      <c r="E1025" s="354"/>
      <c r="F1025" s="354"/>
      <c r="G1025" s="354"/>
      <c r="H1025" s="242"/>
      <c r="I1025" s="358"/>
      <c r="J1025" s="217"/>
      <c r="K1025" s="54"/>
      <c r="L1025" s="218"/>
      <c r="M1025" s="218"/>
      <c r="N1025" s="54"/>
      <c r="O1025" s="54"/>
      <c r="P1025" s="54"/>
      <c r="Q1025" s="54"/>
      <c r="R1025" s="54"/>
      <c r="S1025" s="54"/>
      <c r="T1025" s="54"/>
      <c r="U1025" s="54"/>
      <c r="V1025" s="54"/>
      <c r="W1025" s="54"/>
      <c r="X1025" s="54"/>
      <c r="Y1025" s="54"/>
      <c r="Z1025" s="54"/>
      <c r="AA1025" s="54"/>
      <c r="AB1025" s="54"/>
      <c r="AC1025" s="54"/>
      <c r="AD1025" s="54"/>
    </row>
    <row r="1026" ht="12.75" customHeight="1">
      <c r="A1026" s="353"/>
      <c r="B1026" s="54"/>
      <c r="E1026" s="354"/>
      <c r="F1026" s="354"/>
      <c r="G1026" s="354"/>
      <c r="H1026" s="242"/>
      <c r="I1026" s="358"/>
      <c r="J1026" s="217"/>
      <c r="K1026" s="54"/>
      <c r="L1026" s="218"/>
      <c r="M1026" s="218"/>
      <c r="N1026" s="54"/>
      <c r="O1026" s="54"/>
      <c r="P1026" s="54"/>
      <c r="Q1026" s="54"/>
      <c r="R1026" s="54"/>
      <c r="S1026" s="54"/>
      <c r="T1026" s="54"/>
      <c r="U1026" s="54"/>
      <c r="V1026" s="54"/>
      <c r="W1026" s="54"/>
      <c r="X1026" s="54"/>
      <c r="Y1026" s="54"/>
      <c r="Z1026" s="54"/>
      <c r="AA1026" s="54"/>
      <c r="AB1026" s="54"/>
      <c r="AC1026" s="54"/>
      <c r="AD1026" s="54"/>
    </row>
  </sheetData>
  <mergeCells count="1006">
    <mergeCell ref="A1:I1"/>
    <mergeCell ref="B2:D2"/>
    <mergeCell ref="B3:C3"/>
    <mergeCell ref="B4:C4"/>
    <mergeCell ref="B6:C6"/>
    <mergeCell ref="B7:C7"/>
    <mergeCell ref="B8:C8"/>
    <mergeCell ref="B9:C9"/>
    <mergeCell ref="B10:C10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A89:D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A103:D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A112:D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A132:D132"/>
    <mergeCell ref="B133:C133"/>
    <mergeCell ref="B134:C134"/>
    <mergeCell ref="B135:C135"/>
    <mergeCell ref="B136:C136"/>
    <mergeCell ref="B137:C137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707:D707"/>
    <mergeCell ref="B708:D708"/>
    <mergeCell ref="B709:D709"/>
    <mergeCell ref="B710:D710"/>
    <mergeCell ref="B711:D711"/>
    <mergeCell ref="B712:D712"/>
    <mergeCell ref="B713:D713"/>
    <mergeCell ref="B714:D714"/>
    <mergeCell ref="B715:D715"/>
    <mergeCell ref="B716:D716"/>
    <mergeCell ref="B717:D717"/>
    <mergeCell ref="B718:D718"/>
    <mergeCell ref="B719:D719"/>
    <mergeCell ref="B720:D720"/>
    <mergeCell ref="B721:D721"/>
    <mergeCell ref="B722:D722"/>
    <mergeCell ref="B723:D723"/>
    <mergeCell ref="B724:D724"/>
    <mergeCell ref="B725:D725"/>
    <mergeCell ref="B726:D726"/>
    <mergeCell ref="B727:D727"/>
    <mergeCell ref="B728:D728"/>
    <mergeCell ref="B729:D729"/>
    <mergeCell ref="B730:D730"/>
    <mergeCell ref="B731:D731"/>
    <mergeCell ref="B732:D732"/>
    <mergeCell ref="B733:D733"/>
    <mergeCell ref="B734:D734"/>
    <mergeCell ref="B735:D735"/>
    <mergeCell ref="B736:D736"/>
    <mergeCell ref="B737:D737"/>
    <mergeCell ref="B738:D738"/>
    <mergeCell ref="B739:D739"/>
    <mergeCell ref="B740:D740"/>
    <mergeCell ref="B741:D741"/>
    <mergeCell ref="B742:D742"/>
    <mergeCell ref="B743:D743"/>
    <mergeCell ref="B744:D744"/>
    <mergeCell ref="B745:D745"/>
    <mergeCell ref="B746:D746"/>
    <mergeCell ref="B747:D747"/>
    <mergeCell ref="B748:D748"/>
    <mergeCell ref="B749:D749"/>
    <mergeCell ref="B750:D750"/>
    <mergeCell ref="B751:D751"/>
    <mergeCell ref="B752:D752"/>
    <mergeCell ref="B753:D753"/>
    <mergeCell ref="B754:D754"/>
    <mergeCell ref="B755:D755"/>
    <mergeCell ref="B756:D756"/>
    <mergeCell ref="B757:D757"/>
    <mergeCell ref="B758:D758"/>
    <mergeCell ref="B759:D759"/>
    <mergeCell ref="B760:D760"/>
    <mergeCell ref="B761:D761"/>
    <mergeCell ref="B762:D762"/>
    <mergeCell ref="B763:D763"/>
    <mergeCell ref="B764:D764"/>
    <mergeCell ref="B765:D765"/>
    <mergeCell ref="B766:D766"/>
    <mergeCell ref="B767:D767"/>
    <mergeCell ref="B768:D768"/>
    <mergeCell ref="B769:D769"/>
    <mergeCell ref="B770:D770"/>
    <mergeCell ref="B771:D771"/>
    <mergeCell ref="B772:D772"/>
    <mergeCell ref="B773:D773"/>
    <mergeCell ref="B774:D774"/>
    <mergeCell ref="B775:D775"/>
    <mergeCell ref="B776:D776"/>
    <mergeCell ref="B777:D777"/>
    <mergeCell ref="B778:D778"/>
    <mergeCell ref="B779:D779"/>
    <mergeCell ref="B780:D780"/>
    <mergeCell ref="B781:D781"/>
    <mergeCell ref="B782:D782"/>
    <mergeCell ref="B783:D783"/>
    <mergeCell ref="B784:D784"/>
    <mergeCell ref="B785:D785"/>
    <mergeCell ref="B786:D786"/>
    <mergeCell ref="B787:D787"/>
    <mergeCell ref="B788:D788"/>
    <mergeCell ref="B789:D789"/>
    <mergeCell ref="B790:D790"/>
    <mergeCell ref="B791:D791"/>
    <mergeCell ref="B792:D792"/>
    <mergeCell ref="B793:D793"/>
    <mergeCell ref="B794:D794"/>
    <mergeCell ref="B795:D795"/>
    <mergeCell ref="B796:D796"/>
    <mergeCell ref="B797:D797"/>
    <mergeCell ref="B798:D798"/>
    <mergeCell ref="B799:D799"/>
    <mergeCell ref="B800:D800"/>
    <mergeCell ref="B801:D801"/>
    <mergeCell ref="B802:D802"/>
    <mergeCell ref="B803:D803"/>
    <mergeCell ref="B804:D804"/>
    <mergeCell ref="B805:D805"/>
    <mergeCell ref="B806:D806"/>
    <mergeCell ref="B807:D807"/>
    <mergeCell ref="B808:D808"/>
    <mergeCell ref="B809:D809"/>
    <mergeCell ref="B810:D810"/>
    <mergeCell ref="B811:D811"/>
    <mergeCell ref="B812:D812"/>
    <mergeCell ref="B813:D813"/>
    <mergeCell ref="B814:D814"/>
    <mergeCell ref="B815:D815"/>
    <mergeCell ref="B816:D816"/>
    <mergeCell ref="B817:D817"/>
    <mergeCell ref="B818:D818"/>
    <mergeCell ref="B819:D819"/>
    <mergeCell ref="B820:D820"/>
    <mergeCell ref="B821:D821"/>
    <mergeCell ref="B822:D822"/>
    <mergeCell ref="B823:D823"/>
    <mergeCell ref="B824:D824"/>
    <mergeCell ref="B825:D825"/>
    <mergeCell ref="B826:D826"/>
    <mergeCell ref="B827:D827"/>
    <mergeCell ref="B828:D828"/>
    <mergeCell ref="B829:D829"/>
    <mergeCell ref="B830:D830"/>
    <mergeCell ref="B831:D831"/>
    <mergeCell ref="B832:D832"/>
    <mergeCell ref="B833:D833"/>
    <mergeCell ref="B834:D834"/>
    <mergeCell ref="B835:D835"/>
    <mergeCell ref="B836:D836"/>
    <mergeCell ref="B837:D837"/>
    <mergeCell ref="B838:D838"/>
    <mergeCell ref="B839:D839"/>
    <mergeCell ref="B840:D840"/>
    <mergeCell ref="B841:D841"/>
    <mergeCell ref="B842:D842"/>
    <mergeCell ref="B843:D843"/>
    <mergeCell ref="B844:D844"/>
    <mergeCell ref="B845:D845"/>
    <mergeCell ref="B846:D846"/>
    <mergeCell ref="B847:D847"/>
    <mergeCell ref="B848:D848"/>
    <mergeCell ref="B849:D849"/>
    <mergeCell ref="B850:D850"/>
    <mergeCell ref="B851:D851"/>
    <mergeCell ref="B852:D852"/>
    <mergeCell ref="B853:D853"/>
    <mergeCell ref="B854:D854"/>
    <mergeCell ref="B855:D855"/>
    <mergeCell ref="B856:D856"/>
    <mergeCell ref="B857:D857"/>
    <mergeCell ref="B858:D858"/>
    <mergeCell ref="B859:D859"/>
    <mergeCell ref="B860:D860"/>
    <mergeCell ref="B861:D861"/>
    <mergeCell ref="B862:D862"/>
    <mergeCell ref="B863:D863"/>
    <mergeCell ref="B864:D864"/>
    <mergeCell ref="B865:D865"/>
    <mergeCell ref="B866:D866"/>
    <mergeCell ref="B867:D867"/>
    <mergeCell ref="B868:D868"/>
    <mergeCell ref="B869:D869"/>
    <mergeCell ref="B870:D870"/>
    <mergeCell ref="B871:D871"/>
    <mergeCell ref="B872:D872"/>
    <mergeCell ref="B873:D873"/>
    <mergeCell ref="B874:D874"/>
    <mergeCell ref="B875:D875"/>
    <mergeCell ref="B876:D876"/>
    <mergeCell ref="B877:D877"/>
    <mergeCell ref="B878:D878"/>
    <mergeCell ref="B879:D879"/>
    <mergeCell ref="B880:D880"/>
    <mergeCell ref="B881:D881"/>
    <mergeCell ref="B882:D882"/>
    <mergeCell ref="B883:D883"/>
    <mergeCell ref="B884:D884"/>
    <mergeCell ref="B885:D885"/>
    <mergeCell ref="B886:D886"/>
    <mergeCell ref="B887:D887"/>
    <mergeCell ref="B888:D888"/>
    <mergeCell ref="B889:D889"/>
    <mergeCell ref="B890:D890"/>
    <mergeCell ref="B891:D891"/>
    <mergeCell ref="B892:D892"/>
    <mergeCell ref="B893:D893"/>
    <mergeCell ref="B894:D894"/>
    <mergeCell ref="B895:D895"/>
    <mergeCell ref="B896:D896"/>
    <mergeCell ref="B897:D897"/>
    <mergeCell ref="B898:D898"/>
    <mergeCell ref="B899:D899"/>
    <mergeCell ref="B900:D900"/>
    <mergeCell ref="B901:D901"/>
    <mergeCell ref="B902:D902"/>
    <mergeCell ref="B903:D903"/>
    <mergeCell ref="B904:D904"/>
    <mergeCell ref="B905:D905"/>
    <mergeCell ref="B906:D906"/>
    <mergeCell ref="B907:D907"/>
    <mergeCell ref="B908:D908"/>
    <mergeCell ref="B909:D909"/>
    <mergeCell ref="B910:D910"/>
    <mergeCell ref="B911:D911"/>
    <mergeCell ref="B912:D912"/>
    <mergeCell ref="B913:D913"/>
    <mergeCell ref="B914:D914"/>
    <mergeCell ref="B915:D915"/>
    <mergeCell ref="B916:D916"/>
    <mergeCell ref="B917:D917"/>
    <mergeCell ref="B918:D918"/>
    <mergeCell ref="B919:D919"/>
    <mergeCell ref="B920:D920"/>
    <mergeCell ref="B921:D921"/>
    <mergeCell ref="B922:D922"/>
    <mergeCell ref="B923:D923"/>
    <mergeCell ref="B924:D924"/>
    <mergeCell ref="B925:D925"/>
    <mergeCell ref="B926:D926"/>
    <mergeCell ref="B927:D927"/>
    <mergeCell ref="B928:D928"/>
    <mergeCell ref="B929:D929"/>
    <mergeCell ref="B930:D930"/>
    <mergeCell ref="B931:D931"/>
    <mergeCell ref="B932:D932"/>
    <mergeCell ref="B933:D933"/>
    <mergeCell ref="B934:D934"/>
    <mergeCell ref="B935:D935"/>
    <mergeCell ref="B936:D936"/>
    <mergeCell ref="B937:D937"/>
    <mergeCell ref="B938:D938"/>
    <mergeCell ref="B939:D939"/>
    <mergeCell ref="B940:D940"/>
    <mergeCell ref="B941:D941"/>
    <mergeCell ref="B942:D942"/>
    <mergeCell ref="B943:D943"/>
    <mergeCell ref="B944:D944"/>
    <mergeCell ref="B945:D945"/>
    <mergeCell ref="B946:D946"/>
    <mergeCell ref="B947:D947"/>
    <mergeCell ref="B948:D948"/>
    <mergeCell ref="B949:D949"/>
    <mergeCell ref="B950:D950"/>
    <mergeCell ref="B951:D951"/>
    <mergeCell ref="B1001:D1001"/>
    <mergeCell ref="B1002:D1002"/>
    <mergeCell ref="B1003:D1003"/>
    <mergeCell ref="B1004:D1004"/>
    <mergeCell ref="B1005:D1005"/>
    <mergeCell ref="B1006:D1006"/>
    <mergeCell ref="B1007:D1007"/>
    <mergeCell ref="B1008:D1008"/>
    <mergeCell ref="B1009:D1009"/>
    <mergeCell ref="B1010:D1010"/>
    <mergeCell ref="B1011:D1011"/>
    <mergeCell ref="B1012:D1012"/>
    <mergeCell ref="B1013:D1013"/>
    <mergeCell ref="B1014:D1014"/>
    <mergeCell ref="B1022:D1022"/>
    <mergeCell ref="B1023:D1023"/>
    <mergeCell ref="B1024:D1024"/>
    <mergeCell ref="B1025:D1025"/>
    <mergeCell ref="B1026:D1026"/>
    <mergeCell ref="B1015:D1015"/>
    <mergeCell ref="B1016:D1016"/>
    <mergeCell ref="B1017:D1017"/>
    <mergeCell ref="B1018:D1018"/>
    <mergeCell ref="B1019:D1019"/>
    <mergeCell ref="B1020:D1020"/>
    <mergeCell ref="B1021:D1021"/>
    <mergeCell ref="B952:D952"/>
    <mergeCell ref="B953:D953"/>
    <mergeCell ref="B954:D954"/>
    <mergeCell ref="B955:D955"/>
    <mergeCell ref="B956:D956"/>
    <mergeCell ref="B957:D957"/>
    <mergeCell ref="B958:D958"/>
    <mergeCell ref="B959:D959"/>
    <mergeCell ref="B960:D960"/>
    <mergeCell ref="B961:D961"/>
    <mergeCell ref="B962:D962"/>
    <mergeCell ref="B963:D963"/>
    <mergeCell ref="B964:D964"/>
    <mergeCell ref="B965:D965"/>
    <mergeCell ref="B966:D966"/>
    <mergeCell ref="B967:D967"/>
    <mergeCell ref="B968:D968"/>
    <mergeCell ref="B969:D969"/>
    <mergeCell ref="B970:D970"/>
    <mergeCell ref="B971:D971"/>
    <mergeCell ref="B972:D972"/>
    <mergeCell ref="B973:D973"/>
    <mergeCell ref="B974:D974"/>
    <mergeCell ref="B975:D975"/>
    <mergeCell ref="B976:D976"/>
    <mergeCell ref="B977:D977"/>
    <mergeCell ref="B978:D978"/>
    <mergeCell ref="B979:D979"/>
    <mergeCell ref="B980:D980"/>
    <mergeCell ref="B981:D981"/>
    <mergeCell ref="B982:D982"/>
    <mergeCell ref="B983:D983"/>
    <mergeCell ref="B984:D984"/>
    <mergeCell ref="B985:D985"/>
    <mergeCell ref="B986:D986"/>
    <mergeCell ref="B987:D987"/>
    <mergeCell ref="B988:D988"/>
    <mergeCell ref="B989:D989"/>
    <mergeCell ref="B990:D990"/>
    <mergeCell ref="B991:D991"/>
    <mergeCell ref="B992:D992"/>
    <mergeCell ref="B993:D993"/>
    <mergeCell ref="B994:D994"/>
    <mergeCell ref="B995:D995"/>
    <mergeCell ref="B996:D996"/>
    <mergeCell ref="B997:D997"/>
    <mergeCell ref="B998:D998"/>
    <mergeCell ref="B999:D999"/>
    <mergeCell ref="B1000:D1000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D449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79:D579"/>
    <mergeCell ref="B580:D580"/>
    <mergeCell ref="B581:D581"/>
    <mergeCell ref="B582:D582"/>
    <mergeCell ref="B583:D583"/>
    <mergeCell ref="B584:D584"/>
    <mergeCell ref="B585:D585"/>
    <mergeCell ref="B586:D586"/>
    <mergeCell ref="B587:D587"/>
    <mergeCell ref="B588:D588"/>
    <mergeCell ref="B589:D589"/>
    <mergeCell ref="B590:D590"/>
    <mergeCell ref="B591:D591"/>
    <mergeCell ref="B592:D592"/>
    <mergeCell ref="B593:D593"/>
    <mergeCell ref="B594:D594"/>
    <mergeCell ref="B595:D595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13:D613"/>
    <mergeCell ref="B614:D614"/>
    <mergeCell ref="B615:D615"/>
    <mergeCell ref="B616:D616"/>
    <mergeCell ref="B617:D617"/>
    <mergeCell ref="B618:D618"/>
    <mergeCell ref="B619:D619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D640"/>
    <mergeCell ref="B641:D641"/>
    <mergeCell ref="B642:D642"/>
    <mergeCell ref="B643:D643"/>
    <mergeCell ref="B644:D644"/>
    <mergeCell ref="B645:D645"/>
    <mergeCell ref="B646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  <mergeCell ref="B671:D671"/>
    <mergeCell ref="B672:D672"/>
    <mergeCell ref="B673:D673"/>
    <mergeCell ref="B674:D674"/>
    <mergeCell ref="B675:D675"/>
    <mergeCell ref="B676:D676"/>
    <mergeCell ref="B677:D677"/>
    <mergeCell ref="B678:D678"/>
    <mergeCell ref="B679:D679"/>
    <mergeCell ref="B680:D680"/>
    <mergeCell ref="B681:D681"/>
    <mergeCell ref="B682:D682"/>
    <mergeCell ref="B683:D683"/>
    <mergeCell ref="B684:D684"/>
    <mergeCell ref="B685:D685"/>
    <mergeCell ref="B686:D686"/>
    <mergeCell ref="B687:D687"/>
    <mergeCell ref="B688:D688"/>
    <mergeCell ref="B689:D689"/>
    <mergeCell ref="B690:D690"/>
    <mergeCell ref="B691:D691"/>
    <mergeCell ref="B692:D692"/>
    <mergeCell ref="B693:D693"/>
    <mergeCell ref="B694:D694"/>
    <mergeCell ref="B695:D695"/>
    <mergeCell ref="B696:D696"/>
    <mergeCell ref="B697:D697"/>
    <mergeCell ref="B698:D698"/>
    <mergeCell ref="B699:D699"/>
    <mergeCell ref="B700:D700"/>
    <mergeCell ref="B701:D701"/>
    <mergeCell ref="B702:D702"/>
    <mergeCell ref="B703:D703"/>
    <mergeCell ref="B704:D704"/>
    <mergeCell ref="B705:D705"/>
    <mergeCell ref="B706:D70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44.43"/>
    <col customWidth="1" min="3" max="3" width="10.57"/>
    <col customWidth="1" min="4" max="4" width="12.86"/>
    <col customWidth="1" min="5" max="5" width="21.14"/>
    <col customWidth="1" min="6" max="6" width="23.14"/>
    <col customWidth="1" min="7" max="7" width="17.57"/>
  </cols>
  <sheetData>
    <row r="1" ht="61.5" customHeight="1">
      <c r="A1" s="367"/>
      <c r="B1" s="368"/>
      <c r="C1" s="176"/>
      <c r="D1" s="369"/>
      <c r="E1" s="369"/>
      <c r="F1" s="370" t="s">
        <v>703</v>
      </c>
      <c r="G1" s="371">
        <f>1350</f>
        <v>1350</v>
      </c>
      <c r="H1" s="372"/>
      <c r="I1" s="372"/>
    </row>
    <row r="2">
      <c r="A2" s="373" t="s">
        <v>704</v>
      </c>
      <c r="B2" s="373" t="s">
        <v>705</v>
      </c>
      <c r="C2" s="374" t="s">
        <v>706</v>
      </c>
      <c r="D2" s="375" t="s">
        <v>707</v>
      </c>
      <c r="E2" s="375" t="s">
        <v>708</v>
      </c>
      <c r="F2" s="376" t="s">
        <v>263</v>
      </c>
      <c r="G2" s="377" t="s">
        <v>24</v>
      </c>
      <c r="H2" s="378" t="s">
        <v>25</v>
      </c>
      <c r="I2" s="379" t="s">
        <v>26</v>
      </c>
    </row>
    <row r="3">
      <c r="A3" s="380" t="s">
        <v>709</v>
      </c>
      <c r="B3" s="381" t="s">
        <v>710</v>
      </c>
      <c r="C3" s="382">
        <v>130.0</v>
      </c>
      <c r="D3" s="383">
        <v>0.154</v>
      </c>
      <c r="E3" s="384">
        <f t="shared" ref="E3:E8" si="2">D3*$G$1</f>
        <v>207.9</v>
      </c>
      <c r="F3" s="385">
        <f t="shared" ref="F3:F8" si="3">E3/(1-0.45)</f>
        <v>378</v>
      </c>
      <c r="G3" s="386">
        <f t="shared" ref="G3:G8" si="4">E3/(1-0.5)</f>
        <v>415.8</v>
      </c>
      <c r="H3" s="387"/>
      <c r="I3" s="388">
        <f t="shared" ref="I3:I8" si="5">C3-H3</f>
        <v>130</v>
      </c>
      <c r="J3" s="389">
        <f t="shared" ref="J3:K3" si="1">ROUNDUP(F3,-2)</f>
        <v>400</v>
      </c>
      <c r="K3" s="389">
        <f t="shared" si="1"/>
        <v>500</v>
      </c>
    </row>
    <row r="4">
      <c r="A4" s="380" t="s">
        <v>711</v>
      </c>
      <c r="B4" s="381" t="s">
        <v>712</v>
      </c>
      <c r="C4" s="382">
        <v>130.0</v>
      </c>
      <c r="D4" s="383">
        <v>0.154</v>
      </c>
      <c r="E4" s="384">
        <f t="shared" si="2"/>
        <v>207.9</v>
      </c>
      <c r="F4" s="385">
        <f t="shared" si="3"/>
        <v>378</v>
      </c>
      <c r="G4" s="386">
        <f t="shared" si="4"/>
        <v>415.8</v>
      </c>
      <c r="H4" s="390"/>
      <c r="I4" s="388">
        <f t="shared" si="5"/>
        <v>130</v>
      </c>
      <c r="J4" s="389">
        <f t="shared" ref="J4:K4" si="6">ROUNDUP(F4,-2)</f>
        <v>400</v>
      </c>
      <c r="K4" s="389">
        <f t="shared" si="6"/>
        <v>500</v>
      </c>
    </row>
    <row r="5">
      <c r="A5" s="380" t="s">
        <v>713</v>
      </c>
      <c r="B5" s="381" t="s">
        <v>714</v>
      </c>
      <c r="C5" s="382">
        <v>130.0</v>
      </c>
      <c r="D5" s="383">
        <v>0.154</v>
      </c>
      <c r="E5" s="384">
        <f t="shared" si="2"/>
        <v>207.9</v>
      </c>
      <c r="F5" s="385">
        <f t="shared" si="3"/>
        <v>378</v>
      </c>
      <c r="G5" s="386">
        <f t="shared" si="4"/>
        <v>415.8</v>
      </c>
      <c r="H5" s="387">
        <v>2.0</v>
      </c>
      <c r="I5" s="388">
        <f t="shared" si="5"/>
        <v>128</v>
      </c>
      <c r="J5" s="389">
        <f t="shared" ref="J5:K5" si="7">ROUNDUP(F5,-2)</f>
        <v>400</v>
      </c>
      <c r="K5" s="389">
        <f t="shared" si="7"/>
        <v>500</v>
      </c>
    </row>
    <row r="6">
      <c r="A6" s="380" t="s">
        <v>715</v>
      </c>
      <c r="B6" s="381" t="s">
        <v>716</v>
      </c>
      <c r="C6" s="382">
        <v>130.0</v>
      </c>
      <c r="D6" s="383">
        <v>0.154</v>
      </c>
      <c r="E6" s="384">
        <f t="shared" si="2"/>
        <v>207.9</v>
      </c>
      <c r="F6" s="385">
        <f t="shared" si="3"/>
        <v>378</v>
      </c>
      <c r="G6" s="386">
        <f t="shared" si="4"/>
        <v>415.8</v>
      </c>
      <c r="H6" s="390"/>
      <c r="I6" s="388">
        <f t="shared" si="5"/>
        <v>130</v>
      </c>
      <c r="J6" s="389">
        <f t="shared" ref="J6:K6" si="8">ROUNDUP(F6,-2)</f>
        <v>400</v>
      </c>
      <c r="K6" s="389">
        <f t="shared" si="8"/>
        <v>500</v>
      </c>
    </row>
    <row r="7">
      <c r="A7" s="380" t="s">
        <v>717</v>
      </c>
      <c r="B7" s="381" t="s">
        <v>718</v>
      </c>
      <c r="C7" s="382">
        <v>130.0</v>
      </c>
      <c r="D7" s="383">
        <v>0.154</v>
      </c>
      <c r="E7" s="384">
        <f t="shared" si="2"/>
        <v>207.9</v>
      </c>
      <c r="F7" s="385">
        <f t="shared" si="3"/>
        <v>378</v>
      </c>
      <c r="G7" s="386">
        <f t="shared" si="4"/>
        <v>415.8</v>
      </c>
      <c r="H7" s="390"/>
      <c r="I7" s="388">
        <f t="shared" si="5"/>
        <v>130</v>
      </c>
      <c r="J7" s="389">
        <f t="shared" ref="J7:K7" si="9">ROUNDUP(F7,-2)</f>
        <v>400</v>
      </c>
      <c r="K7" s="389">
        <f t="shared" si="9"/>
        <v>500</v>
      </c>
    </row>
    <row r="8">
      <c r="A8" s="380" t="s">
        <v>719</v>
      </c>
      <c r="B8" s="381" t="s">
        <v>720</v>
      </c>
      <c r="C8" s="382">
        <v>130.0</v>
      </c>
      <c r="D8" s="383">
        <v>0.154</v>
      </c>
      <c r="E8" s="384">
        <f t="shared" si="2"/>
        <v>207.9</v>
      </c>
      <c r="F8" s="385">
        <f t="shared" si="3"/>
        <v>378</v>
      </c>
      <c r="G8" s="386">
        <f t="shared" si="4"/>
        <v>415.8</v>
      </c>
      <c r="H8" s="391"/>
      <c r="I8" s="388">
        <f t="shared" si="5"/>
        <v>130</v>
      </c>
    </row>
    <row r="9" ht="1.5" customHeight="1">
      <c r="A9" s="392"/>
      <c r="B9" s="392"/>
      <c r="C9" s="393"/>
      <c r="D9" s="394"/>
      <c r="E9" s="395"/>
      <c r="F9" s="396"/>
      <c r="G9" s="396"/>
      <c r="H9" s="397"/>
      <c r="I9" s="398"/>
      <c r="J9" s="399"/>
      <c r="K9" s="399"/>
      <c r="L9" s="399"/>
      <c r="M9" s="399"/>
      <c r="N9" s="399"/>
      <c r="O9" s="399"/>
      <c r="P9" s="399"/>
      <c r="Q9" s="399"/>
      <c r="R9" s="399"/>
      <c r="S9" s="399"/>
      <c r="T9" s="399"/>
      <c r="U9" s="399"/>
      <c r="V9" s="399"/>
      <c r="W9" s="399"/>
      <c r="X9" s="399"/>
      <c r="Y9" s="399"/>
      <c r="Z9" s="399"/>
      <c r="AA9" s="399"/>
      <c r="AB9" s="399"/>
      <c r="AC9" s="399"/>
    </row>
    <row r="10">
      <c r="A10" s="380" t="s">
        <v>721</v>
      </c>
      <c r="B10" s="400" t="s">
        <v>722</v>
      </c>
      <c r="C10" s="382">
        <v>230.0</v>
      </c>
      <c r="D10" s="383">
        <v>0.2135</v>
      </c>
      <c r="E10" s="384">
        <f t="shared" ref="E10:E15" si="11">D10*$G$1</f>
        <v>288.225</v>
      </c>
      <c r="F10" s="385">
        <f t="shared" ref="F10:F15" si="12">E10/(1-0.45)</f>
        <v>524.0454545</v>
      </c>
      <c r="G10" s="386">
        <f t="shared" ref="G10:G15" si="13">E10/(1-0.5)</f>
        <v>576.45</v>
      </c>
      <c r="H10" s="390"/>
      <c r="I10" s="388">
        <f t="shared" ref="I10:I15" si="14">C10-H10</f>
        <v>230</v>
      </c>
      <c r="J10" s="389">
        <f t="shared" ref="J10:K10" si="10">ROUNDUP(F10,-2)</f>
        <v>600</v>
      </c>
      <c r="K10" s="389">
        <f t="shared" si="10"/>
        <v>600</v>
      </c>
    </row>
    <row r="11">
      <c r="A11" s="380" t="s">
        <v>723</v>
      </c>
      <c r="B11" s="400" t="s">
        <v>724</v>
      </c>
      <c r="C11" s="382">
        <v>230.0</v>
      </c>
      <c r="D11" s="383">
        <v>0.2135</v>
      </c>
      <c r="E11" s="384">
        <f t="shared" si="11"/>
        <v>288.225</v>
      </c>
      <c r="F11" s="385">
        <f t="shared" si="12"/>
        <v>524.0454545</v>
      </c>
      <c r="G11" s="386">
        <f t="shared" si="13"/>
        <v>576.45</v>
      </c>
      <c r="H11" s="390"/>
      <c r="I11" s="388">
        <f t="shared" si="14"/>
        <v>230</v>
      </c>
      <c r="J11" s="389">
        <f t="shared" ref="J11:K11" si="15">ROUNDUP(F11,-2)</f>
        <v>600</v>
      </c>
      <c r="K11" s="389">
        <f t="shared" si="15"/>
        <v>600</v>
      </c>
    </row>
    <row r="12">
      <c r="A12" s="380" t="s">
        <v>725</v>
      </c>
      <c r="B12" s="400" t="s">
        <v>726</v>
      </c>
      <c r="C12" s="382">
        <v>230.0</v>
      </c>
      <c r="D12" s="383">
        <v>0.2135</v>
      </c>
      <c r="E12" s="384">
        <f t="shared" si="11"/>
        <v>288.225</v>
      </c>
      <c r="F12" s="385">
        <f t="shared" si="12"/>
        <v>524.0454545</v>
      </c>
      <c r="G12" s="386">
        <f t="shared" si="13"/>
        <v>576.45</v>
      </c>
      <c r="H12" s="390"/>
      <c r="I12" s="388">
        <f t="shared" si="14"/>
        <v>230</v>
      </c>
      <c r="J12" s="389">
        <f t="shared" ref="J12:K12" si="16">ROUNDUP(F12,-2)</f>
        <v>600</v>
      </c>
      <c r="K12" s="389">
        <f t="shared" si="16"/>
        <v>600</v>
      </c>
    </row>
    <row r="13">
      <c r="A13" s="380" t="s">
        <v>727</v>
      </c>
      <c r="B13" s="400" t="s">
        <v>728</v>
      </c>
      <c r="C13" s="382">
        <v>230.0</v>
      </c>
      <c r="D13" s="383">
        <v>0.2135</v>
      </c>
      <c r="E13" s="384">
        <f t="shared" si="11"/>
        <v>288.225</v>
      </c>
      <c r="F13" s="385">
        <f t="shared" si="12"/>
        <v>524.0454545</v>
      </c>
      <c r="G13" s="386">
        <f t="shared" si="13"/>
        <v>576.45</v>
      </c>
      <c r="H13" s="390"/>
      <c r="I13" s="388">
        <f t="shared" si="14"/>
        <v>230</v>
      </c>
      <c r="J13" s="389">
        <f t="shared" ref="J13:K13" si="17">ROUNDUP(F13,-2)</f>
        <v>600</v>
      </c>
      <c r="K13" s="389">
        <f t="shared" si="17"/>
        <v>600</v>
      </c>
    </row>
    <row r="14">
      <c r="A14" s="380" t="s">
        <v>729</v>
      </c>
      <c r="B14" s="400" t="s">
        <v>730</v>
      </c>
      <c r="C14" s="382">
        <v>230.0</v>
      </c>
      <c r="D14" s="383">
        <v>0.2135</v>
      </c>
      <c r="E14" s="384">
        <f t="shared" si="11"/>
        <v>288.225</v>
      </c>
      <c r="F14" s="385">
        <f t="shared" si="12"/>
        <v>524.0454545</v>
      </c>
      <c r="G14" s="386">
        <f t="shared" si="13"/>
        <v>576.45</v>
      </c>
      <c r="H14" s="390"/>
      <c r="I14" s="388">
        <f t="shared" si="14"/>
        <v>230</v>
      </c>
      <c r="J14" s="389">
        <f t="shared" ref="J14:K14" si="18">ROUNDUP(F14,-2)</f>
        <v>600</v>
      </c>
      <c r="K14" s="389">
        <f t="shared" si="18"/>
        <v>600</v>
      </c>
    </row>
    <row r="15">
      <c r="A15" s="380" t="s">
        <v>731</v>
      </c>
      <c r="B15" s="400" t="s">
        <v>732</v>
      </c>
      <c r="C15" s="382">
        <v>230.0</v>
      </c>
      <c r="D15" s="383">
        <v>0.2135</v>
      </c>
      <c r="E15" s="384">
        <f t="shared" si="11"/>
        <v>288.225</v>
      </c>
      <c r="F15" s="385">
        <f t="shared" si="12"/>
        <v>524.0454545</v>
      </c>
      <c r="G15" s="386">
        <f t="shared" si="13"/>
        <v>576.45</v>
      </c>
      <c r="H15" s="391"/>
      <c r="I15" s="388">
        <f t="shared" si="14"/>
        <v>230</v>
      </c>
    </row>
    <row r="16" ht="1.5" customHeight="1">
      <c r="A16" s="392"/>
      <c r="B16" s="392"/>
      <c r="C16" s="393"/>
      <c r="D16" s="394"/>
      <c r="E16" s="395"/>
      <c r="F16" s="396"/>
      <c r="G16" s="396"/>
      <c r="H16" s="397"/>
      <c r="I16" s="398"/>
      <c r="J16" s="399"/>
      <c r="K16" s="399"/>
      <c r="L16" s="399"/>
      <c r="M16" s="399"/>
      <c r="N16" s="399"/>
      <c r="O16" s="399"/>
      <c r="P16" s="399"/>
      <c r="Q16" s="399"/>
      <c r="R16" s="399"/>
      <c r="S16" s="399"/>
      <c r="T16" s="399"/>
      <c r="U16" s="399"/>
      <c r="V16" s="399"/>
      <c r="W16" s="399"/>
      <c r="X16" s="399"/>
      <c r="Y16" s="399"/>
      <c r="Z16" s="399"/>
      <c r="AA16" s="399"/>
      <c r="AB16" s="399"/>
      <c r="AC16" s="399"/>
    </row>
    <row r="17">
      <c r="A17" s="401" t="s">
        <v>733</v>
      </c>
      <c r="B17" s="402" t="s">
        <v>734</v>
      </c>
      <c r="C17" s="382">
        <v>230.0</v>
      </c>
      <c r="D17" s="383">
        <v>0.3382</v>
      </c>
      <c r="E17" s="384">
        <f t="shared" ref="E17:E22" si="20">D17*$G$1</f>
        <v>456.57</v>
      </c>
      <c r="F17" s="385">
        <f t="shared" ref="F17:F22" si="21">E17/(1-0.45)</f>
        <v>830.1272727</v>
      </c>
      <c r="G17" s="386">
        <f t="shared" ref="G17:G22" si="22">E17/(1-0.5)</f>
        <v>913.14</v>
      </c>
      <c r="H17" s="390"/>
      <c r="I17" s="388">
        <f t="shared" ref="I17:I22" si="23">C17-H17</f>
        <v>230</v>
      </c>
      <c r="J17" s="389">
        <f t="shared" ref="J17:K17" si="19">ROUNDUP(F17,-2)</f>
        <v>900</v>
      </c>
      <c r="K17" s="389">
        <f t="shared" si="19"/>
        <v>1000</v>
      </c>
    </row>
    <row r="18">
      <c r="A18" s="401" t="s">
        <v>735</v>
      </c>
      <c r="B18" s="402" t="s">
        <v>736</v>
      </c>
      <c r="C18" s="382">
        <v>230.0</v>
      </c>
      <c r="D18" s="383">
        <v>0.3382</v>
      </c>
      <c r="E18" s="384">
        <f t="shared" si="20"/>
        <v>456.57</v>
      </c>
      <c r="F18" s="385">
        <f t="shared" si="21"/>
        <v>830.1272727</v>
      </c>
      <c r="G18" s="386">
        <f t="shared" si="22"/>
        <v>913.14</v>
      </c>
      <c r="H18" s="390"/>
      <c r="I18" s="388">
        <f t="shared" si="23"/>
        <v>230</v>
      </c>
      <c r="J18" s="389">
        <f t="shared" ref="J18:K18" si="24">ROUNDUP(F18,-2)</f>
        <v>900</v>
      </c>
      <c r="K18" s="389">
        <f t="shared" si="24"/>
        <v>1000</v>
      </c>
    </row>
    <row r="19">
      <c r="A19" s="401" t="s">
        <v>737</v>
      </c>
      <c r="B19" s="402" t="s">
        <v>738</v>
      </c>
      <c r="C19" s="382">
        <v>230.0</v>
      </c>
      <c r="D19" s="383">
        <v>0.3382</v>
      </c>
      <c r="E19" s="384">
        <f t="shared" si="20"/>
        <v>456.57</v>
      </c>
      <c r="F19" s="385">
        <f t="shared" si="21"/>
        <v>830.1272727</v>
      </c>
      <c r="G19" s="386">
        <f t="shared" si="22"/>
        <v>913.14</v>
      </c>
      <c r="H19" s="390"/>
      <c r="I19" s="388">
        <f t="shared" si="23"/>
        <v>230</v>
      </c>
      <c r="J19" s="389">
        <f t="shared" ref="J19:K19" si="25">ROUNDUP(F19,-2)</f>
        <v>900</v>
      </c>
      <c r="K19" s="389">
        <f t="shared" si="25"/>
        <v>1000</v>
      </c>
    </row>
    <row r="20">
      <c r="A20" s="401" t="s">
        <v>739</v>
      </c>
      <c r="B20" s="402" t="s">
        <v>740</v>
      </c>
      <c r="C20" s="382">
        <v>230.0</v>
      </c>
      <c r="D20" s="383">
        <v>0.3382</v>
      </c>
      <c r="E20" s="384">
        <f t="shared" si="20"/>
        <v>456.57</v>
      </c>
      <c r="F20" s="385">
        <f t="shared" si="21"/>
        <v>830.1272727</v>
      </c>
      <c r="G20" s="386">
        <f t="shared" si="22"/>
        <v>913.14</v>
      </c>
      <c r="H20" s="390"/>
      <c r="I20" s="388">
        <f t="shared" si="23"/>
        <v>230</v>
      </c>
      <c r="J20" s="389">
        <f t="shared" ref="J20:K20" si="26">ROUNDUP(F20,-2)</f>
        <v>900</v>
      </c>
      <c r="K20" s="389">
        <f t="shared" si="26"/>
        <v>1000</v>
      </c>
    </row>
    <row r="21">
      <c r="A21" s="401" t="s">
        <v>741</v>
      </c>
      <c r="B21" s="402" t="s">
        <v>742</v>
      </c>
      <c r="C21" s="382">
        <v>230.0</v>
      </c>
      <c r="D21" s="383">
        <v>0.3382</v>
      </c>
      <c r="E21" s="384">
        <f t="shared" si="20"/>
        <v>456.57</v>
      </c>
      <c r="F21" s="385">
        <f t="shared" si="21"/>
        <v>830.1272727</v>
      </c>
      <c r="G21" s="386">
        <f t="shared" si="22"/>
        <v>913.14</v>
      </c>
      <c r="H21" s="390"/>
      <c r="I21" s="388">
        <f t="shared" si="23"/>
        <v>230</v>
      </c>
      <c r="J21" s="389">
        <f t="shared" ref="J21:K21" si="27">ROUNDUP(F21,-2)</f>
        <v>900</v>
      </c>
      <c r="K21" s="389">
        <f t="shared" si="27"/>
        <v>1000</v>
      </c>
    </row>
    <row r="22">
      <c r="A22" s="401" t="s">
        <v>743</v>
      </c>
      <c r="B22" s="402" t="s">
        <v>744</v>
      </c>
      <c r="C22" s="382">
        <v>230.0</v>
      </c>
      <c r="D22" s="383">
        <v>0.3382</v>
      </c>
      <c r="E22" s="384">
        <f t="shared" si="20"/>
        <v>456.57</v>
      </c>
      <c r="F22" s="385">
        <f t="shared" si="21"/>
        <v>830.1272727</v>
      </c>
      <c r="G22" s="386">
        <f t="shared" si="22"/>
        <v>913.14</v>
      </c>
      <c r="H22" s="390"/>
      <c r="I22" s="388">
        <f t="shared" si="23"/>
        <v>230</v>
      </c>
      <c r="J22" s="389">
        <f t="shared" ref="J22:K22" si="28">ROUNDUP(F22,-2)</f>
        <v>900</v>
      </c>
      <c r="K22" s="389">
        <f t="shared" si="28"/>
        <v>1000</v>
      </c>
    </row>
    <row r="23" ht="1.5" customHeight="1">
      <c r="A23" s="392"/>
      <c r="B23" s="392"/>
      <c r="C23" s="393"/>
      <c r="D23" s="394"/>
      <c r="E23" s="395"/>
      <c r="F23" s="396"/>
      <c r="G23" s="396"/>
      <c r="H23" s="397"/>
      <c r="I23" s="398"/>
      <c r="J23" s="399"/>
      <c r="K23" s="399"/>
      <c r="L23" s="399"/>
      <c r="M23" s="399"/>
      <c r="N23" s="399"/>
      <c r="O23" s="399"/>
      <c r="P23" s="399"/>
      <c r="Q23" s="399"/>
      <c r="R23" s="399"/>
      <c r="S23" s="399"/>
      <c r="T23" s="399"/>
      <c r="U23" s="399"/>
      <c r="V23" s="399"/>
      <c r="W23" s="399"/>
      <c r="X23" s="399"/>
      <c r="Y23" s="399"/>
      <c r="Z23" s="399"/>
      <c r="AA23" s="399"/>
      <c r="AB23" s="399"/>
      <c r="AC23" s="399"/>
    </row>
    <row r="24">
      <c r="A24" s="380" t="s">
        <v>745</v>
      </c>
      <c r="B24" s="403" t="s">
        <v>746</v>
      </c>
      <c r="C24" s="382">
        <v>130.0</v>
      </c>
      <c r="D24" s="383">
        <v>0.545</v>
      </c>
      <c r="E24" s="384">
        <f t="shared" ref="E24:E29" si="30">D24*$G$1</f>
        <v>735.75</v>
      </c>
      <c r="F24" s="385">
        <f t="shared" ref="F24:F29" si="31">E24/(1-0.45)</f>
        <v>1337.727273</v>
      </c>
      <c r="G24" s="386">
        <f t="shared" ref="G24:G29" si="32">E24/(1-0.5)</f>
        <v>1471.5</v>
      </c>
      <c r="H24" s="390"/>
      <c r="I24" s="388">
        <f t="shared" ref="I24:I29" si="33">C24-H24</f>
        <v>130</v>
      </c>
      <c r="J24" s="389">
        <f t="shared" ref="J24:K24" si="29">ROUNDUP(F24,-2)</f>
        <v>1400</v>
      </c>
      <c r="K24" s="389">
        <f t="shared" si="29"/>
        <v>1500</v>
      </c>
    </row>
    <row r="25">
      <c r="A25" s="380" t="s">
        <v>747</v>
      </c>
      <c r="B25" s="403" t="s">
        <v>748</v>
      </c>
      <c r="C25" s="382">
        <v>130.0</v>
      </c>
      <c r="D25" s="383">
        <v>0.545</v>
      </c>
      <c r="E25" s="384">
        <f t="shared" si="30"/>
        <v>735.75</v>
      </c>
      <c r="F25" s="385">
        <f t="shared" si="31"/>
        <v>1337.727273</v>
      </c>
      <c r="G25" s="386">
        <f t="shared" si="32"/>
        <v>1471.5</v>
      </c>
      <c r="H25" s="390"/>
      <c r="I25" s="388">
        <f t="shared" si="33"/>
        <v>130</v>
      </c>
      <c r="J25" s="389">
        <f t="shared" ref="J25:K25" si="34">ROUNDUP(F25,-2)</f>
        <v>1400</v>
      </c>
      <c r="K25" s="389">
        <f t="shared" si="34"/>
        <v>1500</v>
      </c>
    </row>
    <row r="26">
      <c r="A26" s="380" t="s">
        <v>749</v>
      </c>
      <c r="B26" s="403" t="s">
        <v>750</v>
      </c>
      <c r="C26" s="382">
        <v>130.0</v>
      </c>
      <c r="D26" s="383">
        <v>0.545</v>
      </c>
      <c r="E26" s="384">
        <f t="shared" si="30"/>
        <v>735.75</v>
      </c>
      <c r="F26" s="385">
        <f t="shared" si="31"/>
        <v>1337.727273</v>
      </c>
      <c r="G26" s="386">
        <f t="shared" si="32"/>
        <v>1471.5</v>
      </c>
      <c r="H26" s="390"/>
      <c r="I26" s="388">
        <f t="shared" si="33"/>
        <v>130</v>
      </c>
      <c r="J26" s="389">
        <f t="shared" ref="J26:K26" si="35">ROUNDUP(F26,-2)</f>
        <v>1400</v>
      </c>
      <c r="K26" s="389">
        <f t="shared" si="35"/>
        <v>1500</v>
      </c>
    </row>
    <row r="27">
      <c r="A27" s="380" t="s">
        <v>751</v>
      </c>
      <c r="B27" s="403" t="s">
        <v>752</v>
      </c>
      <c r="C27" s="382">
        <v>130.0</v>
      </c>
      <c r="D27" s="383">
        <v>0.545</v>
      </c>
      <c r="E27" s="384">
        <f t="shared" si="30"/>
        <v>735.75</v>
      </c>
      <c r="F27" s="385">
        <f t="shared" si="31"/>
        <v>1337.727273</v>
      </c>
      <c r="G27" s="386">
        <f t="shared" si="32"/>
        <v>1471.5</v>
      </c>
      <c r="H27" s="391"/>
      <c r="I27" s="388">
        <f t="shared" si="33"/>
        <v>130</v>
      </c>
      <c r="J27" s="389">
        <f t="shared" ref="J27:K27" si="36">ROUNDUP(F27,-2)</f>
        <v>1400</v>
      </c>
      <c r="K27" s="389">
        <f t="shared" si="36"/>
        <v>1500</v>
      </c>
    </row>
    <row r="28">
      <c r="A28" s="380" t="s">
        <v>753</v>
      </c>
      <c r="B28" s="403" t="s">
        <v>754</v>
      </c>
      <c r="C28" s="382">
        <v>130.0</v>
      </c>
      <c r="D28" s="383">
        <v>0.545</v>
      </c>
      <c r="E28" s="384">
        <f t="shared" si="30"/>
        <v>735.75</v>
      </c>
      <c r="F28" s="385">
        <f t="shared" si="31"/>
        <v>1337.727273</v>
      </c>
      <c r="G28" s="386">
        <f t="shared" si="32"/>
        <v>1471.5</v>
      </c>
      <c r="H28" s="391"/>
      <c r="I28" s="388">
        <f t="shared" si="33"/>
        <v>130</v>
      </c>
      <c r="J28" s="389">
        <f t="shared" ref="J28:K28" si="37">ROUNDUP(F28,-2)</f>
        <v>1400</v>
      </c>
      <c r="K28" s="389">
        <f t="shared" si="37"/>
        <v>1500</v>
      </c>
    </row>
    <row r="29">
      <c r="A29" s="380" t="s">
        <v>755</v>
      </c>
      <c r="B29" s="403" t="s">
        <v>756</v>
      </c>
      <c r="C29" s="404">
        <v>230.0</v>
      </c>
      <c r="D29" s="383">
        <v>0.545</v>
      </c>
      <c r="E29" s="384">
        <f t="shared" si="30"/>
        <v>735.75</v>
      </c>
      <c r="F29" s="385">
        <f t="shared" si="31"/>
        <v>1337.727273</v>
      </c>
      <c r="G29" s="386">
        <f t="shared" si="32"/>
        <v>1471.5</v>
      </c>
      <c r="H29" s="391"/>
      <c r="I29" s="405">
        <f t="shared" si="33"/>
        <v>230</v>
      </c>
      <c r="J29" s="132">
        <v>1300.0</v>
      </c>
      <c r="K29" s="132">
        <v>1400.0</v>
      </c>
    </row>
    <row r="30" ht="1.5" customHeight="1">
      <c r="A30" s="392"/>
      <c r="B30" s="392"/>
      <c r="C30" s="393"/>
      <c r="D30" s="394"/>
      <c r="E30" s="395"/>
      <c r="F30" s="396"/>
      <c r="G30" s="396"/>
      <c r="H30" s="398"/>
      <c r="I30" s="398"/>
      <c r="J30" s="399"/>
      <c r="K30" s="399"/>
      <c r="L30" s="399"/>
      <c r="M30" s="399"/>
      <c r="N30" s="399"/>
      <c r="O30" s="399"/>
      <c r="P30" s="399"/>
      <c r="Q30" s="399"/>
      <c r="R30" s="399"/>
      <c r="S30" s="399"/>
      <c r="T30" s="399"/>
      <c r="U30" s="399"/>
      <c r="V30" s="399"/>
      <c r="W30" s="399"/>
      <c r="X30" s="399"/>
      <c r="Y30" s="399"/>
      <c r="Z30" s="399"/>
      <c r="AA30" s="399"/>
      <c r="AB30" s="399"/>
      <c r="AC30" s="399"/>
    </row>
    <row r="31">
      <c r="A31" s="380" t="s">
        <v>757</v>
      </c>
      <c r="B31" s="406" t="s">
        <v>758</v>
      </c>
      <c r="C31" s="382">
        <v>100.0</v>
      </c>
      <c r="D31" s="383">
        <v>0.7444</v>
      </c>
      <c r="E31" s="384">
        <f t="shared" ref="E31:E36" si="39">D31*$G$1</f>
        <v>1004.94</v>
      </c>
      <c r="F31" s="385">
        <f t="shared" ref="F31:F36" si="40">E31/(1-0.45)</f>
        <v>1827.163636</v>
      </c>
      <c r="G31" s="386">
        <f t="shared" ref="G31:G36" si="41">E31/(1-0.5)</f>
        <v>2009.88</v>
      </c>
      <c r="H31" s="391"/>
      <c r="I31" s="388">
        <f t="shared" ref="I31:I36" si="42">C31-H31</f>
        <v>100</v>
      </c>
      <c r="J31" s="389">
        <f t="shared" ref="J31:K31" si="38">ROUNDUP(F31,-2)</f>
        <v>1900</v>
      </c>
      <c r="K31" s="389">
        <f t="shared" si="38"/>
        <v>2100</v>
      </c>
    </row>
    <row r="32">
      <c r="A32" s="380" t="s">
        <v>759</v>
      </c>
      <c r="B32" s="406" t="s">
        <v>760</v>
      </c>
      <c r="C32" s="382">
        <v>100.0</v>
      </c>
      <c r="D32" s="383">
        <v>0.7444</v>
      </c>
      <c r="E32" s="384">
        <f t="shared" si="39"/>
        <v>1004.94</v>
      </c>
      <c r="F32" s="385">
        <f t="shared" si="40"/>
        <v>1827.163636</v>
      </c>
      <c r="G32" s="386">
        <f t="shared" si="41"/>
        <v>2009.88</v>
      </c>
      <c r="H32" s="391"/>
      <c r="I32" s="388">
        <f t="shared" si="42"/>
        <v>100</v>
      </c>
      <c r="J32" s="389">
        <f t="shared" ref="J32:K32" si="43">ROUNDUP(F32,-2)</f>
        <v>1900</v>
      </c>
      <c r="K32" s="389">
        <f t="shared" si="43"/>
        <v>2100</v>
      </c>
    </row>
    <row r="33">
      <c r="A33" s="380" t="s">
        <v>761</v>
      </c>
      <c r="B33" s="406" t="s">
        <v>762</v>
      </c>
      <c r="C33" s="382">
        <v>100.0</v>
      </c>
      <c r="D33" s="383">
        <v>0.7444</v>
      </c>
      <c r="E33" s="384">
        <f t="shared" si="39"/>
        <v>1004.94</v>
      </c>
      <c r="F33" s="385">
        <f t="shared" si="40"/>
        <v>1827.163636</v>
      </c>
      <c r="G33" s="386">
        <f t="shared" si="41"/>
        <v>2009.88</v>
      </c>
      <c r="H33" s="391"/>
      <c r="I33" s="388">
        <f t="shared" si="42"/>
        <v>100</v>
      </c>
      <c r="J33" s="389">
        <f t="shared" ref="J33:K33" si="44">ROUNDUP(F33,-2)</f>
        <v>1900</v>
      </c>
      <c r="K33" s="389">
        <f t="shared" si="44"/>
        <v>2100</v>
      </c>
    </row>
    <row r="34">
      <c r="A34" s="380" t="s">
        <v>763</v>
      </c>
      <c r="B34" s="406" t="s">
        <v>764</v>
      </c>
      <c r="C34" s="382">
        <v>100.0</v>
      </c>
      <c r="D34" s="383">
        <v>0.7444</v>
      </c>
      <c r="E34" s="384">
        <f t="shared" si="39"/>
        <v>1004.94</v>
      </c>
      <c r="F34" s="385">
        <f t="shared" si="40"/>
        <v>1827.163636</v>
      </c>
      <c r="G34" s="386">
        <f t="shared" si="41"/>
        <v>2009.88</v>
      </c>
      <c r="H34" s="391"/>
      <c r="I34" s="388">
        <f t="shared" si="42"/>
        <v>100</v>
      </c>
      <c r="J34" s="389">
        <f t="shared" ref="J34:K34" si="45">ROUNDUP(F34,-2)</f>
        <v>1900</v>
      </c>
      <c r="K34" s="389">
        <f t="shared" si="45"/>
        <v>2100</v>
      </c>
    </row>
    <row r="35">
      <c r="A35" s="380" t="s">
        <v>765</v>
      </c>
      <c r="B35" s="406" t="s">
        <v>766</v>
      </c>
      <c r="C35" s="382">
        <v>100.0</v>
      </c>
      <c r="D35" s="383">
        <v>0.7444</v>
      </c>
      <c r="E35" s="384">
        <f t="shared" si="39"/>
        <v>1004.94</v>
      </c>
      <c r="F35" s="385">
        <f t="shared" si="40"/>
        <v>1827.163636</v>
      </c>
      <c r="G35" s="386">
        <f t="shared" si="41"/>
        <v>2009.88</v>
      </c>
      <c r="H35" s="391"/>
      <c r="I35" s="388">
        <f t="shared" si="42"/>
        <v>100</v>
      </c>
      <c r="J35" s="389">
        <f t="shared" ref="J35:K35" si="46">ROUNDUP(F35,-2)</f>
        <v>1900</v>
      </c>
      <c r="K35" s="389">
        <f t="shared" si="46"/>
        <v>2100</v>
      </c>
    </row>
    <row r="36">
      <c r="A36" s="380" t="s">
        <v>767</v>
      </c>
      <c r="B36" s="406" t="s">
        <v>768</v>
      </c>
      <c r="C36" s="382">
        <v>100.0</v>
      </c>
      <c r="D36" s="383">
        <v>0.7444</v>
      </c>
      <c r="E36" s="384">
        <f t="shared" si="39"/>
        <v>1004.94</v>
      </c>
      <c r="F36" s="385">
        <f t="shared" si="40"/>
        <v>1827.163636</v>
      </c>
      <c r="G36" s="386">
        <f t="shared" si="41"/>
        <v>2009.88</v>
      </c>
      <c r="H36" s="391"/>
      <c r="I36" s="388">
        <f t="shared" si="42"/>
        <v>100</v>
      </c>
      <c r="J36" s="389">
        <f t="shared" ref="J36:K36" si="47">ROUNDUP(F36,-2)</f>
        <v>1900</v>
      </c>
      <c r="K36" s="389">
        <f t="shared" si="47"/>
        <v>2100</v>
      </c>
    </row>
    <row r="37" ht="1.5" customHeight="1">
      <c r="A37" s="399"/>
      <c r="B37" s="399"/>
      <c r="C37" s="399"/>
      <c r="D37" s="399"/>
      <c r="E37" s="399"/>
      <c r="F37" s="399"/>
      <c r="G37" s="399"/>
      <c r="H37" s="399"/>
      <c r="I37" s="399"/>
      <c r="J37" s="399"/>
      <c r="K37" s="399"/>
      <c r="L37" s="399"/>
      <c r="M37" s="399"/>
      <c r="N37" s="399"/>
      <c r="O37" s="399"/>
      <c r="P37" s="399"/>
      <c r="Q37" s="399"/>
      <c r="R37" s="399"/>
      <c r="S37" s="399"/>
      <c r="T37" s="399"/>
      <c r="U37" s="399"/>
      <c r="V37" s="399"/>
      <c r="W37" s="399"/>
      <c r="X37" s="399"/>
      <c r="Y37" s="399"/>
      <c r="Z37" s="399"/>
      <c r="AA37" s="399"/>
      <c r="AB37" s="399"/>
      <c r="AC37" s="399"/>
    </row>
    <row r="38">
      <c r="A38" s="380" t="s">
        <v>769</v>
      </c>
      <c r="B38" s="380" t="s">
        <v>770</v>
      </c>
      <c r="C38" s="382">
        <v>100.0</v>
      </c>
      <c r="D38" s="383">
        <v>1.3189</v>
      </c>
      <c r="E38" s="384">
        <f t="shared" ref="E38:E39" si="49">D38*$G$1</f>
        <v>1780.515</v>
      </c>
      <c r="F38" s="385">
        <f t="shared" ref="F38:F39" si="50">E38/(1-0.45)</f>
        <v>3237.3</v>
      </c>
      <c r="G38" s="386">
        <f t="shared" ref="G38:G39" si="51">E38/(1-0.5)</f>
        <v>3561.03</v>
      </c>
      <c r="H38" s="391"/>
      <c r="I38" s="388">
        <f t="shared" ref="I38:I39" si="52">C38-H38</f>
        <v>100</v>
      </c>
      <c r="J38" s="389">
        <f t="shared" ref="J38:K38" si="48">ROUNDUP(F38,-2)</f>
        <v>3300</v>
      </c>
      <c r="K38" s="389">
        <f t="shared" si="48"/>
        <v>3600</v>
      </c>
    </row>
    <row r="39">
      <c r="A39" s="380" t="s">
        <v>771</v>
      </c>
      <c r="B39" s="380" t="s">
        <v>772</v>
      </c>
      <c r="C39" s="404">
        <v>100.0</v>
      </c>
      <c r="D39" s="383">
        <v>1.3189</v>
      </c>
      <c r="E39" s="384">
        <f t="shared" si="49"/>
        <v>1780.515</v>
      </c>
      <c r="F39" s="385">
        <f t="shared" si="50"/>
        <v>3237.3</v>
      </c>
      <c r="G39" s="386">
        <f t="shared" si="51"/>
        <v>3561.03</v>
      </c>
      <c r="H39" s="391"/>
      <c r="I39" s="405">
        <f t="shared" si="52"/>
        <v>100</v>
      </c>
    </row>
    <row r="40" ht="1.5" customHeight="1">
      <c r="A40" s="392"/>
      <c r="B40" s="392"/>
      <c r="C40" s="407"/>
      <c r="D40" s="394"/>
      <c r="E40" s="395"/>
      <c r="F40" s="396"/>
      <c r="G40" s="396"/>
      <c r="H40" s="398"/>
      <c r="I40" s="398"/>
      <c r="J40" s="399"/>
      <c r="K40" s="399"/>
      <c r="L40" s="399"/>
      <c r="M40" s="399"/>
      <c r="N40" s="399"/>
      <c r="O40" s="399"/>
      <c r="P40" s="399"/>
      <c r="Q40" s="399"/>
      <c r="R40" s="399"/>
      <c r="S40" s="399"/>
      <c r="T40" s="399"/>
      <c r="U40" s="399"/>
      <c r="V40" s="399"/>
      <c r="W40" s="399"/>
      <c r="X40" s="399"/>
      <c r="Y40" s="399"/>
      <c r="Z40" s="399"/>
      <c r="AA40" s="399"/>
      <c r="AB40" s="399"/>
      <c r="AC40" s="399"/>
    </row>
    <row r="41">
      <c r="A41" s="380" t="s">
        <v>773</v>
      </c>
      <c r="B41" s="408" t="s">
        <v>774</v>
      </c>
      <c r="C41" s="404">
        <v>100.0</v>
      </c>
      <c r="D41" s="383">
        <v>0.4517</v>
      </c>
      <c r="E41" s="384">
        <f t="shared" ref="E41:E45" si="53">D41*$G$1</f>
        <v>609.795</v>
      </c>
      <c r="F41" s="385">
        <f t="shared" ref="F41:F45" si="54">E41/(1-0.45)</f>
        <v>1108.718182</v>
      </c>
      <c r="G41" s="386">
        <f t="shared" ref="G41:G45" si="55">E41/(1-0.5)</f>
        <v>1219.59</v>
      </c>
      <c r="H41" s="391"/>
      <c r="I41" s="405">
        <f t="shared" ref="I41:I45" si="56">C41-H41</f>
        <v>100</v>
      </c>
    </row>
    <row r="42">
      <c r="A42" s="380" t="s">
        <v>775</v>
      </c>
      <c r="B42" s="408" t="s">
        <v>776</v>
      </c>
      <c r="C42" s="404">
        <v>100.0</v>
      </c>
      <c r="D42" s="383">
        <v>0.6027</v>
      </c>
      <c r="E42" s="384">
        <f t="shared" si="53"/>
        <v>813.645</v>
      </c>
      <c r="F42" s="385">
        <f t="shared" si="54"/>
        <v>1479.354545</v>
      </c>
      <c r="G42" s="386">
        <f t="shared" si="55"/>
        <v>1627.29</v>
      </c>
      <c r="H42" s="391"/>
      <c r="I42" s="405">
        <f t="shared" si="56"/>
        <v>100</v>
      </c>
      <c r="J42" s="389">
        <f t="shared" ref="J42:K42" si="57">ROUNDUP(F42,-2)</f>
        <v>1500</v>
      </c>
      <c r="K42" s="389">
        <f t="shared" si="57"/>
        <v>1700</v>
      </c>
    </row>
    <row r="43">
      <c r="A43" s="401" t="s">
        <v>777</v>
      </c>
      <c r="B43" s="408" t="s">
        <v>778</v>
      </c>
      <c r="C43" s="404">
        <v>100.0</v>
      </c>
      <c r="D43" s="383">
        <v>0.9459</v>
      </c>
      <c r="E43" s="384">
        <f t="shared" si="53"/>
        <v>1276.965</v>
      </c>
      <c r="F43" s="385">
        <f t="shared" si="54"/>
        <v>2321.754545</v>
      </c>
      <c r="G43" s="386">
        <f t="shared" si="55"/>
        <v>2553.93</v>
      </c>
      <c r="H43" s="391"/>
      <c r="I43" s="405">
        <f t="shared" si="56"/>
        <v>100</v>
      </c>
      <c r="J43" s="389">
        <f t="shared" ref="J43:K43" si="58">ROUNDUP(F43,-2)</f>
        <v>2400</v>
      </c>
      <c r="K43" s="389">
        <f t="shared" si="58"/>
        <v>2600</v>
      </c>
    </row>
    <row r="44">
      <c r="A44" s="380" t="s">
        <v>779</v>
      </c>
      <c r="B44" s="408" t="s">
        <v>780</v>
      </c>
      <c r="C44" s="404">
        <v>100.0</v>
      </c>
      <c r="D44" s="383">
        <v>0.8036</v>
      </c>
      <c r="E44" s="384">
        <f t="shared" si="53"/>
        <v>1084.86</v>
      </c>
      <c r="F44" s="385">
        <f t="shared" si="54"/>
        <v>1972.472727</v>
      </c>
      <c r="G44" s="386">
        <f t="shared" si="55"/>
        <v>2169.72</v>
      </c>
      <c r="H44" s="391"/>
      <c r="I44" s="405">
        <f t="shared" si="56"/>
        <v>100</v>
      </c>
      <c r="J44" s="389">
        <f t="shared" ref="J44:K44" si="59">ROUNDUP(F44,-2)</f>
        <v>2000</v>
      </c>
      <c r="K44" s="389">
        <f t="shared" si="59"/>
        <v>2200</v>
      </c>
    </row>
    <row r="45">
      <c r="A45" s="401" t="s">
        <v>781</v>
      </c>
      <c r="B45" s="408" t="s">
        <v>782</v>
      </c>
      <c r="C45" s="404">
        <v>100.0</v>
      </c>
      <c r="D45" s="383">
        <v>1.2564</v>
      </c>
      <c r="E45" s="384">
        <f t="shared" si="53"/>
        <v>1696.14</v>
      </c>
      <c r="F45" s="385">
        <f t="shared" si="54"/>
        <v>3083.890909</v>
      </c>
      <c r="G45" s="386">
        <f t="shared" si="55"/>
        <v>3392.28</v>
      </c>
      <c r="H45" s="391"/>
      <c r="I45" s="405">
        <f t="shared" si="56"/>
        <v>100</v>
      </c>
      <c r="J45" s="389">
        <f t="shared" ref="J45:K45" si="60">ROUNDUP(F45,-2)</f>
        <v>3100</v>
      </c>
      <c r="K45" s="389">
        <f t="shared" si="60"/>
        <v>3400</v>
      </c>
    </row>
    <row r="46" ht="1.5" customHeight="1">
      <c r="A46" s="392"/>
      <c r="B46" s="392"/>
      <c r="C46" s="407"/>
      <c r="D46" s="394"/>
      <c r="E46" s="395"/>
      <c r="F46" s="396"/>
      <c r="G46" s="396"/>
      <c r="H46" s="398"/>
      <c r="I46" s="398"/>
      <c r="J46" s="399"/>
      <c r="K46" s="399"/>
      <c r="L46" s="399"/>
      <c r="M46" s="399"/>
      <c r="N46" s="399"/>
      <c r="O46" s="399"/>
      <c r="P46" s="399"/>
      <c r="Q46" s="399"/>
      <c r="R46" s="399"/>
      <c r="S46" s="399"/>
      <c r="T46" s="399"/>
      <c r="U46" s="399"/>
      <c r="V46" s="399"/>
      <c r="W46" s="399"/>
      <c r="X46" s="399"/>
      <c r="Y46" s="399"/>
      <c r="Z46" s="399"/>
      <c r="AA46" s="399"/>
      <c r="AB46" s="399"/>
      <c r="AC46" s="399"/>
    </row>
    <row r="47">
      <c r="A47" s="401" t="s">
        <v>783</v>
      </c>
      <c r="B47" s="380" t="s">
        <v>784</v>
      </c>
      <c r="C47" s="404">
        <v>100.0</v>
      </c>
      <c r="D47" s="383">
        <v>1.3812</v>
      </c>
      <c r="E47" s="384">
        <f t="shared" ref="E47:E50" si="62">D47*$G$1</f>
        <v>1864.62</v>
      </c>
      <c r="F47" s="385">
        <f t="shared" ref="F47:F50" si="63">E47/(1-0.45)</f>
        <v>3390.218182</v>
      </c>
      <c r="G47" s="386">
        <f t="shared" ref="G47:G50" si="64">E47/(1-0.5)</f>
        <v>3729.24</v>
      </c>
      <c r="H47" s="391"/>
      <c r="I47" s="405">
        <f t="shared" ref="I47:I50" si="65">C47-H47</f>
        <v>100</v>
      </c>
      <c r="J47" s="389">
        <f t="shared" ref="J47:K47" si="61">ROUNDUP(F47,-2)</f>
        <v>3400</v>
      </c>
      <c r="K47" s="389">
        <f t="shared" si="61"/>
        <v>3800</v>
      </c>
    </row>
    <row r="48">
      <c r="A48" s="380" t="s">
        <v>785</v>
      </c>
      <c r="B48" s="380" t="s">
        <v>786</v>
      </c>
      <c r="C48" s="404">
        <v>100.0</v>
      </c>
      <c r="D48" s="383">
        <v>2.1094</v>
      </c>
      <c r="E48" s="384">
        <f t="shared" si="62"/>
        <v>2847.69</v>
      </c>
      <c r="F48" s="385">
        <f t="shared" si="63"/>
        <v>5177.618182</v>
      </c>
      <c r="G48" s="386">
        <f t="shared" si="64"/>
        <v>5695.38</v>
      </c>
      <c r="H48" s="409">
        <v>50.0</v>
      </c>
      <c r="I48" s="405">
        <f t="shared" si="65"/>
        <v>50</v>
      </c>
      <c r="J48" s="389">
        <f t="shared" ref="J48:K48" si="66">ROUNDUP(F48,-2)</f>
        <v>5200</v>
      </c>
      <c r="K48" s="389">
        <f t="shared" si="66"/>
        <v>5700</v>
      </c>
    </row>
    <row r="49">
      <c r="A49" s="401" t="s">
        <v>787</v>
      </c>
      <c r="B49" s="380" t="s">
        <v>788</v>
      </c>
      <c r="C49" s="404">
        <v>112.0</v>
      </c>
      <c r="D49" s="383">
        <v>1.0212</v>
      </c>
      <c r="E49" s="384">
        <f t="shared" si="62"/>
        <v>1378.62</v>
      </c>
      <c r="F49" s="385">
        <f t="shared" si="63"/>
        <v>2506.581818</v>
      </c>
      <c r="G49" s="386">
        <f t="shared" si="64"/>
        <v>2757.24</v>
      </c>
      <c r="H49" s="391"/>
      <c r="I49" s="405">
        <f t="shared" si="65"/>
        <v>112</v>
      </c>
      <c r="J49" s="389">
        <f t="shared" ref="J49:K49" si="67">ROUNDUP(F49,-2)</f>
        <v>2600</v>
      </c>
      <c r="K49" s="389">
        <f t="shared" si="67"/>
        <v>2800</v>
      </c>
    </row>
    <row r="50">
      <c r="A50" s="380" t="s">
        <v>789</v>
      </c>
      <c r="B50" s="380" t="s">
        <v>790</v>
      </c>
      <c r="C50" s="404">
        <v>106.0</v>
      </c>
      <c r="D50" s="383">
        <v>0.9961</v>
      </c>
      <c r="E50" s="384">
        <f t="shared" si="62"/>
        <v>1344.735</v>
      </c>
      <c r="F50" s="385">
        <f t="shared" si="63"/>
        <v>2444.972727</v>
      </c>
      <c r="G50" s="386">
        <f t="shared" si="64"/>
        <v>2689.47</v>
      </c>
      <c r="H50" s="391"/>
      <c r="I50" s="405">
        <f t="shared" si="65"/>
        <v>106</v>
      </c>
      <c r="J50" s="389">
        <f t="shared" ref="J50:K50" si="68">ROUNDUP(F50,-2)</f>
        <v>2500</v>
      </c>
      <c r="K50" s="389">
        <f t="shared" si="68"/>
        <v>2700</v>
      </c>
    </row>
    <row r="51" ht="1.5" customHeight="1">
      <c r="A51" s="410"/>
      <c r="B51" s="410"/>
      <c r="C51" s="411"/>
      <c r="D51" s="412"/>
      <c r="E51" s="413"/>
      <c r="F51" s="414"/>
      <c r="G51" s="414"/>
      <c r="H51" s="398"/>
      <c r="I51" s="398"/>
      <c r="J51" s="399"/>
      <c r="K51" s="399"/>
      <c r="L51" s="399"/>
      <c r="M51" s="399"/>
      <c r="N51" s="399"/>
      <c r="O51" s="399"/>
      <c r="P51" s="399"/>
      <c r="Q51" s="399"/>
      <c r="R51" s="399"/>
      <c r="S51" s="399"/>
      <c r="T51" s="399"/>
      <c r="U51" s="399"/>
      <c r="V51" s="399"/>
      <c r="W51" s="399"/>
      <c r="X51" s="399"/>
      <c r="Y51" s="399"/>
      <c r="Z51" s="399"/>
      <c r="AA51" s="399"/>
      <c r="AB51" s="399"/>
      <c r="AC51" s="399"/>
    </row>
    <row r="52">
      <c r="A52" s="380" t="s">
        <v>791</v>
      </c>
      <c r="B52" s="380" t="s">
        <v>792</v>
      </c>
      <c r="C52" s="404">
        <v>12.0</v>
      </c>
      <c r="D52" s="383">
        <v>5.9663</v>
      </c>
      <c r="E52" s="384">
        <f>D52*$G$1</f>
        <v>8054.505</v>
      </c>
      <c r="F52" s="385">
        <f>E52/(1-0.45)</f>
        <v>14644.55455</v>
      </c>
      <c r="G52" s="386">
        <f>E52/(1-0.5)</f>
        <v>16109.01</v>
      </c>
      <c r="H52" s="415"/>
      <c r="I52" s="416">
        <v>12.0</v>
      </c>
    </row>
    <row r="54">
      <c r="A54" s="132"/>
      <c r="B54" s="132"/>
      <c r="C54" s="417"/>
      <c r="D54" s="418"/>
      <c r="E54" s="419"/>
      <c r="F54" s="420"/>
      <c r="G54" s="420"/>
      <c r="H54" s="421"/>
      <c r="I54" s="421"/>
    </row>
    <row r="55">
      <c r="A55" s="132"/>
      <c r="B55" s="132"/>
      <c r="C55" s="417"/>
      <c r="D55" s="418"/>
      <c r="E55" s="419"/>
      <c r="F55" s="420"/>
      <c r="G55" s="420"/>
      <c r="H55" s="421"/>
      <c r="I55" s="421"/>
    </row>
    <row r="56">
      <c r="A56" s="132"/>
      <c r="B56" s="132"/>
      <c r="C56" s="417"/>
      <c r="D56" s="418"/>
      <c r="E56" s="419"/>
      <c r="F56" s="420"/>
      <c r="G56" s="420"/>
      <c r="H56" s="421"/>
      <c r="I56" s="421"/>
    </row>
    <row r="57">
      <c r="A57" s="132"/>
      <c r="B57" s="132"/>
      <c r="C57" s="417"/>
      <c r="D57" s="418"/>
      <c r="E57" s="419"/>
      <c r="F57" s="420"/>
      <c r="G57" s="420"/>
      <c r="H57" s="421"/>
      <c r="I57" s="421"/>
    </row>
    <row r="58">
      <c r="A58" s="132"/>
      <c r="B58" s="132"/>
      <c r="C58" s="417"/>
      <c r="D58" s="418"/>
      <c r="E58" s="419"/>
      <c r="F58" s="420"/>
      <c r="G58" s="420"/>
      <c r="H58" s="421"/>
      <c r="I58" s="421"/>
    </row>
    <row r="59">
      <c r="A59" s="132"/>
      <c r="B59" s="132"/>
      <c r="C59" s="417"/>
      <c r="D59" s="418"/>
      <c r="E59" s="419"/>
      <c r="F59" s="420"/>
      <c r="G59" s="420"/>
      <c r="H59" s="421"/>
      <c r="I59" s="421"/>
    </row>
    <row r="60">
      <c r="A60" s="132"/>
      <c r="B60" s="132"/>
      <c r="C60" s="417"/>
      <c r="D60" s="418"/>
      <c r="E60" s="419"/>
      <c r="F60" s="420"/>
      <c r="G60" s="420"/>
      <c r="H60" s="421"/>
      <c r="I60" s="421"/>
    </row>
    <row r="61">
      <c r="A61" s="132"/>
      <c r="B61" s="132"/>
      <c r="C61" s="417"/>
      <c r="D61" s="418"/>
      <c r="E61" s="419"/>
      <c r="F61" s="420"/>
      <c r="G61" s="420"/>
      <c r="H61" s="421"/>
      <c r="I61" s="421"/>
    </row>
    <row r="62">
      <c r="A62" s="132"/>
      <c r="B62" s="132"/>
      <c r="C62" s="417"/>
      <c r="D62" s="418"/>
      <c r="E62" s="419"/>
      <c r="F62" s="420"/>
      <c r="G62" s="420"/>
      <c r="H62" s="421"/>
      <c r="I62" s="421"/>
    </row>
    <row r="63">
      <c r="A63" s="132"/>
      <c r="B63" s="132"/>
      <c r="C63" s="417"/>
      <c r="D63" s="418"/>
      <c r="E63" s="419"/>
      <c r="F63" s="420"/>
      <c r="G63" s="420"/>
      <c r="H63" s="421"/>
      <c r="I63" s="421"/>
    </row>
    <row r="64">
      <c r="A64" s="132"/>
      <c r="B64" s="132"/>
      <c r="C64" s="417"/>
      <c r="D64" s="418"/>
      <c r="E64" s="419"/>
      <c r="F64" s="420"/>
      <c r="G64" s="420"/>
      <c r="H64" s="421"/>
      <c r="I64" s="421"/>
    </row>
    <row r="65">
      <c r="A65" s="132"/>
      <c r="B65" s="132"/>
      <c r="C65" s="417"/>
      <c r="D65" s="418"/>
      <c r="E65" s="419"/>
      <c r="F65" s="420"/>
      <c r="G65" s="420"/>
      <c r="H65" s="421"/>
      <c r="I65" s="421"/>
    </row>
    <row r="66">
      <c r="A66" s="132"/>
      <c r="B66" s="132"/>
      <c r="C66" s="417"/>
      <c r="D66" s="418"/>
      <c r="E66" s="419"/>
      <c r="F66" s="420"/>
      <c r="G66" s="420"/>
      <c r="H66" s="422"/>
      <c r="I66" s="421"/>
    </row>
    <row r="67">
      <c r="A67" s="132"/>
      <c r="B67" s="132"/>
      <c r="C67" s="417"/>
      <c r="D67" s="418"/>
      <c r="E67" s="419"/>
      <c r="F67" s="420"/>
      <c r="G67" s="420"/>
      <c r="H67" s="421"/>
      <c r="I67" s="421"/>
    </row>
    <row r="68">
      <c r="A68" s="132"/>
      <c r="B68" s="132"/>
      <c r="C68" s="417"/>
      <c r="D68" s="418"/>
      <c r="E68" s="419"/>
      <c r="F68" s="420"/>
      <c r="G68" s="420"/>
      <c r="H68" s="421"/>
      <c r="I68" s="421"/>
    </row>
    <row r="69">
      <c r="A69" s="132"/>
      <c r="B69" s="132"/>
      <c r="C69" s="417"/>
      <c r="D69" s="418"/>
      <c r="E69" s="419"/>
      <c r="F69" s="420"/>
      <c r="G69" s="420"/>
      <c r="H69" s="421"/>
      <c r="I69" s="421"/>
    </row>
    <row r="70">
      <c r="A70" s="132"/>
      <c r="B70" s="132"/>
      <c r="C70" s="417"/>
      <c r="D70" s="418"/>
      <c r="E70" s="419"/>
      <c r="F70" s="420"/>
      <c r="G70" s="420"/>
      <c r="H70" s="421"/>
      <c r="I70" s="421"/>
    </row>
    <row r="71">
      <c r="A71" s="132"/>
      <c r="B71" s="132"/>
      <c r="C71" s="417"/>
      <c r="D71" s="418"/>
      <c r="E71" s="419"/>
      <c r="F71" s="420"/>
      <c r="G71" s="420"/>
      <c r="H71" s="421"/>
      <c r="I71" s="421"/>
    </row>
    <row r="77">
      <c r="A77" s="132"/>
      <c r="B77" s="132"/>
      <c r="C77" s="417"/>
      <c r="D77" s="418"/>
      <c r="E77" s="419"/>
      <c r="F77" s="420"/>
      <c r="G77" s="420"/>
      <c r="H77" s="421"/>
      <c r="I77" s="421"/>
    </row>
    <row r="79">
      <c r="D79" s="423"/>
      <c r="E79" s="423"/>
      <c r="H79" s="372"/>
      <c r="I79" s="372"/>
    </row>
    <row r="80">
      <c r="D80" s="423"/>
      <c r="E80" s="423"/>
      <c r="H80" s="372"/>
      <c r="I80" s="372"/>
    </row>
    <row r="81">
      <c r="D81" s="423"/>
      <c r="E81" s="423"/>
      <c r="H81" s="372"/>
      <c r="I81" s="372"/>
    </row>
    <row r="82">
      <c r="D82" s="423"/>
      <c r="E82" s="423"/>
      <c r="H82" s="372"/>
      <c r="I82" s="372"/>
    </row>
    <row r="83">
      <c r="D83" s="423"/>
      <c r="E83" s="423"/>
      <c r="H83" s="372"/>
      <c r="I83" s="372"/>
    </row>
    <row r="84">
      <c r="D84" s="369"/>
      <c r="E84" s="369"/>
      <c r="H84" s="372"/>
      <c r="I84" s="372"/>
    </row>
    <row r="85">
      <c r="D85" s="369"/>
      <c r="E85" s="369"/>
      <c r="H85" s="372"/>
      <c r="I85" s="372"/>
    </row>
    <row r="86">
      <c r="D86" s="369"/>
      <c r="E86" s="369"/>
      <c r="H86" s="372"/>
      <c r="I86" s="372"/>
    </row>
    <row r="87">
      <c r="D87" s="369"/>
      <c r="E87" s="369"/>
      <c r="H87" s="372"/>
      <c r="I87" s="372"/>
    </row>
    <row r="88">
      <c r="D88" s="369"/>
      <c r="E88" s="369"/>
      <c r="H88" s="372"/>
      <c r="I88" s="372"/>
    </row>
    <row r="89">
      <c r="D89" s="369"/>
      <c r="E89" s="369"/>
      <c r="H89" s="372"/>
      <c r="I89" s="372"/>
    </row>
    <row r="90">
      <c r="D90" s="369"/>
      <c r="E90" s="369"/>
      <c r="H90" s="372"/>
      <c r="I90" s="372"/>
    </row>
    <row r="91">
      <c r="D91" s="369"/>
      <c r="E91" s="369"/>
      <c r="H91" s="372"/>
      <c r="I91" s="372"/>
    </row>
    <row r="92">
      <c r="D92" s="369"/>
      <c r="E92" s="369"/>
      <c r="H92" s="372"/>
      <c r="I92" s="372"/>
    </row>
    <row r="93">
      <c r="D93" s="369"/>
      <c r="E93" s="369"/>
      <c r="H93" s="372"/>
      <c r="I93" s="372"/>
    </row>
    <row r="94">
      <c r="D94" s="369"/>
      <c r="E94" s="369"/>
      <c r="H94" s="372"/>
      <c r="I94" s="372"/>
    </row>
    <row r="95">
      <c r="D95" s="369"/>
      <c r="E95" s="369"/>
      <c r="H95" s="372"/>
      <c r="I95" s="372"/>
    </row>
    <row r="96">
      <c r="D96" s="369"/>
      <c r="E96" s="369"/>
      <c r="H96" s="372"/>
      <c r="I96" s="372"/>
    </row>
    <row r="97">
      <c r="D97" s="369"/>
      <c r="E97" s="369"/>
      <c r="H97" s="372"/>
      <c r="I97" s="372"/>
    </row>
    <row r="98">
      <c r="D98" s="369"/>
      <c r="E98" s="369"/>
      <c r="H98" s="372"/>
      <c r="I98" s="372"/>
    </row>
    <row r="99">
      <c r="D99" s="369"/>
      <c r="E99" s="369"/>
      <c r="H99" s="372"/>
      <c r="I99" s="372"/>
    </row>
    <row r="100">
      <c r="D100" s="369"/>
      <c r="E100" s="369"/>
      <c r="H100" s="372"/>
      <c r="I100" s="372"/>
    </row>
    <row r="101">
      <c r="D101" s="369"/>
      <c r="E101" s="369"/>
      <c r="H101" s="372"/>
      <c r="I101" s="372"/>
    </row>
    <row r="102">
      <c r="D102" s="369"/>
      <c r="E102" s="369"/>
      <c r="H102" s="372"/>
      <c r="I102" s="372"/>
    </row>
    <row r="103">
      <c r="D103" s="369"/>
      <c r="E103" s="369"/>
      <c r="H103" s="372"/>
      <c r="I103" s="372"/>
    </row>
    <row r="104">
      <c r="D104" s="369"/>
      <c r="E104" s="369"/>
      <c r="H104" s="372"/>
      <c r="I104" s="372"/>
    </row>
    <row r="105">
      <c r="D105" s="369"/>
      <c r="E105" s="369"/>
      <c r="H105" s="372"/>
      <c r="I105" s="372"/>
    </row>
    <row r="106">
      <c r="D106" s="369"/>
      <c r="E106" s="369"/>
      <c r="H106" s="372"/>
      <c r="I106" s="372"/>
    </row>
    <row r="107">
      <c r="D107" s="369"/>
      <c r="E107" s="369"/>
      <c r="H107" s="372"/>
      <c r="I107" s="372"/>
    </row>
    <row r="108">
      <c r="D108" s="369"/>
      <c r="E108" s="369"/>
      <c r="H108" s="372"/>
      <c r="I108" s="372"/>
    </row>
    <row r="109">
      <c r="D109" s="369"/>
      <c r="E109" s="369"/>
      <c r="H109" s="372"/>
      <c r="I109" s="372"/>
    </row>
    <row r="110">
      <c r="D110" s="369"/>
      <c r="E110" s="369"/>
      <c r="H110" s="372"/>
      <c r="I110" s="372"/>
    </row>
    <row r="111">
      <c r="D111" s="369"/>
      <c r="E111" s="369"/>
      <c r="H111" s="372"/>
      <c r="I111" s="372"/>
    </row>
    <row r="112">
      <c r="D112" s="369"/>
      <c r="E112" s="369"/>
      <c r="H112" s="372"/>
      <c r="I112" s="372"/>
    </row>
    <row r="113">
      <c r="D113" s="369"/>
      <c r="E113" s="369"/>
      <c r="H113" s="372"/>
      <c r="I113" s="372"/>
    </row>
    <row r="114">
      <c r="D114" s="369"/>
      <c r="E114" s="369"/>
      <c r="H114" s="372"/>
      <c r="I114" s="372"/>
    </row>
    <row r="115">
      <c r="D115" s="369"/>
      <c r="E115" s="369"/>
      <c r="H115" s="372"/>
      <c r="I115" s="372"/>
    </row>
    <row r="116">
      <c r="D116" s="369"/>
      <c r="E116" s="369"/>
      <c r="H116" s="372"/>
      <c r="I116" s="372"/>
    </row>
    <row r="117">
      <c r="D117" s="369"/>
      <c r="E117" s="369"/>
      <c r="H117" s="372"/>
      <c r="I117" s="372"/>
    </row>
    <row r="118">
      <c r="D118" s="369"/>
      <c r="E118" s="369"/>
      <c r="H118" s="372"/>
      <c r="I118" s="372"/>
    </row>
    <row r="119">
      <c r="D119" s="369"/>
      <c r="E119" s="369"/>
      <c r="H119" s="372"/>
      <c r="I119" s="372"/>
    </row>
    <row r="120">
      <c r="D120" s="369"/>
      <c r="E120" s="369"/>
      <c r="H120" s="372"/>
      <c r="I120" s="372"/>
    </row>
    <row r="121">
      <c r="D121" s="369"/>
      <c r="E121" s="369"/>
      <c r="H121" s="372"/>
      <c r="I121" s="372"/>
    </row>
    <row r="122">
      <c r="D122" s="369"/>
      <c r="E122" s="369"/>
      <c r="H122" s="372"/>
      <c r="I122" s="372"/>
    </row>
    <row r="123">
      <c r="D123" s="369"/>
      <c r="E123" s="369"/>
      <c r="H123" s="372"/>
      <c r="I123" s="372"/>
    </row>
    <row r="124">
      <c r="D124" s="369"/>
      <c r="E124" s="369"/>
      <c r="H124" s="372"/>
      <c r="I124" s="372"/>
    </row>
    <row r="125">
      <c r="D125" s="369"/>
      <c r="E125" s="369"/>
      <c r="H125" s="372"/>
      <c r="I125" s="372"/>
    </row>
    <row r="126">
      <c r="D126" s="369"/>
      <c r="E126" s="369"/>
      <c r="H126" s="372"/>
      <c r="I126" s="372"/>
    </row>
    <row r="127">
      <c r="D127" s="369"/>
      <c r="E127" s="369"/>
      <c r="H127" s="372"/>
      <c r="I127" s="372"/>
    </row>
    <row r="128">
      <c r="D128" s="369"/>
      <c r="E128" s="369"/>
      <c r="H128" s="372"/>
      <c r="I128" s="372"/>
    </row>
    <row r="129">
      <c r="D129" s="369"/>
      <c r="E129" s="369"/>
      <c r="H129" s="372"/>
      <c r="I129" s="372"/>
    </row>
    <row r="130">
      <c r="D130" s="369"/>
      <c r="E130" s="369"/>
      <c r="H130" s="372"/>
      <c r="I130" s="372"/>
    </row>
    <row r="131">
      <c r="D131" s="369"/>
      <c r="E131" s="369"/>
      <c r="H131" s="372"/>
      <c r="I131" s="372"/>
    </row>
    <row r="132">
      <c r="D132" s="369"/>
      <c r="E132" s="369"/>
      <c r="H132" s="372"/>
      <c r="I132" s="372"/>
    </row>
    <row r="133">
      <c r="D133" s="369"/>
      <c r="E133" s="369"/>
      <c r="H133" s="372"/>
      <c r="I133" s="372"/>
    </row>
    <row r="134">
      <c r="D134" s="369"/>
      <c r="E134" s="369"/>
      <c r="H134" s="372"/>
      <c r="I134" s="372"/>
    </row>
    <row r="135">
      <c r="D135" s="369"/>
      <c r="E135" s="369"/>
      <c r="H135" s="372"/>
      <c r="I135" s="372"/>
    </row>
    <row r="136">
      <c r="D136" s="369"/>
      <c r="E136" s="369"/>
      <c r="H136" s="372"/>
      <c r="I136" s="372"/>
    </row>
    <row r="137">
      <c r="D137" s="369"/>
      <c r="E137" s="369"/>
      <c r="H137" s="372"/>
      <c r="I137" s="372"/>
    </row>
    <row r="138">
      <c r="D138" s="369"/>
      <c r="E138" s="369"/>
      <c r="H138" s="372"/>
      <c r="I138" s="372"/>
    </row>
    <row r="139">
      <c r="D139" s="369"/>
      <c r="E139" s="369"/>
      <c r="H139" s="372"/>
      <c r="I139" s="372"/>
    </row>
    <row r="140">
      <c r="D140" s="369"/>
      <c r="E140" s="369"/>
      <c r="H140" s="372"/>
      <c r="I140" s="372"/>
    </row>
    <row r="141">
      <c r="D141" s="369"/>
      <c r="E141" s="369"/>
      <c r="H141" s="372"/>
      <c r="I141" s="372"/>
    </row>
    <row r="142">
      <c r="D142" s="369"/>
      <c r="E142" s="369"/>
      <c r="H142" s="372"/>
      <c r="I142" s="372"/>
    </row>
    <row r="143">
      <c r="D143" s="369"/>
      <c r="E143" s="369"/>
      <c r="H143" s="372"/>
      <c r="I143" s="372"/>
    </row>
    <row r="144">
      <c r="D144" s="369"/>
      <c r="E144" s="369"/>
      <c r="H144" s="372"/>
      <c r="I144" s="372"/>
    </row>
    <row r="145">
      <c r="D145" s="369"/>
      <c r="E145" s="369"/>
      <c r="H145" s="372"/>
      <c r="I145" s="372"/>
    </row>
    <row r="146">
      <c r="D146" s="369"/>
      <c r="E146" s="369"/>
      <c r="H146" s="372"/>
      <c r="I146" s="372"/>
    </row>
    <row r="147">
      <c r="D147" s="369"/>
      <c r="E147" s="369"/>
      <c r="H147" s="372"/>
      <c r="I147" s="372"/>
    </row>
    <row r="148">
      <c r="D148" s="369"/>
      <c r="E148" s="369"/>
      <c r="H148" s="372"/>
      <c r="I148" s="372"/>
    </row>
    <row r="149">
      <c r="D149" s="369"/>
      <c r="E149" s="369"/>
      <c r="H149" s="372"/>
      <c r="I149" s="372"/>
    </row>
    <row r="150">
      <c r="D150" s="369"/>
      <c r="E150" s="369"/>
      <c r="H150" s="372"/>
      <c r="I150" s="372"/>
    </row>
    <row r="151">
      <c r="D151" s="369"/>
      <c r="E151" s="369"/>
      <c r="H151" s="372"/>
      <c r="I151" s="372"/>
    </row>
    <row r="152">
      <c r="D152" s="369"/>
      <c r="E152" s="369"/>
      <c r="H152" s="372"/>
      <c r="I152" s="372"/>
    </row>
    <row r="153">
      <c r="D153" s="369"/>
      <c r="E153" s="369"/>
      <c r="H153" s="372"/>
      <c r="I153" s="372"/>
    </row>
    <row r="154">
      <c r="D154" s="369"/>
      <c r="E154" s="369"/>
      <c r="H154" s="372"/>
      <c r="I154" s="372"/>
    </row>
    <row r="155">
      <c r="D155" s="369"/>
      <c r="E155" s="369"/>
      <c r="H155" s="372"/>
      <c r="I155" s="372"/>
    </row>
    <row r="156">
      <c r="D156" s="369"/>
      <c r="E156" s="369"/>
      <c r="H156" s="372"/>
      <c r="I156" s="372"/>
    </row>
    <row r="157">
      <c r="D157" s="369"/>
      <c r="E157" s="369"/>
      <c r="H157" s="372"/>
      <c r="I157" s="372"/>
    </row>
    <row r="158">
      <c r="D158" s="369"/>
      <c r="E158" s="369"/>
      <c r="H158" s="372"/>
      <c r="I158" s="372"/>
    </row>
    <row r="159">
      <c r="D159" s="369"/>
      <c r="E159" s="369"/>
      <c r="H159" s="372"/>
      <c r="I159" s="372"/>
    </row>
    <row r="160">
      <c r="D160" s="369"/>
      <c r="E160" s="369"/>
      <c r="H160" s="372"/>
      <c r="I160" s="372"/>
    </row>
    <row r="161">
      <c r="D161" s="369"/>
      <c r="E161" s="369"/>
      <c r="H161" s="372"/>
      <c r="I161" s="372"/>
    </row>
    <row r="162">
      <c r="D162" s="369"/>
      <c r="E162" s="369"/>
      <c r="H162" s="372"/>
      <c r="I162" s="372"/>
    </row>
    <row r="163">
      <c r="D163" s="369"/>
      <c r="E163" s="369"/>
      <c r="H163" s="372"/>
      <c r="I163" s="372"/>
    </row>
    <row r="164">
      <c r="D164" s="369"/>
      <c r="E164" s="369"/>
      <c r="H164" s="372"/>
      <c r="I164" s="372"/>
    </row>
    <row r="165">
      <c r="D165" s="369"/>
      <c r="E165" s="369"/>
      <c r="H165" s="372"/>
      <c r="I165" s="372"/>
    </row>
    <row r="166">
      <c r="D166" s="369"/>
      <c r="E166" s="369"/>
      <c r="H166" s="372"/>
      <c r="I166" s="372"/>
    </row>
    <row r="167">
      <c r="D167" s="369"/>
      <c r="E167" s="369"/>
      <c r="H167" s="372"/>
      <c r="I167" s="372"/>
    </row>
    <row r="168">
      <c r="D168" s="369"/>
      <c r="E168" s="369"/>
      <c r="H168" s="372"/>
      <c r="I168" s="372"/>
    </row>
    <row r="169">
      <c r="D169" s="369"/>
      <c r="E169" s="369"/>
      <c r="H169" s="372"/>
      <c r="I169" s="372"/>
    </row>
    <row r="170">
      <c r="D170" s="369"/>
      <c r="E170" s="369"/>
      <c r="H170" s="372"/>
      <c r="I170" s="372"/>
    </row>
    <row r="171">
      <c r="D171" s="369"/>
      <c r="E171" s="369"/>
      <c r="H171" s="372"/>
      <c r="I171" s="372"/>
    </row>
    <row r="172">
      <c r="D172" s="369"/>
      <c r="E172" s="369"/>
      <c r="H172" s="372"/>
      <c r="I172" s="372"/>
    </row>
    <row r="173">
      <c r="D173" s="369"/>
      <c r="E173" s="369"/>
      <c r="H173" s="372"/>
      <c r="I173" s="372"/>
    </row>
    <row r="174">
      <c r="D174" s="369"/>
      <c r="E174" s="369"/>
      <c r="H174" s="372"/>
      <c r="I174" s="372"/>
    </row>
    <row r="175">
      <c r="D175" s="369"/>
      <c r="E175" s="369"/>
      <c r="H175" s="372"/>
      <c r="I175" s="372"/>
    </row>
    <row r="176">
      <c r="D176" s="369"/>
      <c r="E176" s="369"/>
      <c r="H176" s="372"/>
      <c r="I176" s="372"/>
    </row>
    <row r="177">
      <c r="D177" s="369"/>
      <c r="E177" s="369"/>
      <c r="H177" s="372"/>
      <c r="I177" s="372"/>
    </row>
    <row r="178">
      <c r="D178" s="369"/>
      <c r="E178" s="369"/>
      <c r="H178" s="372"/>
      <c r="I178" s="372"/>
    </row>
    <row r="179">
      <c r="D179" s="369"/>
      <c r="E179" s="369"/>
      <c r="H179" s="372"/>
      <c r="I179" s="372"/>
    </row>
    <row r="180">
      <c r="D180" s="369"/>
      <c r="E180" s="369"/>
      <c r="H180" s="372"/>
      <c r="I180" s="372"/>
    </row>
    <row r="181">
      <c r="D181" s="369"/>
      <c r="E181" s="369"/>
      <c r="H181" s="372"/>
      <c r="I181" s="372"/>
    </row>
    <row r="182">
      <c r="D182" s="369"/>
      <c r="E182" s="369"/>
      <c r="H182" s="372"/>
      <c r="I182" s="372"/>
    </row>
    <row r="183">
      <c r="D183" s="369"/>
      <c r="E183" s="369"/>
      <c r="H183" s="372"/>
      <c r="I183" s="372"/>
    </row>
    <row r="184">
      <c r="D184" s="369"/>
      <c r="E184" s="369"/>
      <c r="H184" s="372"/>
      <c r="I184" s="372"/>
    </row>
    <row r="185">
      <c r="D185" s="369"/>
      <c r="E185" s="369"/>
      <c r="H185" s="372"/>
      <c r="I185" s="372"/>
    </row>
    <row r="186">
      <c r="D186" s="369"/>
      <c r="E186" s="369"/>
      <c r="H186" s="372"/>
      <c r="I186" s="372"/>
    </row>
    <row r="187">
      <c r="D187" s="369"/>
      <c r="E187" s="369"/>
      <c r="H187" s="372"/>
      <c r="I187" s="372"/>
    </row>
    <row r="188">
      <c r="D188" s="369"/>
      <c r="E188" s="369"/>
      <c r="H188" s="372"/>
      <c r="I188" s="372"/>
    </row>
    <row r="189">
      <c r="D189" s="369"/>
      <c r="E189" s="369"/>
      <c r="H189" s="372"/>
      <c r="I189" s="372"/>
    </row>
    <row r="190">
      <c r="D190" s="369"/>
      <c r="E190" s="369"/>
      <c r="H190" s="372"/>
      <c r="I190" s="372"/>
    </row>
    <row r="191">
      <c r="D191" s="369"/>
      <c r="E191" s="369"/>
      <c r="H191" s="372"/>
      <c r="I191" s="372"/>
    </row>
    <row r="192">
      <c r="D192" s="369"/>
      <c r="E192" s="369"/>
      <c r="H192" s="372"/>
      <c r="I192" s="372"/>
    </row>
    <row r="193">
      <c r="D193" s="369"/>
      <c r="E193" s="369"/>
      <c r="H193" s="372"/>
      <c r="I193" s="372"/>
    </row>
    <row r="194">
      <c r="D194" s="369"/>
      <c r="E194" s="369"/>
      <c r="H194" s="372"/>
      <c r="I194" s="372"/>
    </row>
    <row r="195">
      <c r="D195" s="369"/>
      <c r="E195" s="369"/>
      <c r="H195" s="372"/>
      <c r="I195" s="372"/>
    </row>
    <row r="196">
      <c r="D196" s="369"/>
      <c r="E196" s="369"/>
      <c r="H196" s="372"/>
      <c r="I196" s="372"/>
    </row>
    <row r="197">
      <c r="D197" s="369"/>
      <c r="E197" s="369"/>
      <c r="H197" s="372"/>
      <c r="I197" s="372"/>
    </row>
    <row r="198">
      <c r="D198" s="369"/>
      <c r="E198" s="369"/>
      <c r="H198" s="372"/>
      <c r="I198" s="372"/>
    </row>
    <row r="199">
      <c r="D199" s="369"/>
      <c r="E199" s="369"/>
      <c r="H199" s="372"/>
      <c r="I199" s="372"/>
    </row>
    <row r="200">
      <c r="D200" s="369"/>
      <c r="E200" s="369"/>
      <c r="H200" s="372"/>
      <c r="I200" s="372"/>
    </row>
    <row r="201">
      <c r="D201" s="369"/>
      <c r="E201" s="369"/>
      <c r="H201" s="372"/>
      <c r="I201" s="372"/>
    </row>
    <row r="202">
      <c r="D202" s="369"/>
      <c r="E202" s="369"/>
      <c r="H202" s="372"/>
      <c r="I202" s="372"/>
    </row>
    <row r="203">
      <c r="D203" s="369"/>
      <c r="E203" s="369"/>
      <c r="H203" s="372"/>
      <c r="I203" s="372"/>
    </row>
    <row r="204">
      <c r="D204" s="369"/>
      <c r="E204" s="369"/>
      <c r="H204" s="372"/>
      <c r="I204" s="372"/>
    </row>
    <row r="205">
      <c r="D205" s="369"/>
      <c r="E205" s="369"/>
      <c r="H205" s="372"/>
      <c r="I205" s="372"/>
    </row>
    <row r="206">
      <c r="D206" s="369"/>
      <c r="E206" s="369"/>
      <c r="H206" s="372"/>
      <c r="I206" s="372"/>
    </row>
    <row r="207">
      <c r="D207" s="369"/>
      <c r="E207" s="369"/>
      <c r="H207" s="372"/>
      <c r="I207" s="372"/>
    </row>
    <row r="208">
      <c r="D208" s="369"/>
      <c r="E208" s="369"/>
      <c r="H208" s="372"/>
      <c r="I208" s="372"/>
    </row>
    <row r="209">
      <c r="D209" s="369"/>
      <c r="E209" s="369"/>
      <c r="H209" s="372"/>
      <c r="I209" s="372"/>
    </row>
    <row r="210">
      <c r="D210" s="369"/>
      <c r="E210" s="369"/>
      <c r="H210" s="372"/>
      <c r="I210" s="372"/>
    </row>
    <row r="211">
      <c r="D211" s="369"/>
      <c r="E211" s="369"/>
      <c r="H211" s="372"/>
      <c r="I211" s="372"/>
    </row>
    <row r="212">
      <c r="D212" s="369"/>
      <c r="E212" s="369"/>
      <c r="H212" s="372"/>
      <c r="I212" s="372"/>
    </row>
    <row r="213">
      <c r="D213" s="369"/>
      <c r="E213" s="369"/>
      <c r="H213" s="372"/>
      <c r="I213" s="372"/>
    </row>
    <row r="214">
      <c r="D214" s="369"/>
      <c r="E214" s="369"/>
      <c r="H214" s="372"/>
      <c r="I214" s="372"/>
    </row>
    <row r="215">
      <c r="D215" s="369"/>
      <c r="E215" s="369"/>
      <c r="H215" s="372"/>
      <c r="I215" s="372"/>
    </row>
    <row r="216">
      <c r="D216" s="369"/>
      <c r="E216" s="369"/>
      <c r="H216" s="372"/>
      <c r="I216" s="372"/>
    </row>
    <row r="217">
      <c r="D217" s="369"/>
      <c r="E217" s="369"/>
      <c r="H217" s="372"/>
      <c r="I217" s="372"/>
    </row>
    <row r="218">
      <c r="D218" s="369"/>
      <c r="E218" s="369"/>
      <c r="H218" s="372"/>
      <c r="I218" s="372"/>
    </row>
    <row r="219">
      <c r="D219" s="369"/>
      <c r="E219" s="369"/>
      <c r="H219" s="372"/>
      <c r="I219" s="372"/>
    </row>
    <row r="220">
      <c r="D220" s="369"/>
      <c r="E220" s="369"/>
      <c r="H220" s="372"/>
      <c r="I220" s="372"/>
    </row>
    <row r="221">
      <c r="D221" s="369"/>
      <c r="E221" s="369"/>
      <c r="H221" s="372"/>
      <c r="I221" s="372"/>
    </row>
    <row r="222">
      <c r="D222" s="369"/>
      <c r="E222" s="369"/>
      <c r="H222" s="372"/>
      <c r="I222" s="372"/>
    </row>
    <row r="223">
      <c r="D223" s="369"/>
      <c r="E223" s="369"/>
      <c r="H223" s="372"/>
      <c r="I223" s="372"/>
    </row>
    <row r="224">
      <c r="D224" s="369"/>
      <c r="E224" s="369"/>
      <c r="H224" s="372"/>
      <c r="I224" s="372"/>
    </row>
    <row r="225">
      <c r="D225" s="369"/>
      <c r="E225" s="369"/>
      <c r="H225" s="372"/>
      <c r="I225" s="372"/>
    </row>
    <row r="226">
      <c r="D226" s="369"/>
      <c r="E226" s="369"/>
      <c r="H226" s="372"/>
      <c r="I226" s="372"/>
    </row>
    <row r="227">
      <c r="D227" s="369"/>
      <c r="E227" s="369"/>
      <c r="H227" s="372"/>
      <c r="I227" s="372"/>
    </row>
    <row r="228">
      <c r="D228" s="369"/>
      <c r="E228" s="369"/>
      <c r="H228" s="372"/>
      <c r="I228" s="372"/>
    </row>
    <row r="229">
      <c r="D229" s="369"/>
      <c r="E229" s="369"/>
      <c r="H229" s="372"/>
      <c r="I229" s="372"/>
    </row>
    <row r="230">
      <c r="D230" s="369"/>
      <c r="E230" s="369"/>
      <c r="H230" s="372"/>
      <c r="I230" s="372"/>
    </row>
    <row r="231">
      <c r="D231" s="369"/>
      <c r="E231" s="369"/>
      <c r="H231" s="372"/>
      <c r="I231" s="372"/>
    </row>
    <row r="232">
      <c r="D232" s="369"/>
      <c r="E232" s="369"/>
      <c r="H232" s="372"/>
      <c r="I232" s="372"/>
    </row>
    <row r="233">
      <c r="D233" s="369"/>
      <c r="E233" s="369"/>
      <c r="H233" s="372"/>
      <c r="I233" s="372"/>
    </row>
    <row r="234">
      <c r="D234" s="369"/>
      <c r="E234" s="369"/>
      <c r="H234" s="372"/>
      <c r="I234" s="372"/>
    </row>
    <row r="235">
      <c r="D235" s="369"/>
      <c r="E235" s="369"/>
      <c r="H235" s="372"/>
      <c r="I235" s="372"/>
    </row>
    <row r="236">
      <c r="D236" s="369"/>
      <c r="E236" s="369"/>
      <c r="H236" s="372"/>
      <c r="I236" s="372"/>
    </row>
    <row r="237">
      <c r="D237" s="369"/>
      <c r="E237" s="369"/>
      <c r="H237" s="372"/>
      <c r="I237" s="372"/>
    </row>
    <row r="238">
      <c r="D238" s="369"/>
      <c r="E238" s="369"/>
      <c r="H238" s="372"/>
      <c r="I238" s="372"/>
    </row>
    <row r="239">
      <c r="D239" s="369"/>
      <c r="E239" s="369"/>
      <c r="H239" s="372"/>
      <c r="I239" s="372"/>
    </row>
    <row r="240">
      <c r="D240" s="369"/>
      <c r="E240" s="369"/>
      <c r="H240" s="372"/>
      <c r="I240" s="372"/>
    </row>
    <row r="241">
      <c r="D241" s="369"/>
      <c r="E241" s="369"/>
      <c r="H241" s="372"/>
      <c r="I241" s="372"/>
    </row>
    <row r="242">
      <c r="D242" s="369"/>
      <c r="E242" s="369"/>
      <c r="H242" s="372"/>
      <c r="I242" s="372"/>
    </row>
    <row r="243">
      <c r="D243" s="369"/>
      <c r="E243" s="369"/>
      <c r="H243" s="372"/>
      <c r="I243" s="372"/>
    </row>
    <row r="244">
      <c r="D244" s="369"/>
      <c r="E244" s="369"/>
      <c r="H244" s="372"/>
      <c r="I244" s="372"/>
    </row>
    <row r="245">
      <c r="D245" s="369"/>
      <c r="E245" s="369"/>
      <c r="H245" s="372"/>
      <c r="I245" s="372"/>
    </row>
    <row r="246">
      <c r="D246" s="369"/>
      <c r="E246" s="369"/>
      <c r="H246" s="372"/>
      <c r="I246" s="372"/>
    </row>
    <row r="247">
      <c r="D247" s="369"/>
      <c r="E247" s="369"/>
      <c r="H247" s="372"/>
      <c r="I247" s="372"/>
    </row>
    <row r="248">
      <c r="D248" s="369"/>
      <c r="E248" s="369"/>
      <c r="H248" s="372"/>
      <c r="I248" s="372"/>
    </row>
    <row r="249">
      <c r="D249" s="369"/>
      <c r="E249" s="369"/>
      <c r="H249" s="372"/>
      <c r="I249" s="372"/>
    </row>
    <row r="250">
      <c r="D250" s="369"/>
      <c r="E250" s="369"/>
      <c r="H250" s="372"/>
      <c r="I250" s="372"/>
    </row>
    <row r="251">
      <c r="D251" s="369"/>
      <c r="E251" s="369"/>
      <c r="H251" s="372"/>
      <c r="I251" s="372"/>
    </row>
    <row r="252">
      <c r="D252" s="369"/>
      <c r="E252" s="369"/>
      <c r="H252" s="372"/>
      <c r="I252" s="372"/>
    </row>
    <row r="253">
      <c r="D253" s="369"/>
      <c r="E253" s="369"/>
      <c r="H253" s="372"/>
      <c r="I253" s="372"/>
    </row>
    <row r="254">
      <c r="D254" s="369"/>
      <c r="E254" s="369"/>
      <c r="H254" s="372"/>
      <c r="I254" s="372"/>
    </row>
    <row r="255">
      <c r="D255" s="369"/>
      <c r="E255" s="369"/>
      <c r="H255" s="372"/>
      <c r="I255" s="372"/>
    </row>
    <row r="256">
      <c r="D256" s="369"/>
      <c r="E256" s="369"/>
      <c r="H256" s="372"/>
      <c r="I256" s="372"/>
    </row>
    <row r="257">
      <c r="D257" s="369"/>
      <c r="E257" s="369"/>
      <c r="H257" s="372"/>
      <c r="I257" s="372"/>
    </row>
    <row r="258">
      <c r="D258" s="369"/>
      <c r="E258" s="369"/>
      <c r="H258" s="372"/>
      <c r="I258" s="372"/>
    </row>
    <row r="259">
      <c r="D259" s="369"/>
      <c r="E259" s="369"/>
      <c r="H259" s="372"/>
      <c r="I259" s="372"/>
    </row>
    <row r="260">
      <c r="D260" s="369"/>
      <c r="E260" s="369"/>
      <c r="H260" s="372"/>
      <c r="I260" s="372"/>
    </row>
    <row r="261">
      <c r="D261" s="369"/>
      <c r="E261" s="369"/>
      <c r="H261" s="372"/>
      <c r="I261" s="372"/>
    </row>
    <row r="262">
      <c r="D262" s="369"/>
      <c r="E262" s="369"/>
      <c r="H262" s="372"/>
      <c r="I262" s="372"/>
    </row>
    <row r="263">
      <c r="D263" s="369"/>
      <c r="E263" s="369"/>
      <c r="H263" s="372"/>
      <c r="I263" s="372"/>
    </row>
    <row r="264">
      <c r="D264" s="369"/>
      <c r="E264" s="369"/>
      <c r="H264" s="372"/>
      <c r="I264" s="372"/>
    </row>
    <row r="265">
      <c r="D265" s="369"/>
      <c r="E265" s="369"/>
      <c r="H265" s="372"/>
      <c r="I265" s="372"/>
    </row>
    <row r="266">
      <c r="D266" s="369"/>
      <c r="E266" s="369"/>
      <c r="H266" s="372"/>
      <c r="I266" s="372"/>
    </row>
    <row r="267">
      <c r="D267" s="369"/>
      <c r="E267" s="369"/>
      <c r="H267" s="372"/>
      <c r="I267" s="372"/>
    </row>
    <row r="268">
      <c r="D268" s="369"/>
      <c r="E268" s="369"/>
      <c r="H268" s="372"/>
      <c r="I268" s="372"/>
    </row>
    <row r="269">
      <c r="D269" s="369"/>
      <c r="E269" s="369"/>
      <c r="H269" s="372"/>
      <c r="I269" s="372"/>
    </row>
    <row r="270">
      <c r="D270" s="369"/>
      <c r="E270" s="369"/>
      <c r="H270" s="372"/>
      <c r="I270" s="372"/>
    </row>
    <row r="271">
      <c r="D271" s="369"/>
      <c r="E271" s="369"/>
      <c r="H271" s="372"/>
      <c r="I271" s="372"/>
    </row>
    <row r="272">
      <c r="D272" s="369"/>
      <c r="E272" s="369"/>
      <c r="H272" s="372"/>
      <c r="I272" s="372"/>
    </row>
    <row r="273">
      <c r="D273" s="369"/>
      <c r="E273" s="369"/>
      <c r="H273" s="372"/>
      <c r="I273" s="372"/>
    </row>
    <row r="274">
      <c r="D274" s="369"/>
      <c r="E274" s="369"/>
      <c r="H274" s="372"/>
      <c r="I274" s="372"/>
    </row>
    <row r="275">
      <c r="D275" s="369"/>
      <c r="E275" s="369"/>
      <c r="H275" s="372"/>
      <c r="I275" s="372"/>
    </row>
    <row r="276">
      <c r="D276" s="369"/>
      <c r="E276" s="369"/>
      <c r="H276" s="372"/>
      <c r="I276" s="372"/>
    </row>
    <row r="277">
      <c r="D277" s="369"/>
      <c r="E277" s="369"/>
      <c r="H277" s="372"/>
      <c r="I277" s="372"/>
    </row>
    <row r="278">
      <c r="D278" s="369"/>
      <c r="E278" s="369"/>
      <c r="H278" s="372"/>
      <c r="I278" s="372"/>
    </row>
    <row r="279">
      <c r="D279" s="369"/>
      <c r="E279" s="369"/>
      <c r="H279" s="372"/>
      <c r="I279" s="372"/>
    </row>
    <row r="280">
      <c r="D280" s="369"/>
      <c r="E280" s="369"/>
      <c r="H280" s="372"/>
      <c r="I280" s="372"/>
    </row>
    <row r="281">
      <c r="D281" s="369"/>
      <c r="E281" s="369"/>
      <c r="H281" s="372"/>
      <c r="I281" s="372"/>
    </row>
    <row r="282">
      <c r="D282" s="369"/>
      <c r="E282" s="369"/>
      <c r="H282" s="372"/>
      <c r="I282" s="372"/>
    </row>
    <row r="283">
      <c r="D283" s="369"/>
      <c r="E283" s="369"/>
      <c r="H283" s="372"/>
      <c r="I283" s="372"/>
    </row>
    <row r="284">
      <c r="D284" s="369"/>
      <c r="E284" s="369"/>
      <c r="H284" s="372"/>
      <c r="I284" s="372"/>
    </row>
    <row r="285">
      <c r="D285" s="369"/>
      <c r="E285" s="369"/>
      <c r="H285" s="372"/>
      <c r="I285" s="372"/>
    </row>
    <row r="286">
      <c r="D286" s="369"/>
      <c r="E286" s="369"/>
      <c r="H286" s="372"/>
      <c r="I286" s="372"/>
    </row>
    <row r="287">
      <c r="D287" s="369"/>
      <c r="E287" s="369"/>
      <c r="H287" s="372"/>
      <c r="I287" s="372"/>
    </row>
    <row r="288">
      <c r="D288" s="369"/>
      <c r="E288" s="369"/>
      <c r="H288" s="372"/>
      <c r="I288" s="372"/>
    </row>
    <row r="289">
      <c r="D289" s="369"/>
      <c r="E289" s="369"/>
      <c r="H289" s="372"/>
      <c r="I289" s="372"/>
    </row>
    <row r="290">
      <c r="D290" s="369"/>
      <c r="E290" s="369"/>
      <c r="H290" s="372"/>
      <c r="I290" s="372"/>
    </row>
    <row r="291">
      <c r="D291" s="369"/>
      <c r="E291" s="369"/>
      <c r="H291" s="372"/>
      <c r="I291" s="372"/>
    </row>
    <row r="292">
      <c r="D292" s="369"/>
      <c r="E292" s="369"/>
      <c r="H292" s="372"/>
      <c r="I292" s="372"/>
    </row>
    <row r="293">
      <c r="D293" s="369"/>
      <c r="E293" s="369"/>
      <c r="H293" s="372"/>
      <c r="I293" s="372"/>
    </row>
    <row r="294">
      <c r="D294" s="369"/>
      <c r="E294" s="369"/>
      <c r="H294" s="372"/>
      <c r="I294" s="372"/>
    </row>
    <row r="295">
      <c r="D295" s="369"/>
      <c r="E295" s="369"/>
      <c r="H295" s="372"/>
      <c r="I295" s="372"/>
    </row>
    <row r="296">
      <c r="D296" s="369"/>
      <c r="E296" s="369"/>
      <c r="H296" s="372"/>
      <c r="I296" s="372"/>
    </row>
    <row r="297">
      <c r="D297" s="369"/>
      <c r="E297" s="369"/>
      <c r="H297" s="372"/>
      <c r="I297" s="372"/>
    </row>
    <row r="298">
      <c r="D298" s="369"/>
      <c r="E298" s="369"/>
      <c r="H298" s="372"/>
      <c r="I298" s="372"/>
    </row>
    <row r="299">
      <c r="D299" s="369"/>
      <c r="E299" s="369"/>
      <c r="H299" s="372"/>
      <c r="I299" s="372"/>
    </row>
    <row r="300">
      <c r="D300" s="369"/>
      <c r="E300" s="369"/>
      <c r="H300" s="372"/>
      <c r="I300" s="372"/>
    </row>
    <row r="301">
      <c r="D301" s="369"/>
      <c r="E301" s="369"/>
      <c r="H301" s="372"/>
      <c r="I301" s="372"/>
    </row>
    <row r="302">
      <c r="D302" s="369"/>
      <c r="E302" s="369"/>
      <c r="H302" s="372"/>
      <c r="I302" s="372"/>
    </row>
    <row r="303">
      <c r="D303" s="369"/>
      <c r="E303" s="369"/>
      <c r="H303" s="372"/>
      <c r="I303" s="372"/>
    </row>
    <row r="304">
      <c r="D304" s="369"/>
      <c r="E304" s="369"/>
      <c r="H304" s="372"/>
      <c r="I304" s="372"/>
    </row>
    <row r="305">
      <c r="D305" s="369"/>
      <c r="E305" s="369"/>
      <c r="H305" s="372"/>
      <c r="I305" s="372"/>
    </row>
    <row r="306">
      <c r="D306" s="369"/>
      <c r="E306" s="369"/>
      <c r="H306" s="372"/>
      <c r="I306" s="372"/>
    </row>
    <row r="307">
      <c r="D307" s="369"/>
      <c r="E307" s="369"/>
      <c r="H307" s="372"/>
      <c r="I307" s="372"/>
    </row>
    <row r="308">
      <c r="D308" s="369"/>
      <c r="E308" s="369"/>
      <c r="H308" s="372"/>
      <c r="I308" s="372"/>
    </row>
    <row r="309">
      <c r="D309" s="369"/>
      <c r="E309" s="369"/>
      <c r="H309" s="372"/>
      <c r="I309" s="372"/>
    </row>
    <row r="310">
      <c r="D310" s="369"/>
      <c r="E310" s="369"/>
      <c r="H310" s="372"/>
      <c r="I310" s="372"/>
    </row>
    <row r="311">
      <c r="D311" s="369"/>
      <c r="E311" s="369"/>
      <c r="H311" s="372"/>
      <c r="I311" s="372"/>
    </row>
    <row r="312">
      <c r="D312" s="369"/>
      <c r="E312" s="369"/>
      <c r="H312" s="372"/>
      <c r="I312" s="372"/>
    </row>
    <row r="313">
      <c r="D313" s="369"/>
      <c r="E313" s="369"/>
      <c r="H313" s="372"/>
      <c r="I313" s="372"/>
    </row>
    <row r="314">
      <c r="D314" s="369"/>
      <c r="E314" s="369"/>
      <c r="H314" s="372"/>
      <c r="I314" s="372"/>
    </row>
    <row r="315">
      <c r="D315" s="369"/>
      <c r="E315" s="369"/>
      <c r="H315" s="372"/>
      <c r="I315" s="372"/>
    </row>
    <row r="316">
      <c r="D316" s="369"/>
      <c r="E316" s="369"/>
      <c r="H316" s="372"/>
      <c r="I316" s="372"/>
    </row>
    <row r="317">
      <c r="D317" s="369"/>
      <c r="E317" s="369"/>
      <c r="H317" s="372"/>
      <c r="I317" s="372"/>
    </row>
    <row r="318">
      <c r="D318" s="369"/>
      <c r="E318" s="369"/>
      <c r="H318" s="372"/>
      <c r="I318" s="372"/>
    </row>
    <row r="319">
      <c r="D319" s="369"/>
      <c r="E319" s="369"/>
      <c r="H319" s="372"/>
      <c r="I319" s="372"/>
    </row>
    <row r="320">
      <c r="D320" s="369"/>
      <c r="E320" s="369"/>
      <c r="H320" s="372"/>
      <c r="I320" s="372"/>
    </row>
    <row r="321">
      <c r="D321" s="369"/>
      <c r="E321" s="369"/>
      <c r="H321" s="372"/>
      <c r="I321" s="372"/>
    </row>
    <row r="322">
      <c r="D322" s="369"/>
      <c r="E322" s="369"/>
      <c r="H322" s="372"/>
      <c r="I322" s="372"/>
    </row>
    <row r="323">
      <c r="D323" s="369"/>
      <c r="E323" s="369"/>
      <c r="H323" s="372"/>
      <c r="I323" s="372"/>
    </row>
    <row r="324">
      <c r="D324" s="369"/>
      <c r="E324" s="369"/>
      <c r="H324" s="372"/>
      <c r="I324" s="372"/>
    </row>
    <row r="325">
      <c r="D325" s="369"/>
      <c r="E325" s="369"/>
      <c r="H325" s="372"/>
      <c r="I325" s="372"/>
    </row>
    <row r="326">
      <c r="D326" s="369"/>
      <c r="E326" s="369"/>
      <c r="H326" s="372"/>
      <c r="I326" s="372"/>
    </row>
    <row r="327">
      <c r="D327" s="369"/>
      <c r="E327" s="369"/>
      <c r="H327" s="372"/>
      <c r="I327" s="372"/>
    </row>
    <row r="328">
      <c r="D328" s="369"/>
      <c r="E328" s="369"/>
      <c r="H328" s="372"/>
      <c r="I328" s="372"/>
    </row>
    <row r="329">
      <c r="D329" s="369"/>
      <c r="E329" s="369"/>
      <c r="H329" s="372"/>
      <c r="I329" s="372"/>
    </row>
    <row r="330">
      <c r="D330" s="369"/>
      <c r="E330" s="369"/>
      <c r="H330" s="372"/>
      <c r="I330" s="372"/>
    </row>
    <row r="331">
      <c r="D331" s="369"/>
      <c r="E331" s="369"/>
      <c r="H331" s="372"/>
      <c r="I331" s="372"/>
    </row>
    <row r="332">
      <c r="D332" s="369"/>
      <c r="E332" s="369"/>
      <c r="H332" s="372"/>
      <c r="I332" s="372"/>
    </row>
    <row r="333">
      <c r="D333" s="369"/>
      <c r="E333" s="369"/>
      <c r="H333" s="372"/>
      <c r="I333" s="372"/>
    </row>
    <row r="334">
      <c r="D334" s="369"/>
      <c r="E334" s="369"/>
      <c r="H334" s="372"/>
      <c r="I334" s="372"/>
    </row>
    <row r="335">
      <c r="D335" s="369"/>
      <c r="E335" s="369"/>
      <c r="H335" s="372"/>
      <c r="I335" s="372"/>
    </row>
    <row r="336">
      <c r="D336" s="369"/>
      <c r="E336" s="369"/>
      <c r="H336" s="372"/>
      <c r="I336" s="372"/>
    </row>
    <row r="337">
      <c r="D337" s="369"/>
      <c r="E337" s="369"/>
      <c r="H337" s="372"/>
      <c r="I337" s="372"/>
    </row>
    <row r="338">
      <c r="D338" s="369"/>
      <c r="E338" s="369"/>
      <c r="H338" s="372"/>
      <c r="I338" s="372"/>
    </row>
    <row r="339">
      <c r="D339" s="369"/>
      <c r="E339" s="369"/>
      <c r="H339" s="372"/>
      <c r="I339" s="372"/>
    </row>
    <row r="340">
      <c r="D340" s="369"/>
      <c r="E340" s="369"/>
      <c r="H340" s="372"/>
      <c r="I340" s="372"/>
    </row>
    <row r="341">
      <c r="D341" s="369"/>
      <c r="E341" s="369"/>
      <c r="H341" s="372"/>
      <c r="I341" s="372"/>
    </row>
    <row r="342">
      <c r="D342" s="369"/>
      <c r="E342" s="369"/>
      <c r="H342" s="372"/>
      <c r="I342" s="372"/>
    </row>
    <row r="343">
      <c r="D343" s="369"/>
      <c r="E343" s="369"/>
      <c r="H343" s="372"/>
      <c r="I343" s="372"/>
    </row>
    <row r="344">
      <c r="D344" s="369"/>
      <c r="E344" s="369"/>
      <c r="H344" s="372"/>
      <c r="I344" s="372"/>
    </row>
    <row r="345">
      <c r="D345" s="369"/>
      <c r="E345" s="369"/>
      <c r="H345" s="372"/>
      <c r="I345" s="372"/>
    </row>
    <row r="346">
      <c r="D346" s="369"/>
      <c r="E346" s="369"/>
      <c r="H346" s="372"/>
      <c r="I346" s="372"/>
    </row>
    <row r="347">
      <c r="D347" s="369"/>
      <c r="E347" s="369"/>
      <c r="H347" s="372"/>
      <c r="I347" s="372"/>
    </row>
    <row r="348">
      <c r="D348" s="369"/>
      <c r="E348" s="369"/>
      <c r="H348" s="372"/>
      <c r="I348" s="372"/>
    </row>
    <row r="349">
      <c r="D349" s="369"/>
      <c r="E349" s="369"/>
      <c r="H349" s="372"/>
      <c r="I349" s="372"/>
    </row>
    <row r="350">
      <c r="D350" s="369"/>
      <c r="E350" s="369"/>
      <c r="H350" s="372"/>
      <c r="I350" s="372"/>
    </row>
    <row r="351">
      <c r="D351" s="369"/>
      <c r="E351" s="369"/>
      <c r="H351" s="372"/>
      <c r="I351" s="372"/>
    </row>
    <row r="352">
      <c r="D352" s="369"/>
      <c r="E352" s="369"/>
      <c r="H352" s="372"/>
      <c r="I352" s="372"/>
    </row>
    <row r="353">
      <c r="D353" s="369"/>
      <c r="E353" s="369"/>
      <c r="H353" s="372"/>
      <c r="I353" s="372"/>
    </row>
    <row r="354">
      <c r="D354" s="369"/>
      <c r="E354" s="369"/>
      <c r="H354" s="372"/>
      <c r="I354" s="372"/>
    </row>
    <row r="355">
      <c r="D355" s="369"/>
      <c r="E355" s="369"/>
      <c r="H355" s="372"/>
      <c r="I355" s="372"/>
    </row>
    <row r="356">
      <c r="D356" s="369"/>
      <c r="E356" s="369"/>
      <c r="H356" s="372"/>
      <c r="I356" s="372"/>
    </row>
    <row r="357">
      <c r="D357" s="369"/>
      <c r="E357" s="369"/>
      <c r="H357" s="372"/>
      <c r="I357" s="372"/>
    </row>
    <row r="358">
      <c r="D358" s="369"/>
      <c r="E358" s="369"/>
      <c r="H358" s="372"/>
      <c r="I358" s="372"/>
    </row>
    <row r="359">
      <c r="D359" s="369"/>
      <c r="E359" s="369"/>
      <c r="H359" s="372"/>
      <c r="I359" s="372"/>
    </row>
    <row r="360">
      <c r="D360" s="369"/>
      <c r="E360" s="369"/>
      <c r="H360" s="372"/>
      <c r="I360" s="372"/>
    </row>
    <row r="361">
      <c r="D361" s="369"/>
      <c r="E361" s="369"/>
      <c r="H361" s="372"/>
      <c r="I361" s="372"/>
    </row>
    <row r="362">
      <c r="D362" s="369"/>
      <c r="E362" s="369"/>
      <c r="H362" s="372"/>
      <c r="I362" s="372"/>
    </row>
    <row r="363">
      <c r="D363" s="369"/>
      <c r="E363" s="369"/>
      <c r="H363" s="372"/>
      <c r="I363" s="372"/>
    </row>
    <row r="364">
      <c r="D364" s="369"/>
      <c r="E364" s="369"/>
      <c r="H364" s="372"/>
      <c r="I364" s="372"/>
    </row>
    <row r="365">
      <c r="D365" s="369"/>
      <c r="E365" s="369"/>
      <c r="H365" s="372"/>
      <c r="I365" s="372"/>
    </row>
    <row r="366">
      <c r="D366" s="369"/>
      <c r="E366" s="369"/>
      <c r="H366" s="372"/>
      <c r="I366" s="372"/>
    </row>
    <row r="367">
      <c r="D367" s="369"/>
      <c r="E367" s="369"/>
      <c r="H367" s="372"/>
      <c r="I367" s="372"/>
    </row>
    <row r="368">
      <c r="D368" s="369"/>
      <c r="E368" s="369"/>
      <c r="H368" s="372"/>
      <c r="I368" s="372"/>
    </row>
    <row r="369">
      <c r="D369" s="369"/>
      <c r="E369" s="369"/>
      <c r="H369" s="372"/>
      <c r="I369" s="372"/>
    </row>
    <row r="370">
      <c r="D370" s="369"/>
      <c r="E370" s="369"/>
      <c r="H370" s="372"/>
      <c r="I370" s="372"/>
    </row>
    <row r="371">
      <c r="D371" s="369"/>
      <c r="E371" s="369"/>
      <c r="H371" s="372"/>
      <c r="I371" s="372"/>
    </row>
    <row r="372">
      <c r="D372" s="369"/>
      <c r="E372" s="369"/>
      <c r="H372" s="372"/>
      <c r="I372" s="372"/>
    </row>
    <row r="373">
      <c r="D373" s="369"/>
      <c r="E373" s="369"/>
      <c r="H373" s="372"/>
      <c r="I373" s="372"/>
    </row>
    <row r="374">
      <c r="D374" s="369"/>
      <c r="E374" s="369"/>
      <c r="H374" s="372"/>
      <c r="I374" s="372"/>
    </row>
    <row r="375">
      <c r="D375" s="369"/>
      <c r="E375" s="369"/>
      <c r="H375" s="372"/>
      <c r="I375" s="372"/>
    </row>
    <row r="376">
      <c r="D376" s="369"/>
      <c r="E376" s="369"/>
      <c r="H376" s="372"/>
      <c r="I376" s="372"/>
    </row>
    <row r="377">
      <c r="D377" s="369"/>
      <c r="E377" s="369"/>
      <c r="H377" s="372"/>
      <c r="I377" s="372"/>
    </row>
    <row r="378">
      <c r="D378" s="369"/>
      <c r="E378" s="369"/>
      <c r="H378" s="372"/>
      <c r="I378" s="372"/>
    </row>
    <row r="379">
      <c r="D379" s="369"/>
      <c r="E379" s="369"/>
      <c r="H379" s="372"/>
      <c r="I379" s="372"/>
    </row>
    <row r="380">
      <c r="D380" s="369"/>
      <c r="E380" s="369"/>
      <c r="H380" s="372"/>
      <c r="I380" s="372"/>
    </row>
    <row r="381">
      <c r="D381" s="369"/>
      <c r="E381" s="369"/>
      <c r="H381" s="372"/>
      <c r="I381" s="372"/>
    </row>
    <row r="382">
      <c r="D382" s="369"/>
      <c r="E382" s="369"/>
      <c r="H382" s="372"/>
      <c r="I382" s="372"/>
    </row>
    <row r="383">
      <c r="D383" s="369"/>
      <c r="E383" s="369"/>
      <c r="H383" s="372"/>
      <c r="I383" s="372"/>
    </row>
    <row r="384">
      <c r="D384" s="369"/>
      <c r="E384" s="369"/>
      <c r="H384" s="372"/>
      <c r="I384" s="372"/>
    </row>
    <row r="385">
      <c r="D385" s="369"/>
      <c r="E385" s="369"/>
      <c r="H385" s="372"/>
      <c r="I385" s="372"/>
    </row>
    <row r="386">
      <c r="D386" s="369"/>
      <c r="E386" s="369"/>
      <c r="H386" s="372"/>
      <c r="I386" s="372"/>
    </row>
    <row r="387">
      <c r="D387" s="369"/>
      <c r="E387" s="369"/>
      <c r="H387" s="372"/>
      <c r="I387" s="372"/>
    </row>
    <row r="388">
      <c r="D388" s="369"/>
      <c r="E388" s="369"/>
      <c r="H388" s="372"/>
      <c r="I388" s="372"/>
    </row>
    <row r="389">
      <c r="D389" s="369"/>
      <c r="E389" s="369"/>
      <c r="H389" s="372"/>
      <c r="I389" s="372"/>
    </row>
    <row r="390">
      <c r="D390" s="369"/>
      <c r="E390" s="369"/>
      <c r="H390" s="372"/>
      <c r="I390" s="372"/>
    </row>
    <row r="391">
      <c r="D391" s="369"/>
      <c r="E391" s="369"/>
      <c r="H391" s="372"/>
      <c r="I391" s="372"/>
    </row>
    <row r="392">
      <c r="D392" s="369"/>
      <c r="E392" s="369"/>
      <c r="H392" s="372"/>
      <c r="I392" s="372"/>
    </row>
    <row r="393">
      <c r="D393" s="369"/>
      <c r="E393" s="369"/>
      <c r="H393" s="372"/>
      <c r="I393" s="372"/>
    </row>
    <row r="394">
      <c r="D394" s="369"/>
      <c r="E394" s="369"/>
      <c r="H394" s="372"/>
      <c r="I394" s="372"/>
    </row>
    <row r="395">
      <c r="D395" s="369"/>
      <c r="E395" s="369"/>
      <c r="H395" s="372"/>
      <c r="I395" s="372"/>
    </row>
    <row r="396">
      <c r="D396" s="369"/>
      <c r="E396" s="369"/>
      <c r="H396" s="372"/>
      <c r="I396" s="372"/>
    </row>
    <row r="397">
      <c r="D397" s="369"/>
      <c r="E397" s="369"/>
      <c r="H397" s="372"/>
      <c r="I397" s="372"/>
    </row>
    <row r="398">
      <c r="D398" s="369"/>
      <c r="E398" s="369"/>
      <c r="H398" s="372"/>
      <c r="I398" s="372"/>
    </row>
    <row r="399">
      <c r="D399" s="369"/>
      <c r="E399" s="369"/>
      <c r="H399" s="372"/>
      <c r="I399" s="372"/>
    </row>
    <row r="400">
      <c r="D400" s="369"/>
      <c r="E400" s="369"/>
      <c r="H400" s="372"/>
      <c r="I400" s="372"/>
    </row>
    <row r="401">
      <c r="D401" s="369"/>
      <c r="E401" s="369"/>
      <c r="H401" s="372"/>
      <c r="I401" s="372"/>
    </row>
    <row r="402">
      <c r="D402" s="369"/>
      <c r="E402" s="369"/>
      <c r="H402" s="372"/>
      <c r="I402" s="372"/>
    </row>
    <row r="403">
      <c r="D403" s="369"/>
      <c r="E403" s="369"/>
      <c r="H403" s="372"/>
      <c r="I403" s="372"/>
    </row>
    <row r="404">
      <c r="D404" s="369"/>
      <c r="E404" s="369"/>
      <c r="H404" s="372"/>
      <c r="I404" s="372"/>
    </row>
    <row r="405">
      <c r="D405" s="369"/>
      <c r="E405" s="369"/>
      <c r="H405" s="372"/>
      <c r="I405" s="372"/>
    </row>
    <row r="406">
      <c r="D406" s="369"/>
      <c r="E406" s="369"/>
      <c r="H406" s="372"/>
      <c r="I406" s="372"/>
    </row>
    <row r="407">
      <c r="D407" s="369"/>
      <c r="E407" s="369"/>
      <c r="H407" s="372"/>
      <c r="I407" s="372"/>
    </row>
    <row r="408">
      <c r="D408" s="369"/>
      <c r="E408" s="369"/>
      <c r="H408" s="372"/>
      <c r="I408" s="372"/>
    </row>
    <row r="409">
      <c r="D409" s="369"/>
      <c r="E409" s="369"/>
      <c r="H409" s="372"/>
      <c r="I409" s="372"/>
    </row>
    <row r="410">
      <c r="D410" s="369"/>
      <c r="E410" s="369"/>
      <c r="H410" s="372"/>
      <c r="I410" s="372"/>
    </row>
    <row r="411">
      <c r="D411" s="369"/>
      <c r="E411" s="369"/>
      <c r="H411" s="372"/>
      <c r="I411" s="372"/>
    </row>
    <row r="412">
      <c r="D412" s="369"/>
      <c r="E412" s="369"/>
      <c r="H412" s="372"/>
      <c r="I412" s="372"/>
    </row>
    <row r="413">
      <c r="D413" s="369"/>
      <c r="E413" s="369"/>
      <c r="H413" s="372"/>
      <c r="I413" s="372"/>
    </row>
    <row r="414">
      <c r="D414" s="369"/>
      <c r="E414" s="369"/>
      <c r="H414" s="372"/>
      <c r="I414" s="372"/>
    </row>
    <row r="415">
      <c r="D415" s="369"/>
      <c r="E415" s="369"/>
      <c r="H415" s="372"/>
      <c r="I415" s="372"/>
    </row>
    <row r="416">
      <c r="D416" s="369"/>
      <c r="E416" s="369"/>
      <c r="H416" s="372"/>
      <c r="I416" s="372"/>
    </row>
    <row r="417">
      <c r="D417" s="369"/>
      <c r="E417" s="369"/>
      <c r="H417" s="372"/>
      <c r="I417" s="372"/>
    </row>
    <row r="418">
      <c r="D418" s="369"/>
      <c r="E418" s="369"/>
      <c r="H418" s="372"/>
      <c r="I418" s="372"/>
    </row>
    <row r="419">
      <c r="D419" s="369"/>
      <c r="E419" s="369"/>
      <c r="H419" s="372"/>
      <c r="I419" s="372"/>
    </row>
    <row r="420">
      <c r="D420" s="369"/>
      <c r="E420" s="369"/>
      <c r="H420" s="372"/>
      <c r="I420" s="372"/>
    </row>
    <row r="421">
      <c r="D421" s="369"/>
      <c r="E421" s="369"/>
      <c r="H421" s="372"/>
      <c r="I421" s="372"/>
    </row>
    <row r="422">
      <c r="D422" s="369"/>
      <c r="E422" s="369"/>
      <c r="H422" s="372"/>
      <c r="I422" s="372"/>
    </row>
    <row r="423">
      <c r="D423" s="369"/>
      <c r="E423" s="369"/>
      <c r="H423" s="372"/>
      <c r="I423" s="372"/>
    </row>
    <row r="424">
      <c r="D424" s="369"/>
      <c r="E424" s="369"/>
      <c r="H424" s="372"/>
      <c r="I424" s="372"/>
    </row>
    <row r="425">
      <c r="D425" s="369"/>
      <c r="E425" s="369"/>
      <c r="H425" s="372"/>
      <c r="I425" s="372"/>
    </row>
    <row r="426">
      <c r="D426" s="369"/>
      <c r="E426" s="369"/>
      <c r="H426" s="372"/>
      <c r="I426" s="372"/>
    </row>
    <row r="427">
      <c r="D427" s="369"/>
      <c r="E427" s="369"/>
      <c r="H427" s="372"/>
      <c r="I427" s="372"/>
    </row>
    <row r="428">
      <c r="D428" s="369"/>
      <c r="E428" s="369"/>
      <c r="H428" s="372"/>
      <c r="I428" s="372"/>
    </row>
    <row r="429">
      <c r="D429" s="369"/>
      <c r="E429" s="369"/>
      <c r="H429" s="372"/>
      <c r="I429" s="372"/>
    </row>
    <row r="430">
      <c r="D430" s="369"/>
      <c r="E430" s="369"/>
      <c r="H430" s="372"/>
      <c r="I430" s="372"/>
    </row>
    <row r="431">
      <c r="D431" s="369"/>
      <c r="E431" s="369"/>
      <c r="H431" s="372"/>
      <c r="I431" s="372"/>
    </row>
    <row r="432">
      <c r="D432" s="369"/>
      <c r="E432" s="369"/>
      <c r="H432" s="372"/>
      <c r="I432" s="372"/>
    </row>
    <row r="433">
      <c r="D433" s="369"/>
      <c r="E433" s="369"/>
      <c r="H433" s="372"/>
      <c r="I433" s="372"/>
    </row>
    <row r="434">
      <c r="D434" s="369"/>
      <c r="E434" s="369"/>
      <c r="H434" s="372"/>
      <c r="I434" s="372"/>
    </row>
    <row r="435">
      <c r="D435" s="369"/>
      <c r="E435" s="369"/>
      <c r="H435" s="372"/>
      <c r="I435" s="372"/>
    </row>
    <row r="436">
      <c r="D436" s="369"/>
      <c r="E436" s="369"/>
      <c r="H436" s="372"/>
      <c r="I436" s="372"/>
    </row>
    <row r="437">
      <c r="D437" s="369"/>
      <c r="E437" s="369"/>
      <c r="H437" s="372"/>
      <c r="I437" s="372"/>
    </row>
    <row r="438">
      <c r="D438" s="369"/>
      <c r="E438" s="369"/>
      <c r="H438" s="372"/>
      <c r="I438" s="372"/>
    </row>
    <row r="439">
      <c r="D439" s="369"/>
      <c r="E439" s="369"/>
      <c r="H439" s="372"/>
      <c r="I439" s="372"/>
    </row>
    <row r="440">
      <c r="D440" s="369"/>
      <c r="E440" s="369"/>
      <c r="H440" s="372"/>
      <c r="I440" s="372"/>
    </row>
    <row r="441">
      <c r="D441" s="369"/>
      <c r="E441" s="369"/>
      <c r="H441" s="372"/>
      <c r="I441" s="372"/>
    </row>
    <row r="442">
      <c r="D442" s="369"/>
      <c r="E442" s="369"/>
      <c r="H442" s="372"/>
      <c r="I442" s="372"/>
    </row>
    <row r="443">
      <c r="D443" s="369"/>
      <c r="E443" s="369"/>
      <c r="H443" s="372"/>
      <c r="I443" s="372"/>
    </row>
    <row r="444">
      <c r="D444" s="369"/>
      <c r="E444" s="369"/>
      <c r="H444" s="372"/>
      <c r="I444" s="372"/>
    </row>
    <row r="445">
      <c r="D445" s="369"/>
      <c r="E445" s="369"/>
      <c r="H445" s="372"/>
      <c r="I445" s="372"/>
    </row>
    <row r="446">
      <c r="D446" s="369"/>
      <c r="E446" s="369"/>
      <c r="H446" s="372"/>
      <c r="I446" s="372"/>
    </row>
    <row r="447">
      <c r="D447" s="369"/>
      <c r="E447" s="369"/>
      <c r="H447" s="372"/>
      <c r="I447" s="372"/>
    </row>
    <row r="448">
      <c r="D448" s="369"/>
      <c r="E448" s="369"/>
      <c r="H448" s="372"/>
      <c r="I448" s="372"/>
    </row>
    <row r="449">
      <c r="D449" s="369"/>
      <c r="E449" s="369"/>
      <c r="H449" s="372"/>
      <c r="I449" s="372"/>
    </row>
    <row r="450">
      <c r="D450" s="369"/>
      <c r="E450" s="369"/>
      <c r="H450" s="372"/>
      <c r="I450" s="372"/>
    </row>
    <row r="451">
      <c r="D451" s="369"/>
      <c r="E451" s="369"/>
      <c r="H451" s="372"/>
      <c r="I451" s="372"/>
    </row>
    <row r="452">
      <c r="D452" s="369"/>
      <c r="E452" s="369"/>
      <c r="H452" s="372"/>
      <c r="I452" s="372"/>
    </row>
    <row r="453">
      <c r="D453" s="369"/>
      <c r="E453" s="369"/>
      <c r="H453" s="372"/>
      <c r="I453" s="372"/>
    </row>
    <row r="454">
      <c r="D454" s="369"/>
      <c r="E454" s="369"/>
      <c r="H454" s="372"/>
      <c r="I454" s="372"/>
    </row>
    <row r="455">
      <c r="D455" s="369"/>
      <c r="E455" s="369"/>
      <c r="H455" s="372"/>
      <c r="I455" s="372"/>
    </row>
    <row r="456">
      <c r="D456" s="369"/>
      <c r="E456" s="369"/>
      <c r="H456" s="372"/>
      <c r="I456" s="372"/>
    </row>
    <row r="457">
      <c r="D457" s="369"/>
      <c r="E457" s="369"/>
      <c r="H457" s="372"/>
      <c r="I457" s="372"/>
    </row>
    <row r="458">
      <c r="D458" s="369"/>
      <c r="E458" s="369"/>
      <c r="H458" s="372"/>
      <c r="I458" s="372"/>
    </row>
    <row r="459">
      <c r="D459" s="369"/>
      <c r="E459" s="369"/>
      <c r="H459" s="372"/>
      <c r="I459" s="372"/>
    </row>
    <row r="460">
      <c r="D460" s="369"/>
      <c r="E460" s="369"/>
      <c r="H460" s="372"/>
      <c r="I460" s="372"/>
    </row>
    <row r="461">
      <c r="D461" s="369"/>
      <c r="E461" s="369"/>
      <c r="H461" s="372"/>
      <c r="I461" s="372"/>
    </row>
    <row r="462">
      <c r="D462" s="369"/>
      <c r="E462" s="369"/>
      <c r="H462" s="372"/>
      <c r="I462" s="372"/>
    </row>
    <row r="463">
      <c r="D463" s="369"/>
      <c r="E463" s="369"/>
      <c r="H463" s="372"/>
      <c r="I463" s="372"/>
    </row>
    <row r="464">
      <c r="D464" s="369"/>
      <c r="E464" s="369"/>
      <c r="H464" s="372"/>
      <c r="I464" s="372"/>
    </row>
    <row r="465">
      <c r="D465" s="369"/>
      <c r="E465" s="369"/>
      <c r="H465" s="372"/>
      <c r="I465" s="372"/>
    </row>
    <row r="466">
      <c r="D466" s="369"/>
      <c r="E466" s="369"/>
      <c r="H466" s="372"/>
      <c r="I466" s="372"/>
    </row>
    <row r="467">
      <c r="D467" s="369"/>
      <c r="E467" s="369"/>
      <c r="H467" s="372"/>
      <c r="I467" s="372"/>
    </row>
    <row r="468">
      <c r="D468" s="369"/>
      <c r="E468" s="369"/>
      <c r="H468" s="372"/>
      <c r="I468" s="372"/>
    </row>
    <row r="469">
      <c r="D469" s="369"/>
      <c r="E469" s="369"/>
      <c r="H469" s="372"/>
      <c r="I469" s="372"/>
    </row>
    <row r="470">
      <c r="D470" s="369"/>
      <c r="E470" s="369"/>
      <c r="H470" s="372"/>
      <c r="I470" s="372"/>
    </row>
    <row r="471">
      <c r="D471" s="369"/>
      <c r="E471" s="369"/>
      <c r="H471" s="372"/>
      <c r="I471" s="372"/>
    </row>
    <row r="472">
      <c r="D472" s="369"/>
      <c r="E472" s="369"/>
      <c r="H472" s="372"/>
      <c r="I472" s="372"/>
    </row>
    <row r="473">
      <c r="D473" s="369"/>
      <c r="E473" s="369"/>
      <c r="H473" s="372"/>
      <c r="I473" s="372"/>
    </row>
    <row r="474">
      <c r="D474" s="369"/>
      <c r="E474" s="369"/>
      <c r="H474" s="372"/>
      <c r="I474" s="372"/>
    </row>
    <row r="475">
      <c r="D475" s="369"/>
      <c r="E475" s="369"/>
      <c r="H475" s="372"/>
      <c r="I475" s="372"/>
    </row>
    <row r="476">
      <c r="D476" s="369"/>
      <c r="E476" s="369"/>
      <c r="H476" s="372"/>
      <c r="I476" s="372"/>
    </row>
    <row r="477">
      <c r="D477" s="369"/>
      <c r="E477" s="369"/>
      <c r="H477" s="372"/>
      <c r="I477" s="372"/>
    </row>
    <row r="478">
      <c r="D478" s="369"/>
      <c r="E478" s="369"/>
      <c r="H478" s="372"/>
      <c r="I478" s="372"/>
    </row>
    <row r="479">
      <c r="D479" s="369"/>
      <c r="E479" s="369"/>
      <c r="H479" s="372"/>
      <c r="I479" s="372"/>
    </row>
    <row r="480">
      <c r="D480" s="369"/>
      <c r="E480" s="369"/>
      <c r="H480" s="372"/>
      <c r="I480" s="372"/>
    </row>
    <row r="481">
      <c r="D481" s="369"/>
      <c r="E481" s="369"/>
      <c r="H481" s="372"/>
      <c r="I481" s="372"/>
    </row>
    <row r="482">
      <c r="D482" s="369"/>
      <c r="E482" s="369"/>
      <c r="H482" s="372"/>
      <c r="I482" s="372"/>
    </row>
    <row r="483">
      <c r="D483" s="369"/>
      <c r="E483" s="369"/>
      <c r="H483" s="372"/>
      <c r="I483" s="372"/>
    </row>
    <row r="484">
      <c r="D484" s="369"/>
      <c r="E484" s="369"/>
      <c r="H484" s="372"/>
      <c r="I484" s="372"/>
    </row>
    <row r="485">
      <c r="D485" s="369"/>
      <c r="E485" s="369"/>
      <c r="H485" s="372"/>
      <c r="I485" s="372"/>
    </row>
    <row r="486">
      <c r="D486" s="369"/>
      <c r="E486" s="369"/>
      <c r="H486" s="372"/>
      <c r="I486" s="372"/>
    </row>
    <row r="487">
      <c r="D487" s="369"/>
      <c r="E487" s="369"/>
      <c r="H487" s="372"/>
      <c r="I487" s="372"/>
    </row>
    <row r="488">
      <c r="D488" s="369"/>
      <c r="E488" s="369"/>
      <c r="H488" s="372"/>
      <c r="I488" s="372"/>
    </row>
    <row r="489">
      <c r="D489" s="369"/>
      <c r="E489" s="369"/>
      <c r="H489" s="372"/>
      <c r="I489" s="372"/>
    </row>
    <row r="490">
      <c r="D490" s="369"/>
      <c r="E490" s="369"/>
      <c r="H490" s="372"/>
      <c r="I490" s="372"/>
    </row>
    <row r="491">
      <c r="D491" s="369"/>
      <c r="E491" s="369"/>
      <c r="H491" s="372"/>
      <c r="I491" s="372"/>
    </row>
    <row r="492">
      <c r="D492" s="369"/>
      <c r="E492" s="369"/>
      <c r="H492" s="372"/>
      <c r="I492" s="372"/>
    </row>
    <row r="493">
      <c r="D493" s="369"/>
      <c r="E493" s="369"/>
      <c r="H493" s="372"/>
      <c r="I493" s="372"/>
    </row>
    <row r="494">
      <c r="D494" s="369"/>
      <c r="E494" s="369"/>
      <c r="H494" s="372"/>
      <c r="I494" s="372"/>
    </row>
    <row r="495">
      <c r="D495" s="369"/>
      <c r="E495" s="369"/>
      <c r="H495" s="372"/>
      <c r="I495" s="372"/>
    </row>
    <row r="496">
      <c r="D496" s="369"/>
      <c r="E496" s="369"/>
      <c r="H496" s="372"/>
      <c r="I496" s="372"/>
    </row>
    <row r="497">
      <c r="D497" s="369"/>
      <c r="E497" s="369"/>
      <c r="H497" s="372"/>
      <c r="I497" s="372"/>
    </row>
    <row r="498">
      <c r="D498" s="369"/>
      <c r="E498" s="369"/>
      <c r="H498" s="372"/>
      <c r="I498" s="372"/>
    </row>
    <row r="499">
      <c r="D499" s="369"/>
      <c r="E499" s="369"/>
      <c r="H499" s="372"/>
      <c r="I499" s="372"/>
    </row>
    <row r="500">
      <c r="D500" s="369"/>
      <c r="E500" s="369"/>
      <c r="H500" s="372"/>
      <c r="I500" s="372"/>
    </row>
    <row r="501">
      <c r="D501" s="369"/>
      <c r="E501" s="369"/>
      <c r="H501" s="372"/>
      <c r="I501" s="372"/>
    </row>
    <row r="502">
      <c r="D502" s="369"/>
      <c r="E502" s="369"/>
      <c r="H502" s="372"/>
      <c r="I502" s="372"/>
    </row>
    <row r="503">
      <c r="D503" s="369"/>
      <c r="E503" s="369"/>
      <c r="H503" s="372"/>
      <c r="I503" s="372"/>
    </row>
    <row r="504">
      <c r="D504" s="369"/>
      <c r="E504" s="369"/>
      <c r="H504" s="372"/>
      <c r="I504" s="372"/>
    </row>
    <row r="505">
      <c r="D505" s="369"/>
      <c r="E505" s="369"/>
      <c r="H505" s="372"/>
      <c r="I505" s="372"/>
    </row>
    <row r="506">
      <c r="D506" s="369"/>
      <c r="E506" s="369"/>
      <c r="H506" s="372"/>
      <c r="I506" s="372"/>
    </row>
    <row r="507">
      <c r="D507" s="369"/>
      <c r="E507" s="369"/>
      <c r="H507" s="372"/>
      <c r="I507" s="372"/>
    </row>
    <row r="508">
      <c r="D508" s="369"/>
      <c r="E508" s="369"/>
      <c r="H508" s="372"/>
      <c r="I508" s="372"/>
    </row>
    <row r="509">
      <c r="D509" s="369"/>
      <c r="E509" s="369"/>
      <c r="H509" s="372"/>
      <c r="I509" s="372"/>
    </row>
    <row r="510">
      <c r="D510" s="369"/>
      <c r="E510" s="369"/>
      <c r="H510" s="372"/>
      <c r="I510" s="372"/>
    </row>
    <row r="511">
      <c r="D511" s="369"/>
      <c r="E511" s="369"/>
      <c r="H511" s="372"/>
      <c r="I511" s="372"/>
    </row>
    <row r="512">
      <c r="D512" s="369"/>
      <c r="E512" s="369"/>
      <c r="H512" s="372"/>
      <c r="I512" s="372"/>
    </row>
    <row r="513">
      <c r="D513" s="369"/>
      <c r="E513" s="369"/>
      <c r="H513" s="372"/>
      <c r="I513" s="372"/>
    </row>
    <row r="514">
      <c r="D514" s="369"/>
      <c r="E514" s="369"/>
      <c r="H514" s="372"/>
      <c r="I514" s="372"/>
    </row>
    <row r="515">
      <c r="D515" s="369"/>
      <c r="E515" s="369"/>
      <c r="H515" s="372"/>
      <c r="I515" s="372"/>
    </row>
    <row r="516">
      <c r="D516" s="369"/>
      <c r="E516" s="369"/>
      <c r="H516" s="372"/>
      <c r="I516" s="372"/>
    </row>
    <row r="517">
      <c r="D517" s="369"/>
      <c r="E517" s="369"/>
      <c r="H517" s="372"/>
      <c r="I517" s="372"/>
    </row>
    <row r="518">
      <c r="D518" s="369"/>
      <c r="E518" s="369"/>
      <c r="H518" s="372"/>
      <c r="I518" s="372"/>
    </row>
    <row r="519">
      <c r="D519" s="369"/>
      <c r="E519" s="369"/>
      <c r="H519" s="372"/>
      <c r="I519" s="372"/>
    </row>
    <row r="520">
      <c r="D520" s="369"/>
      <c r="E520" s="369"/>
      <c r="H520" s="372"/>
      <c r="I520" s="372"/>
    </row>
    <row r="521">
      <c r="D521" s="369"/>
      <c r="E521" s="369"/>
      <c r="H521" s="372"/>
      <c r="I521" s="372"/>
    </row>
    <row r="522">
      <c r="D522" s="369"/>
      <c r="E522" s="369"/>
      <c r="H522" s="372"/>
      <c r="I522" s="372"/>
    </row>
    <row r="523">
      <c r="D523" s="369"/>
      <c r="E523" s="369"/>
      <c r="H523" s="372"/>
      <c r="I523" s="372"/>
    </row>
    <row r="524">
      <c r="D524" s="369"/>
      <c r="E524" s="369"/>
      <c r="H524" s="372"/>
      <c r="I524" s="372"/>
    </row>
    <row r="525">
      <c r="D525" s="369"/>
      <c r="E525" s="369"/>
      <c r="H525" s="372"/>
      <c r="I525" s="372"/>
    </row>
    <row r="526">
      <c r="D526" s="369"/>
      <c r="E526" s="369"/>
      <c r="H526" s="372"/>
      <c r="I526" s="372"/>
    </row>
    <row r="527">
      <c r="D527" s="369"/>
      <c r="E527" s="369"/>
      <c r="H527" s="372"/>
      <c r="I527" s="372"/>
    </row>
    <row r="528">
      <c r="D528" s="369"/>
      <c r="E528" s="369"/>
      <c r="H528" s="372"/>
      <c r="I528" s="372"/>
    </row>
    <row r="529">
      <c r="D529" s="369"/>
      <c r="E529" s="369"/>
      <c r="H529" s="372"/>
      <c r="I529" s="372"/>
    </row>
    <row r="530">
      <c r="D530" s="369"/>
      <c r="E530" s="369"/>
      <c r="H530" s="372"/>
      <c r="I530" s="372"/>
    </row>
    <row r="531">
      <c r="D531" s="369"/>
      <c r="E531" s="369"/>
      <c r="H531" s="372"/>
      <c r="I531" s="372"/>
    </row>
    <row r="532">
      <c r="D532" s="369"/>
      <c r="E532" s="369"/>
      <c r="H532" s="372"/>
      <c r="I532" s="372"/>
    </row>
    <row r="533">
      <c r="D533" s="369"/>
      <c r="E533" s="369"/>
      <c r="H533" s="372"/>
      <c r="I533" s="372"/>
    </row>
    <row r="534">
      <c r="D534" s="369"/>
      <c r="E534" s="369"/>
      <c r="H534" s="372"/>
      <c r="I534" s="372"/>
    </row>
    <row r="535">
      <c r="D535" s="369"/>
      <c r="E535" s="369"/>
      <c r="H535" s="372"/>
      <c r="I535" s="372"/>
    </row>
    <row r="536">
      <c r="D536" s="369"/>
      <c r="E536" s="369"/>
      <c r="H536" s="372"/>
      <c r="I536" s="372"/>
    </row>
    <row r="537">
      <c r="D537" s="369"/>
      <c r="E537" s="369"/>
      <c r="H537" s="372"/>
      <c r="I537" s="372"/>
    </row>
    <row r="538">
      <c r="D538" s="369"/>
      <c r="E538" s="369"/>
      <c r="H538" s="372"/>
      <c r="I538" s="372"/>
    </row>
    <row r="539">
      <c r="D539" s="369"/>
      <c r="E539" s="369"/>
      <c r="H539" s="372"/>
      <c r="I539" s="372"/>
    </row>
    <row r="540">
      <c r="D540" s="369"/>
      <c r="E540" s="369"/>
      <c r="H540" s="372"/>
      <c r="I540" s="372"/>
    </row>
    <row r="541">
      <c r="D541" s="369"/>
      <c r="E541" s="369"/>
      <c r="H541" s="372"/>
      <c r="I541" s="372"/>
    </row>
    <row r="542">
      <c r="D542" s="369"/>
      <c r="E542" s="369"/>
      <c r="H542" s="372"/>
      <c r="I542" s="372"/>
    </row>
    <row r="543">
      <c r="D543" s="369"/>
      <c r="E543" s="369"/>
      <c r="H543" s="372"/>
      <c r="I543" s="372"/>
    </row>
    <row r="544">
      <c r="D544" s="369"/>
      <c r="E544" s="369"/>
      <c r="H544" s="372"/>
      <c r="I544" s="372"/>
    </row>
    <row r="545">
      <c r="D545" s="369"/>
      <c r="E545" s="369"/>
      <c r="H545" s="372"/>
      <c r="I545" s="372"/>
    </row>
    <row r="546">
      <c r="D546" s="369"/>
      <c r="E546" s="369"/>
      <c r="H546" s="372"/>
      <c r="I546" s="372"/>
    </row>
    <row r="547">
      <c r="D547" s="369"/>
      <c r="E547" s="369"/>
      <c r="H547" s="372"/>
      <c r="I547" s="372"/>
    </row>
    <row r="548">
      <c r="D548" s="369"/>
      <c r="E548" s="369"/>
      <c r="H548" s="372"/>
      <c r="I548" s="372"/>
    </row>
    <row r="549">
      <c r="D549" s="369"/>
      <c r="E549" s="369"/>
      <c r="H549" s="372"/>
      <c r="I549" s="372"/>
    </row>
    <row r="550">
      <c r="D550" s="369"/>
      <c r="E550" s="369"/>
      <c r="H550" s="372"/>
      <c r="I550" s="372"/>
    </row>
    <row r="551">
      <c r="D551" s="369"/>
      <c r="E551" s="369"/>
      <c r="H551" s="372"/>
      <c r="I551" s="372"/>
    </row>
    <row r="552">
      <c r="D552" s="369"/>
      <c r="E552" s="369"/>
      <c r="H552" s="372"/>
      <c r="I552" s="372"/>
    </row>
    <row r="553">
      <c r="D553" s="369"/>
      <c r="E553" s="369"/>
      <c r="H553" s="372"/>
      <c r="I553" s="372"/>
    </row>
    <row r="554">
      <c r="D554" s="369"/>
      <c r="E554" s="369"/>
      <c r="H554" s="372"/>
      <c r="I554" s="372"/>
    </row>
    <row r="555">
      <c r="D555" s="369"/>
      <c r="E555" s="369"/>
      <c r="H555" s="372"/>
      <c r="I555" s="372"/>
    </row>
    <row r="556">
      <c r="D556" s="369"/>
      <c r="E556" s="369"/>
      <c r="H556" s="372"/>
      <c r="I556" s="372"/>
    </row>
    <row r="557">
      <c r="D557" s="369"/>
      <c r="E557" s="369"/>
      <c r="H557" s="372"/>
      <c r="I557" s="372"/>
    </row>
    <row r="558">
      <c r="D558" s="369"/>
      <c r="E558" s="369"/>
      <c r="H558" s="372"/>
      <c r="I558" s="372"/>
    </row>
    <row r="559">
      <c r="D559" s="369"/>
      <c r="E559" s="369"/>
      <c r="H559" s="372"/>
      <c r="I559" s="372"/>
    </row>
    <row r="560">
      <c r="D560" s="369"/>
      <c r="E560" s="369"/>
      <c r="H560" s="372"/>
      <c r="I560" s="372"/>
    </row>
    <row r="561">
      <c r="D561" s="369"/>
      <c r="E561" s="369"/>
      <c r="H561" s="372"/>
      <c r="I561" s="372"/>
    </row>
    <row r="562">
      <c r="D562" s="369"/>
      <c r="E562" s="369"/>
      <c r="H562" s="372"/>
      <c r="I562" s="372"/>
    </row>
    <row r="563">
      <c r="D563" s="369"/>
      <c r="E563" s="369"/>
      <c r="H563" s="372"/>
      <c r="I563" s="372"/>
    </row>
    <row r="564">
      <c r="D564" s="369"/>
      <c r="E564" s="369"/>
      <c r="H564" s="372"/>
      <c r="I564" s="372"/>
    </row>
    <row r="565">
      <c r="D565" s="369"/>
      <c r="E565" s="369"/>
      <c r="H565" s="372"/>
      <c r="I565" s="372"/>
    </row>
    <row r="566">
      <c r="D566" s="369"/>
      <c r="E566" s="369"/>
      <c r="H566" s="372"/>
      <c r="I566" s="372"/>
    </row>
    <row r="567">
      <c r="D567" s="369"/>
      <c r="E567" s="369"/>
      <c r="H567" s="372"/>
      <c r="I567" s="372"/>
    </row>
    <row r="568">
      <c r="D568" s="369"/>
      <c r="E568" s="369"/>
      <c r="H568" s="372"/>
      <c r="I568" s="372"/>
    </row>
    <row r="569">
      <c r="D569" s="369"/>
      <c r="E569" s="369"/>
      <c r="H569" s="372"/>
      <c r="I569" s="372"/>
    </row>
    <row r="570">
      <c r="D570" s="369"/>
      <c r="E570" s="369"/>
      <c r="H570" s="372"/>
      <c r="I570" s="372"/>
    </row>
    <row r="571">
      <c r="D571" s="369"/>
      <c r="E571" s="369"/>
      <c r="H571" s="372"/>
      <c r="I571" s="372"/>
    </row>
    <row r="572">
      <c r="D572" s="369"/>
      <c r="E572" s="369"/>
      <c r="H572" s="372"/>
      <c r="I572" s="372"/>
    </row>
    <row r="573">
      <c r="D573" s="369"/>
      <c r="E573" s="369"/>
      <c r="H573" s="372"/>
      <c r="I573" s="372"/>
    </row>
    <row r="574">
      <c r="D574" s="369"/>
      <c r="E574" s="369"/>
      <c r="H574" s="372"/>
      <c r="I574" s="372"/>
    </row>
    <row r="575">
      <c r="D575" s="369"/>
      <c r="E575" s="369"/>
      <c r="H575" s="372"/>
      <c r="I575" s="372"/>
    </row>
    <row r="576">
      <c r="D576" s="369"/>
      <c r="E576" s="369"/>
      <c r="H576" s="372"/>
      <c r="I576" s="372"/>
    </row>
    <row r="577">
      <c r="D577" s="369"/>
      <c r="E577" s="369"/>
      <c r="H577" s="372"/>
      <c r="I577" s="372"/>
    </row>
    <row r="578">
      <c r="D578" s="369"/>
      <c r="E578" s="369"/>
      <c r="H578" s="372"/>
      <c r="I578" s="372"/>
    </row>
    <row r="579">
      <c r="D579" s="369"/>
      <c r="E579" s="369"/>
      <c r="H579" s="372"/>
      <c r="I579" s="372"/>
    </row>
    <row r="580">
      <c r="D580" s="369"/>
      <c r="E580" s="369"/>
      <c r="H580" s="372"/>
      <c r="I580" s="372"/>
    </row>
    <row r="581">
      <c r="D581" s="369"/>
      <c r="E581" s="369"/>
      <c r="H581" s="372"/>
      <c r="I581" s="372"/>
    </row>
    <row r="582">
      <c r="D582" s="369"/>
      <c r="E582" s="369"/>
      <c r="H582" s="372"/>
      <c r="I582" s="372"/>
    </row>
    <row r="583">
      <c r="D583" s="369"/>
      <c r="E583" s="369"/>
      <c r="H583" s="372"/>
      <c r="I583" s="372"/>
    </row>
    <row r="584">
      <c r="D584" s="369"/>
      <c r="E584" s="369"/>
      <c r="H584" s="372"/>
      <c r="I584" s="372"/>
    </row>
    <row r="585">
      <c r="D585" s="369"/>
      <c r="E585" s="369"/>
      <c r="H585" s="372"/>
      <c r="I585" s="372"/>
    </row>
    <row r="586">
      <c r="D586" s="369"/>
      <c r="E586" s="369"/>
      <c r="H586" s="372"/>
      <c r="I586" s="372"/>
    </row>
    <row r="587">
      <c r="D587" s="369"/>
      <c r="E587" s="369"/>
      <c r="H587" s="372"/>
      <c r="I587" s="372"/>
    </row>
    <row r="588">
      <c r="D588" s="369"/>
      <c r="E588" s="369"/>
      <c r="H588" s="372"/>
      <c r="I588" s="372"/>
    </row>
    <row r="589">
      <c r="D589" s="369"/>
      <c r="E589" s="369"/>
      <c r="H589" s="372"/>
      <c r="I589" s="372"/>
    </row>
    <row r="590">
      <c r="D590" s="369"/>
      <c r="E590" s="369"/>
      <c r="H590" s="372"/>
      <c r="I590" s="372"/>
    </row>
    <row r="591">
      <c r="D591" s="369"/>
      <c r="E591" s="369"/>
      <c r="H591" s="372"/>
      <c r="I591" s="372"/>
    </row>
    <row r="592">
      <c r="D592" s="369"/>
      <c r="E592" s="369"/>
      <c r="H592" s="372"/>
      <c r="I592" s="372"/>
    </row>
    <row r="593">
      <c r="D593" s="369"/>
      <c r="E593" s="369"/>
      <c r="H593" s="372"/>
      <c r="I593" s="372"/>
    </row>
    <row r="594">
      <c r="D594" s="369"/>
      <c r="E594" s="369"/>
      <c r="H594" s="372"/>
      <c r="I594" s="372"/>
    </row>
    <row r="595">
      <c r="D595" s="369"/>
      <c r="E595" s="369"/>
      <c r="H595" s="372"/>
      <c r="I595" s="372"/>
    </row>
    <row r="596">
      <c r="D596" s="369"/>
      <c r="E596" s="369"/>
      <c r="H596" s="372"/>
      <c r="I596" s="372"/>
    </row>
    <row r="597">
      <c r="D597" s="369"/>
      <c r="E597" s="369"/>
      <c r="H597" s="372"/>
      <c r="I597" s="372"/>
    </row>
    <row r="598">
      <c r="D598" s="369"/>
      <c r="E598" s="369"/>
      <c r="H598" s="372"/>
      <c r="I598" s="372"/>
    </row>
    <row r="599">
      <c r="D599" s="369"/>
      <c r="E599" s="369"/>
      <c r="H599" s="372"/>
      <c r="I599" s="372"/>
    </row>
    <row r="600">
      <c r="D600" s="369"/>
      <c r="E600" s="369"/>
      <c r="H600" s="372"/>
      <c r="I600" s="372"/>
    </row>
    <row r="601">
      <c r="D601" s="369"/>
      <c r="E601" s="369"/>
      <c r="H601" s="372"/>
      <c r="I601" s="372"/>
    </row>
    <row r="602">
      <c r="D602" s="369"/>
      <c r="E602" s="369"/>
      <c r="H602" s="372"/>
      <c r="I602" s="372"/>
    </row>
    <row r="603">
      <c r="D603" s="369"/>
      <c r="E603" s="369"/>
      <c r="H603" s="372"/>
      <c r="I603" s="372"/>
    </row>
    <row r="604">
      <c r="D604" s="369"/>
      <c r="E604" s="369"/>
      <c r="H604" s="372"/>
      <c r="I604" s="372"/>
    </row>
    <row r="605">
      <c r="D605" s="369"/>
      <c r="E605" s="369"/>
      <c r="H605" s="372"/>
      <c r="I605" s="372"/>
    </row>
    <row r="606">
      <c r="D606" s="369"/>
      <c r="E606" s="369"/>
      <c r="H606" s="372"/>
      <c r="I606" s="372"/>
    </row>
    <row r="607">
      <c r="D607" s="369"/>
      <c r="E607" s="369"/>
      <c r="H607" s="372"/>
      <c r="I607" s="372"/>
    </row>
    <row r="608">
      <c r="D608" s="369"/>
      <c r="E608" s="369"/>
      <c r="H608" s="372"/>
      <c r="I608" s="372"/>
    </row>
    <row r="609">
      <c r="D609" s="369"/>
      <c r="E609" s="369"/>
      <c r="H609" s="372"/>
      <c r="I609" s="372"/>
    </row>
    <row r="610">
      <c r="D610" s="369"/>
      <c r="E610" s="369"/>
      <c r="H610" s="372"/>
      <c r="I610" s="372"/>
    </row>
    <row r="611">
      <c r="D611" s="369"/>
      <c r="E611" s="369"/>
      <c r="H611" s="372"/>
      <c r="I611" s="372"/>
    </row>
    <row r="612">
      <c r="D612" s="369"/>
      <c r="E612" s="369"/>
      <c r="H612" s="372"/>
      <c r="I612" s="372"/>
    </row>
    <row r="613">
      <c r="D613" s="369"/>
      <c r="E613" s="369"/>
      <c r="H613" s="372"/>
      <c r="I613" s="372"/>
    </row>
    <row r="614">
      <c r="D614" s="369"/>
      <c r="E614" s="369"/>
      <c r="H614" s="372"/>
      <c r="I614" s="372"/>
    </row>
    <row r="615">
      <c r="D615" s="369"/>
      <c r="E615" s="369"/>
      <c r="H615" s="372"/>
      <c r="I615" s="372"/>
    </row>
    <row r="616">
      <c r="D616" s="369"/>
      <c r="E616" s="369"/>
      <c r="H616" s="372"/>
      <c r="I616" s="372"/>
    </row>
    <row r="617">
      <c r="D617" s="369"/>
      <c r="E617" s="369"/>
      <c r="H617" s="372"/>
      <c r="I617" s="372"/>
    </row>
    <row r="618">
      <c r="D618" s="369"/>
      <c r="E618" s="369"/>
      <c r="H618" s="372"/>
      <c r="I618" s="372"/>
    </row>
    <row r="619">
      <c r="D619" s="369"/>
      <c r="E619" s="369"/>
      <c r="H619" s="372"/>
      <c r="I619" s="372"/>
    </row>
    <row r="620">
      <c r="D620" s="369"/>
      <c r="E620" s="369"/>
      <c r="H620" s="372"/>
      <c r="I620" s="372"/>
    </row>
    <row r="621">
      <c r="D621" s="369"/>
      <c r="E621" s="369"/>
      <c r="H621" s="372"/>
      <c r="I621" s="372"/>
    </row>
    <row r="622">
      <c r="D622" s="369"/>
      <c r="E622" s="369"/>
      <c r="H622" s="372"/>
      <c r="I622" s="372"/>
    </row>
    <row r="623">
      <c r="D623" s="369"/>
      <c r="E623" s="369"/>
      <c r="H623" s="372"/>
      <c r="I623" s="372"/>
    </row>
    <row r="624">
      <c r="D624" s="369"/>
      <c r="E624" s="369"/>
      <c r="H624" s="372"/>
      <c r="I624" s="372"/>
    </row>
    <row r="625">
      <c r="D625" s="369"/>
      <c r="E625" s="369"/>
      <c r="H625" s="372"/>
      <c r="I625" s="372"/>
    </row>
    <row r="626">
      <c r="D626" s="369"/>
      <c r="E626" s="369"/>
      <c r="H626" s="372"/>
      <c r="I626" s="372"/>
    </row>
    <row r="627">
      <c r="D627" s="369"/>
      <c r="E627" s="369"/>
      <c r="H627" s="372"/>
      <c r="I627" s="372"/>
    </row>
    <row r="628">
      <c r="D628" s="369"/>
      <c r="E628" s="369"/>
      <c r="H628" s="372"/>
      <c r="I628" s="372"/>
    </row>
    <row r="629">
      <c r="D629" s="369"/>
      <c r="E629" s="369"/>
      <c r="H629" s="372"/>
      <c r="I629" s="372"/>
    </row>
    <row r="630">
      <c r="D630" s="369"/>
      <c r="E630" s="369"/>
      <c r="H630" s="372"/>
      <c r="I630" s="372"/>
    </row>
    <row r="631">
      <c r="D631" s="369"/>
      <c r="E631" s="369"/>
      <c r="H631" s="372"/>
      <c r="I631" s="372"/>
    </row>
    <row r="632">
      <c r="D632" s="369"/>
      <c r="E632" s="369"/>
      <c r="H632" s="372"/>
      <c r="I632" s="372"/>
    </row>
    <row r="633">
      <c r="D633" s="369"/>
      <c r="E633" s="369"/>
      <c r="H633" s="372"/>
      <c r="I633" s="372"/>
    </row>
    <row r="634">
      <c r="D634" s="369"/>
      <c r="E634" s="369"/>
      <c r="H634" s="372"/>
      <c r="I634" s="372"/>
    </row>
    <row r="635">
      <c r="D635" s="369"/>
      <c r="E635" s="369"/>
      <c r="H635" s="372"/>
      <c r="I635" s="372"/>
    </row>
    <row r="636">
      <c r="D636" s="369"/>
      <c r="E636" s="369"/>
      <c r="H636" s="372"/>
      <c r="I636" s="372"/>
    </row>
    <row r="637">
      <c r="D637" s="369"/>
      <c r="E637" s="369"/>
      <c r="H637" s="372"/>
      <c r="I637" s="372"/>
    </row>
    <row r="638">
      <c r="D638" s="369"/>
      <c r="E638" s="369"/>
      <c r="H638" s="372"/>
      <c r="I638" s="372"/>
    </row>
    <row r="639">
      <c r="D639" s="369"/>
      <c r="E639" s="369"/>
      <c r="H639" s="372"/>
      <c r="I639" s="372"/>
    </row>
    <row r="640">
      <c r="D640" s="369"/>
      <c r="E640" s="369"/>
      <c r="H640" s="372"/>
      <c r="I640" s="372"/>
    </row>
    <row r="641">
      <c r="D641" s="369"/>
      <c r="E641" s="369"/>
      <c r="H641" s="372"/>
      <c r="I641" s="372"/>
    </row>
    <row r="642">
      <c r="D642" s="369"/>
      <c r="E642" s="369"/>
      <c r="H642" s="372"/>
      <c r="I642" s="372"/>
    </row>
    <row r="643">
      <c r="D643" s="369"/>
      <c r="E643" s="369"/>
      <c r="H643" s="372"/>
      <c r="I643" s="372"/>
    </row>
    <row r="644">
      <c r="D644" s="369"/>
      <c r="E644" s="369"/>
      <c r="H644" s="372"/>
      <c r="I644" s="372"/>
    </row>
    <row r="645">
      <c r="D645" s="369"/>
      <c r="E645" s="369"/>
      <c r="H645" s="372"/>
      <c r="I645" s="372"/>
    </row>
    <row r="646">
      <c r="D646" s="369"/>
      <c r="E646" s="369"/>
      <c r="H646" s="372"/>
      <c r="I646" s="372"/>
    </row>
    <row r="647">
      <c r="D647" s="369"/>
      <c r="E647" s="369"/>
      <c r="H647" s="372"/>
      <c r="I647" s="372"/>
    </row>
    <row r="648">
      <c r="D648" s="369"/>
      <c r="E648" s="369"/>
      <c r="H648" s="372"/>
      <c r="I648" s="372"/>
    </row>
    <row r="649">
      <c r="D649" s="369"/>
      <c r="E649" s="369"/>
      <c r="H649" s="372"/>
      <c r="I649" s="372"/>
    </row>
    <row r="650">
      <c r="D650" s="369"/>
      <c r="E650" s="369"/>
      <c r="H650" s="372"/>
      <c r="I650" s="372"/>
    </row>
    <row r="651">
      <c r="D651" s="369"/>
      <c r="E651" s="369"/>
      <c r="H651" s="372"/>
      <c r="I651" s="372"/>
    </row>
    <row r="652">
      <c r="D652" s="369"/>
      <c r="E652" s="369"/>
      <c r="H652" s="372"/>
      <c r="I652" s="372"/>
    </row>
    <row r="653">
      <c r="D653" s="369"/>
      <c r="E653" s="369"/>
      <c r="H653" s="372"/>
      <c r="I653" s="372"/>
    </row>
    <row r="654">
      <c r="D654" s="369"/>
      <c r="E654" s="369"/>
      <c r="H654" s="372"/>
      <c r="I654" s="372"/>
    </row>
    <row r="655">
      <c r="D655" s="369"/>
      <c r="E655" s="369"/>
      <c r="H655" s="372"/>
      <c r="I655" s="372"/>
    </row>
    <row r="656">
      <c r="D656" s="369"/>
      <c r="E656" s="369"/>
      <c r="H656" s="372"/>
      <c r="I656" s="372"/>
    </row>
    <row r="657">
      <c r="D657" s="369"/>
      <c r="E657" s="369"/>
      <c r="H657" s="372"/>
      <c r="I657" s="372"/>
    </row>
    <row r="658">
      <c r="D658" s="369"/>
      <c r="E658" s="369"/>
      <c r="H658" s="372"/>
      <c r="I658" s="372"/>
    </row>
    <row r="659">
      <c r="D659" s="369"/>
      <c r="E659" s="369"/>
      <c r="H659" s="372"/>
      <c r="I659" s="372"/>
    </row>
    <row r="660">
      <c r="D660" s="369"/>
      <c r="E660" s="369"/>
      <c r="H660" s="372"/>
      <c r="I660" s="372"/>
    </row>
    <row r="661">
      <c r="D661" s="369"/>
      <c r="E661" s="369"/>
      <c r="H661" s="372"/>
      <c r="I661" s="372"/>
    </row>
    <row r="662">
      <c r="D662" s="369"/>
      <c r="E662" s="369"/>
      <c r="H662" s="372"/>
      <c r="I662" s="372"/>
    </row>
    <row r="663">
      <c r="D663" s="369"/>
      <c r="E663" s="369"/>
      <c r="H663" s="372"/>
      <c r="I663" s="372"/>
    </row>
    <row r="664">
      <c r="D664" s="369"/>
      <c r="E664" s="369"/>
      <c r="H664" s="372"/>
      <c r="I664" s="372"/>
    </row>
    <row r="665">
      <c r="D665" s="369"/>
      <c r="E665" s="369"/>
      <c r="H665" s="372"/>
      <c r="I665" s="372"/>
    </row>
    <row r="666">
      <c r="D666" s="369"/>
      <c r="E666" s="369"/>
      <c r="H666" s="372"/>
      <c r="I666" s="372"/>
    </row>
    <row r="667">
      <c r="D667" s="369"/>
      <c r="E667" s="369"/>
      <c r="H667" s="372"/>
      <c r="I667" s="372"/>
    </row>
    <row r="668">
      <c r="D668" s="369"/>
      <c r="E668" s="369"/>
      <c r="H668" s="372"/>
      <c r="I668" s="372"/>
    </row>
    <row r="669">
      <c r="D669" s="369"/>
      <c r="E669" s="369"/>
      <c r="H669" s="372"/>
      <c r="I669" s="372"/>
    </row>
    <row r="670">
      <c r="D670" s="369"/>
      <c r="E670" s="369"/>
      <c r="H670" s="372"/>
      <c r="I670" s="372"/>
    </row>
    <row r="671">
      <c r="D671" s="369"/>
      <c r="E671" s="369"/>
      <c r="H671" s="372"/>
      <c r="I671" s="372"/>
    </row>
    <row r="672">
      <c r="D672" s="369"/>
      <c r="E672" s="369"/>
      <c r="H672" s="372"/>
      <c r="I672" s="372"/>
    </row>
    <row r="673">
      <c r="D673" s="369"/>
      <c r="E673" s="369"/>
      <c r="H673" s="372"/>
      <c r="I673" s="372"/>
    </row>
    <row r="674">
      <c r="D674" s="369"/>
      <c r="E674" s="369"/>
      <c r="H674" s="372"/>
      <c r="I674" s="372"/>
    </row>
    <row r="675">
      <c r="D675" s="369"/>
      <c r="E675" s="369"/>
      <c r="H675" s="372"/>
      <c r="I675" s="372"/>
    </row>
    <row r="676">
      <c r="D676" s="369"/>
      <c r="E676" s="369"/>
      <c r="H676" s="372"/>
      <c r="I676" s="372"/>
    </row>
    <row r="677">
      <c r="D677" s="369"/>
      <c r="E677" s="369"/>
      <c r="H677" s="372"/>
      <c r="I677" s="372"/>
    </row>
    <row r="678">
      <c r="D678" s="369"/>
      <c r="E678" s="369"/>
      <c r="H678" s="372"/>
      <c r="I678" s="372"/>
    </row>
    <row r="679">
      <c r="D679" s="369"/>
      <c r="E679" s="369"/>
      <c r="H679" s="372"/>
      <c r="I679" s="372"/>
    </row>
    <row r="680">
      <c r="D680" s="369"/>
      <c r="E680" s="369"/>
      <c r="H680" s="372"/>
      <c r="I680" s="372"/>
    </row>
    <row r="681">
      <c r="D681" s="369"/>
      <c r="E681" s="369"/>
      <c r="H681" s="372"/>
      <c r="I681" s="372"/>
    </row>
    <row r="682">
      <c r="D682" s="369"/>
      <c r="E682" s="369"/>
      <c r="H682" s="372"/>
      <c r="I682" s="372"/>
    </row>
    <row r="683">
      <c r="D683" s="369"/>
      <c r="E683" s="369"/>
      <c r="H683" s="372"/>
      <c r="I683" s="372"/>
    </row>
    <row r="684">
      <c r="D684" s="369"/>
      <c r="E684" s="369"/>
      <c r="H684" s="372"/>
      <c r="I684" s="372"/>
    </row>
    <row r="685">
      <c r="D685" s="369"/>
      <c r="E685" s="369"/>
      <c r="H685" s="372"/>
      <c r="I685" s="372"/>
    </row>
    <row r="686">
      <c r="D686" s="369"/>
      <c r="E686" s="369"/>
      <c r="H686" s="372"/>
      <c r="I686" s="372"/>
    </row>
    <row r="687">
      <c r="D687" s="369"/>
      <c r="E687" s="369"/>
      <c r="H687" s="372"/>
      <c r="I687" s="372"/>
    </row>
    <row r="688">
      <c r="D688" s="369"/>
      <c r="E688" s="369"/>
      <c r="H688" s="372"/>
      <c r="I688" s="372"/>
    </row>
    <row r="689">
      <c r="D689" s="369"/>
      <c r="E689" s="369"/>
      <c r="H689" s="372"/>
      <c r="I689" s="372"/>
    </row>
    <row r="690">
      <c r="D690" s="369"/>
      <c r="E690" s="369"/>
      <c r="H690" s="372"/>
      <c r="I690" s="372"/>
    </row>
    <row r="691">
      <c r="D691" s="369"/>
      <c r="E691" s="369"/>
      <c r="H691" s="372"/>
      <c r="I691" s="372"/>
    </row>
    <row r="692">
      <c r="D692" s="369"/>
      <c r="E692" s="369"/>
      <c r="H692" s="372"/>
      <c r="I692" s="372"/>
    </row>
    <row r="693">
      <c r="D693" s="369"/>
      <c r="E693" s="369"/>
      <c r="H693" s="372"/>
      <c r="I693" s="372"/>
    </row>
    <row r="694">
      <c r="D694" s="369"/>
      <c r="E694" s="369"/>
      <c r="H694" s="372"/>
      <c r="I694" s="372"/>
    </row>
    <row r="695">
      <c r="D695" s="369"/>
      <c r="E695" s="369"/>
      <c r="H695" s="372"/>
      <c r="I695" s="372"/>
    </row>
    <row r="696">
      <c r="D696" s="369"/>
      <c r="E696" s="369"/>
      <c r="H696" s="372"/>
      <c r="I696" s="372"/>
    </row>
    <row r="697">
      <c r="D697" s="369"/>
      <c r="E697" s="369"/>
      <c r="H697" s="372"/>
      <c r="I697" s="372"/>
    </row>
    <row r="698">
      <c r="D698" s="369"/>
      <c r="E698" s="369"/>
      <c r="H698" s="372"/>
      <c r="I698" s="372"/>
    </row>
    <row r="699">
      <c r="D699" s="369"/>
      <c r="E699" s="369"/>
      <c r="H699" s="372"/>
      <c r="I699" s="372"/>
    </row>
    <row r="700">
      <c r="D700" s="369"/>
      <c r="E700" s="369"/>
      <c r="H700" s="372"/>
      <c r="I700" s="372"/>
    </row>
    <row r="701">
      <c r="D701" s="369"/>
      <c r="E701" s="369"/>
      <c r="H701" s="372"/>
      <c r="I701" s="372"/>
    </row>
    <row r="702">
      <c r="D702" s="369"/>
      <c r="E702" s="369"/>
      <c r="H702" s="372"/>
      <c r="I702" s="372"/>
    </row>
    <row r="703">
      <c r="D703" s="369"/>
      <c r="E703" s="369"/>
      <c r="H703" s="372"/>
      <c r="I703" s="372"/>
    </row>
    <row r="704">
      <c r="D704" s="369"/>
      <c r="E704" s="369"/>
      <c r="H704" s="372"/>
      <c r="I704" s="372"/>
    </row>
    <row r="705">
      <c r="D705" s="369"/>
      <c r="E705" s="369"/>
      <c r="H705" s="372"/>
      <c r="I705" s="372"/>
    </row>
    <row r="706">
      <c r="D706" s="369"/>
      <c r="E706" s="369"/>
      <c r="H706" s="372"/>
      <c r="I706" s="372"/>
    </row>
    <row r="707">
      <c r="D707" s="369"/>
      <c r="E707" s="369"/>
      <c r="H707" s="372"/>
      <c r="I707" s="372"/>
    </row>
    <row r="708">
      <c r="D708" s="369"/>
      <c r="E708" s="369"/>
      <c r="H708" s="372"/>
      <c r="I708" s="372"/>
    </row>
    <row r="709">
      <c r="D709" s="369"/>
      <c r="E709" s="369"/>
      <c r="H709" s="372"/>
      <c r="I709" s="372"/>
    </row>
    <row r="710">
      <c r="D710" s="369"/>
      <c r="E710" s="369"/>
      <c r="H710" s="372"/>
      <c r="I710" s="372"/>
    </row>
    <row r="711">
      <c r="D711" s="369"/>
      <c r="E711" s="369"/>
      <c r="H711" s="372"/>
      <c r="I711" s="372"/>
    </row>
    <row r="712">
      <c r="D712" s="369"/>
      <c r="E712" s="369"/>
      <c r="H712" s="372"/>
      <c r="I712" s="372"/>
    </row>
    <row r="713">
      <c r="D713" s="369"/>
      <c r="E713" s="369"/>
      <c r="H713" s="372"/>
      <c r="I713" s="372"/>
    </row>
    <row r="714">
      <c r="D714" s="369"/>
      <c r="E714" s="369"/>
      <c r="H714" s="372"/>
      <c r="I714" s="372"/>
    </row>
    <row r="715">
      <c r="D715" s="369"/>
      <c r="E715" s="369"/>
      <c r="H715" s="372"/>
      <c r="I715" s="372"/>
    </row>
    <row r="716">
      <c r="D716" s="369"/>
      <c r="E716" s="369"/>
      <c r="H716" s="372"/>
      <c r="I716" s="372"/>
    </row>
    <row r="717">
      <c r="D717" s="369"/>
      <c r="E717" s="369"/>
      <c r="H717" s="372"/>
      <c r="I717" s="372"/>
    </row>
    <row r="718">
      <c r="D718" s="369"/>
      <c r="E718" s="369"/>
      <c r="H718" s="372"/>
      <c r="I718" s="372"/>
    </row>
    <row r="719">
      <c r="D719" s="369"/>
      <c r="E719" s="369"/>
      <c r="H719" s="372"/>
      <c r="I719" s="372"/>
    </row>
    <row r="720">
      <c r="D720" s="369"/>
      <c r="E720" s="369"/>
      <c r="H720" s="372"/>
      <c r="I720" s="372"/>
    </row>
    <row r="721">
      <c r="D721" s="369"/>
      <c r="E721" s="369"/>
      <c r="H721" s="372"/>
      <c r="I721" s="372"/>
    </row>
    <row r="722">
      <c r="D722" s="369"/>
      <c r="E722" s="369"/>
      <c r="H722" s="372"/>
      <c r="I722" s="372"/>
    </row>
    <row r="723">
      <c r="D723" s="369"/>
      <c r="E723" s="369"/>
      <c r="H723" s="372"/>
      <c r="I723" s="372"/>
    </row>
    <row r="724">
      <c r="D724" s="369"/>
      <c r="E724" s="369"/>
      <c r="H724" s="372"/>
      <c r="I724" s="372"/>
    </row>
    <row r="725">
      <c r="D725" s="369"/>
      <c r="E725" s="369"/>
      <c r="H725" s="372"/>
      <c r="I725" s="372"/>
    </row>
    <row r="726">
      <c r="D726" s="369"/>
      <c r="E726" s="369"/>
      <c r="H726" s="372"/>
      <c r="I726" s="372"/>
    </row>
    <row r="727">
      <c r="D727" s="369"/>
      <c r="E727" s="369"/>
      <c r="H727" s="372"/>
      <c r="I727" s="372"/>
    </row>
    <row r="728">
      <c r="D728" s="369"/>
      <c r="E728" s="369"/>
      <c r="H728" s="372"/>
      <c r="I728" s="372"/>
    </row>
    <row r="729">
      <c r="D729" s="369"/>
      <c r="E729" s="369"/>
      <c r="H729" s="372"/>
      <c r="I729" s="372"/>
    </row>
    <row r="730">
      <c r="D730" s="369"/>
      <c r="E730" s="369"/>
      <c r="H730" s="372"/>
      <c r="I730" s="372"/>
    </row>
    <row r="731">
      <c r="D731" s="369"/>
      <c r="E731" s="369"/>
      <c r="H731" s="372"/>
      <c r="I731" s="372"/>
    </row>
    <row r="732">
      <c r="D732" s="369"/>
      <c r="E732" s="369"/>
      <c r="H732" s="372"/>
      <c r="I732" s="372"/>
    </row>
    <row r="733">
      <c r="D733" s="369"/>
      <c r="E733" s="369"/>
      <c r="H733" s="372"/>
      <c r="I733" s="372"/>
    </row>
    <row r="734">
      <c r="D734" s="369"/>
      <c r="E734" s="369"/>
      <c r="H734" s="372"/>
      <c r="I734" s="372"/>
    </row>
    <row r="735">
      <c r="D735" s="369"/>
      <c r="E735" s="369"/>
      <c r="H735" s="372"/>
      <c r="I735" s="372"/>
    </row>
    <row r="736">
      <c r="D736" s="369"/>
      <c r="E736" s="369"/>
      <c r="H736" s="372"/>
      <c r="I736" s="372"/>
    </row>
    <row r="737">
      <c r="D737" s="369"/>
      <c r="E737" s="369"/>
      <c r="H737" s="372"/>
      <c r="I737" s="372"/>
    </row>
    <row r="738">
      <c r="D738" s="369"/>
      <c r="E738" s="369"/>
      <c r="H738" s="372"/>
      <c r="I738" s="372"/>
    </row>
    <row r="739">
      <c r="D739" s="369"/>
      <c r="E739" s="369"/>
      <c r="H739" s="372"/>
      <c r="I739" s="372"/>
    </row>
    <row r="740">
      <c r="D740" s="369"/>
      <c r="E740" s="369"/>
      <c r="H740" s="372"/>
      <c r="I740" s="372"/>
    </row>
    <row r="741">
      <c r="D741" s="369"/>
      <c r="E741" s="369"/>
      <c r="H741" s="372"/>
      <c r="I741" s="372"/>
    </row>
    <row r="742">
      <c r="D742" s="369"/>
      <c r="E742" s="369"/>
      <c r="H742" s="372"/>
      <c r="I742" s="372"/>
    </row>
    <row r="743">
      <c r="D743" s="369"/>
      <c r="E743" s="369"/>
      <c r="H743" s="372"/>
      <c r="I743" s="372"/>
    </row>
    <row r="744">
      <c r="D744" s="369"/>
      <c r="E744" s="369"/>
      <c r="H744" s="372"/>
      <c r="I744" s="372"/>
    </row>
    <row r="745">
      <c r="D745" s="369"/>
      <c r="E745" s="369"/>
      <c r="H745" s="372"/>
      <c r="I745" s="372"/>
    </row>
    <row r="746">
      <c r="D746" s="369"/>
      <c r="E746" s="369"/>
      <c r="H746" s="372"/>
      <c r="I746" s="372"/>
    </row>
    <row r="747">
      <c r="D747" s="369"/>
      <c r="E747" s="369"/>
      <c r="H747" s="372"/>
      <c r="I747" s="372"/>
    </row>
    <row r="748">
      <c r="D748" s="369"/>
      <c r="E748" s="369"/>
      <c r="H748" s="372"/>
      <c r="I748" s="372"/>
    </row>
    <row r="749">
      <c r="D749" s="369"/>
      <c r="E749" s="369"/>
      <c r="H749" s="372"/>
      <c r="I749" s="372"/>
    </row>
    <row r="750">
      <c r="D750" s="369"/>
      <c r="E750" s="369"/>
      <c r="H750" s="372"/>
      <c r="I750" s="372"/>
    </row>
    <row r="751">
      <c r="D751" s="369"/>
      <c r="E751" s="369"/>
      <c r="H751" s="372"/>
      <c r="I751" s="372"/>
    </row>
    <row r="752">
      <c r="D752" s="369"/>
      <c r="E752" s="369"/>
      <c r="H752" s="372"/>
      <c r="I752" s="372"/>
    </row>
    <row r="753">
      <c r="D753" s="369"/>
      <c r="E753" s="369"/>
      <c r="H753" s="372"/>
      <c r="I753" s="372"/>
    </row>
    <row r="754">
      <c r="D754" s="369"/>
      <c r="E754" s="369"/>
      <c r="H754" s="372"/>
      <c r="I754" s="372"/>
    </row>
    <row r="755">
      <c r="D755" s="369"/>
      <c r="E755" s="369"/>
      <c r="H755" s="372"/>
      <c r="I755" s="372"/>
    </row>
    <row r="756">
      <c r="D756" s="369"/>
      <c r="E756" s="369"/>
      <c r="H756" s="372"/>
      <c r="I756" s="372"/>
    </row>
    <row r="757">
      <c r="D757" s="369"/>
      <c r="E757" s="369"/>
      <c r="H757" s="372"/>
      <c r="I757" s="372"/>
    </row>
    <row r="758">
      <c r="D758" s="369"/>
      <c r="E758" s="369"/>
      <c r="H758" s="372"/>
      <c r="I758" s="372"/>
    </row>
    <row r="759">
      <c r="D759" s="369"/>
      <c r="E759" s="369"/>
      <c r="H759" s="372"/>
      <c r="I759" s="372"/>
    </row>
    <row r="760">
      <c r="D760" s="369"/>
      <c r="E760" s="369"/>
      <c r="H760" s="372"/>
      <c r="I760" s="372"/>
    </row>
    <row r="761">
      <c r="D761" s="369"/>
      <c r="E761" s="369"/>
      <c r="H761" s="372"/>
      <c r="I761" s="372"/>
    </row>
    <row r="762">
      <c r="D762" s="369"/>
      <c r="E762" s="369"/>
      <c r="H762" s="372"/>
      <c r="I762" s="372"/>
    </row>
    <row r="763">
      <c r="D763" s="369"/>
      <c r="E763" s="369"/>
      <c r="H763" s="372"/>
      <c r="I763" s="372"/>
    </row>
    <row r="764">
      <c r="D764" s="369"/>
      <c r="E764" s="369"/>
      <c r="H764" s="372"/>
      <c r="I764" s="372"/>
    </row>
    <row r="765">
      <c r="D765" s="369"/>
      <c r="E765" s="369"/>
      <c r="H765" s="372"/>
      <c r="I765" s="372"/>
    </row>
    <row r="766">
      <c r="D766" s="369"/>
      <c r="E766" s="369"/>
      <c r="H766" s="372"/>
      <c r="I766" s="372"/>
    </row>
    <row r="767">
      <c r="D767" s="369"/>
      <c r="E767" s="369"/>
      <c r="H767" s="372"/>
      <c r="I767" s="372"/>
    </row>
    <row r="768">
      <c r="D768" s="369"/>
      <c r="E768" s="369"/>
      <c r="H768" s="372"/>
      <c r="I768" s="372"/>
    </row>
    <row r="769">
      <c r="D769" s="369"/>
      <c r="E769" s="369"/>
      <c r="H769" s="372"/>
      <c r="I769" s="372"/>
    </row>
    <row r="770">
      <c r="D770" s="369"/>
      <c r="E770" s="369"/>
      <c r="H770" s="372"/>
      <c r="I770" s="372"/>
    </row>
    <row r="771">
      <c r="D771" s="369"/>
      <c r="E771" s="369"/>
      <c r="H771" s="372"/>
      <c r="I771" s="372"/>
    </row>
    <row r="772">
      <c r="D772" s="369"/>
      <c r="E772" s="369"/>
      <c r="H772" s="372"/>
      <c r="I772" s="372"/>
    </row>
    <row r="773">
      <c r="D773" s="369"/>
      <c r="E773" s="369"/>
      <c r="H773" s="372"/>
      <c r="I773" s="372"/>
    </row>
    <row r="774">
      <c r="D774" s="369"/>
      <c r="E774" s="369"/>
      <c r="H774" s="372"/>
      <c r="I774" s="372"/>
    </row>
    <row r="775">
      <c r="D775" s="369"/>
      <c r="E775" s="369"/>
      <c r="H775" s="372"/>
      <c r="I775" s="372"/>
    </row>
    <row r="776">
      <c r="D776" s="369"/>
      <c r="E776" s="369"/>
      <c r="H776" s="372"/>
      <c r="I776" s="372"/>
    </row>
    <row r="777">
      <c r="D777" s="369"/>
      <c r="E777" s="369"/>
      <c r="H777" s="372"/>
      <c r="I777" s="372"/>
    </row>
    <row r="778">
      <c r="D778" s="369"/>
      <c r="E778" s="369"/>
      <c r="H778" s="372"/>
      <c r="I778" s="372"/>
    </row>
    <row r="779">
      <c r="D779" s="369"/>
      <c r="E779" s="369"/>
      <c r="H779" s="372"/>
      <c r="I779" s="372"/>
    </row>
    <row r="780">
      <c r="D780" s="369"/>
      <c r="E780" s="369"/>
      <c r="H780" s="372"/>
      <c r="I780" s="372"/>
    </row>
    <row r="781">
      <c r="D781" s="369"/>
      <c r="E781" s="369"/>
      <c r="H781" s="372"/>
      <c r="I781" s="372"/>
    </row>
    <row r="782">
      <c r="D782" s="369"/>
      <c r="E782" s="369"/>
      <c r="H782" s="372"/>
      <c r="I782" s="372"/>
    </row>
    <row r="783">
      <c r="D783" s="369"/>
      <c r="E783" s="369"/>
      <c r="H783" s="372"/>
      <c r="I783" s="372"/>
    </row>
    <row r="784">
      <c r="D784" s="369"/>
      <c r="E784" s="369"/>
      <c r="H784" s="372"/>
      <c r="I784" s="372"/>
    </row>
    <row r="785">
      <c r="D785" s="369"/>
      <c r="E785" s="369"/>
      <c r="H785" s="372"/>
      <c r="I785" s="372"/>
    </row>
    <row r="786">
      <c r="D786" s="369"/>
      <c r="E786" s="369"/>
      <c r="H786" s="372"/>
      <c r="I786" s="372"/>
    </row>
    <row r="787">
      <c r="D787" s="369"/>
      <c r="E787" s="369"/>
      <c r="H787" s="372"/>
      <c r="I787" s="372"/>
    </row>
    <row r="788">
      <c r="D788" s="369"/>
      <c r="E788" s="369"/>
      <c r="H788" s="372"/>
      <c r="I788" s="372"/>
    </row>
    <row r="789">
      <c r="D789" s="369"/>
      <c r="E789" s="369"/>
      <c r="H789" s="372"/>
      <c r="I789" s="372"/>
    </row>
    <row r="790">
      <c r="D790" s="369"/>
      <c r="E790" s="369"/>
      <c r="H790" s="372"/>
      <c r="I790" s="372"/>
    </row>
    <row r="791">
      <c r="D791" s="369"/>
      <c r="E791" s="369"/>
      <c r="H791" s="372"/>
      <c r="I791" s="372"/>
    </row>
    <row r="792">
      <c r="D792" s="369"/>
      <c r="E792" s="369"/>
      <c r="H792" s="372"/>
      <c r="I792" s="372"/>
    </row>
    <row r="793">
      <c r="D793" s="369"/>
      <c r="E793" s="369"/>
      <c r="H793" s="372"/>
      <c r="I793" s="372"/>
    </row>
    <row r="794">
      <c r="D794" s="369"/>
      <c r="E794" s="369"/>
      <c r="H794" s="372"/>
      <c r="I794" s="372"/>
    </row>
    <row r="795">
      <c r="D795" s="369"/>
      <c r="E795" s="369"/>
      <c r="H795" s="372"/>
      <c r="I795" s="372"/>
    </row>
    <row r="796">
      <c r="D796" s="369"/>
      <c r="E796" s="369"/>
      <c r="H796" s="372"/>
      <c r="I796" s="372"/>
    </row>
    <row r="797">
      <c r="D797" s="369"/>
      <c r="E797" s="369"/>
      <c r="H797" s="372"/>
      <c r="I797" s="372"/>
    </row>
    <row r="798">
      <c r="D798" s="369"/>
      <c r="E798" s="369"/>
      <c r="H798" s="372"/>
      <c r="I798" s="372"/>
    </row>
    <row r="799">
      <c r="D799" s="369"/>
      <c r="E799" s="369"/>
      <c r="H799" s="372"/>
      <c r="I799" s="372"/>
    </row>
    <row r="800">
      <c r="D800" s="369"/>
      <c r="E800" s="369"/>
      <c r="H800" s="372"/>
      <c r="I800" s="372"/>
    </row>
    <row r="801">
      <c r="D801" s="369"/>
      <c r="E801" s="369"/>
      <c r="H801" s="372"/>
      <c r="I801" s="372"/>
    </row>
    <row r="802">
      <c r="D802" s="369"/>
      <c r="E802" s="369"/>
      <c r="H802" s="372"/>
      <c r="I802" s="372"/>
    </row>
    <row r="803">
      <c r="D803" s="369"/>
      <c r="E803" s="369"/>
      <c r="H803" s="372"/>
      <c r="I803" s="372"/>
    </row>
    <row r="804">
      <c r="D804" s="369"/>
      <c r="E804" s="369"/>
      <c r="H804" s="372"/>
      <c r="I804" s="372"/>
    </row>
    <row r="805">
      <c r="D805" s="369"/>
      <c r="E805" s="369"/>
      <c r="H805" s="372"/>
      <c r="I805" s="372"/>
    </row>
    <row r="806">
      <c r="D806" s="369"/>
      <c r="E806" s="369"/>
      <c r="H806" s="372"/>
      <c r="I806" s="372"/>
    </row>
    <row r="807">
      <c r="D807" s="369"/>
      <c r="E807" s="369"/>
      <c r="H807" s="372"/>
      <c r="I807" s="372"/>
    </row>
    <row r="808">
      <c r="D808" s="369"/>
      <c r="E808" s="369"/>
      <c r="H808" s="372"/>
      <c r="I808" s="372"/>
    </row>
    <row r="809">
      <c r="D809" s="369"/>
      <c r="E809" s="369"/>
      <c r="H809" s="372"/>
      <c r="I809" s="372"/>
    </row>
    <row r="810">
      <c r="D810" s="369"/>
      <c r="E810" s="369"/>
      <c r="H810" s="372"/>
      <c r="I810" s="372"/>
    </row>
    <row r="811">
      <c r="D811" s="369"/>
      <c r="E811" s="369"/>
      <c r="H811" s="372"/>
      <c r="I811" s="372"/>
    </row>
    <row r="812">
      <c r="D812" s="369"/>
      <c r="E812" s="369"/>
      <c r="H812" s="372"/>
      <c r="I812" s="372"/>
    </row>
    <row r="813">
      <c r="D813" s="369"/>
      <c r="E813" s="369"/>
      <c r="H813" s="372"/>
      <c r="I813" s="372"/>
    </row>
    <row r="814">
      <c r="D814" s="369"/>
      <c r="E814" s="369"/>
      <c r="H814" s="372"/>
      <c r="I814" s="372"/>
    </row>
    <row r="815">
      <c r="D815" s="369"/>
      <c r="E815" s="369"/>
      <c r="H815" s="372"/>
      <c r="I815" s="372"/>
    </row>
    <row r="816">
      <c r="D816" s="369"/>
      <c r="E816" s="369"/>
      <c r="H816" s="372"/>
      <c r="I816" s="372"/>
    </row>
    <row r="817">
      <c r="D817" s="369"/>
      <c r="E817" s="369"/>
      <c r="H817" s="372"/>
      <c r="I817" s="372"/>
    </row>
    <row r="818">
      <c r="D818" s="369"/>
      <c r="E818" s="369"/>
      <c r="H818" s="372"/>
      <c r="I818" s="372"/>
    </row>
    <row r="819">
      <c r="D819" s="369"/>
      <c r="E819" s="369"/>
      <c r="H819" s="372"/>
      <c r="I819" s="372"/>
    </row>
    <row r="820">
      <c r="D820" s="369"/>
      <c r="E820" s="369"/>
      <c r="H820" s="372"/>
      <c r="I820" s="372"/>
    </row>
    <row r="821">
      <c r="D821" s="369"/>
      <c r="E821" s="369"/>
      <c r="H821" s="372"/>
      <c r="I821" s="372"/>
    </row>
    <row r="822">
      <c r="D822" s="369"/>
      <c r="E822" s="369"/>
      <c r="H822" s="372"/>
      <c r="I822" s="372"/>
    </row>
    <row r="823">
      <c r="D823" s="369"/>
      <c r="E823" s="369"/>
      <c r="H823" s="372"/>
      <c r="I823" s="372"/>
    </row>
    <row r="824">
      <c r="D824" s="369"/>
      <c r="E824" s="369"/>
      <c r="H824" s="372"/>
      <c r="I824" s="372"/>
    </row>
    <row r="825">
      <c r="D825" s="369"/>
      <c r="E825" s="369"/>
      <c r="H825" s="372"/>
      <c r="I825" s="372"/>
    </row>
    <row r="826">
      <c r="D826" s="369"/>
      <c r="E826" s="369"/>
      <c r="H826" s="372"/>
      <c r="I826" s="372"/>
    </row>
    <row r="827">
      <c r="D827" s="369"/>
      <c r="E827" s="369"/>
      <c r="H827" s="372"/>
      <c r="I827" s="372"/>
    </row>
    <row r="828">
      <c r="D828" s="369"/>
      <c r="E828" s="369"/>
      <c r="H828" s="372"/>
      <c r="I828" s="372"/>
    </row>
    <row r="829">
      <c r="D829" s="369"/>
      <c r="E829" s="369"/>
      <c r="H829" s="372"/>
      <c r="I829" s="372"/>
    </row>
    <row r="830">
      <c r="D830" s="369"/>
      <c r="E830" s="369"/>
      <c r="H830" s="372"/>
      <c r="I830" s="372"/>
    </row>
    <row r="831">
      <c r="D831" s="369"/>
      <c r="E831" s="369"/>
      <c r="H831" s="372"/>
      <c r="I831" s="372"/>
    </row>
    <row r="832">
      <c r="D832" s="369"/>
      <c r="E832" s="369"/>
      <c r="H832" s="372"/>
      <c r="I832" s="372"/>
    </row>
    <row r="833">
      <c r="D833" s="369"/>
      <c r="E833" s="369"/>
      <c r="H833" s="372"/>
      <c r="I833" s="372"/>
    </row>
    <row r="834">
      <c r="D834" s="369"/>
      <c r="E834" s="369"/>
      <c r="H834" s="372"/>
      <c r="I834" s="372"/>
    </row>
    <row r="835">
      <c r="D835" s="369"/>
      <c r="E835" s="369"/>
      <c r="H835" s="372"/>
      <c r="I835" s="372"/>
    </row>
    <row r="836">
      <c r="D836" s="369"/>
      <c r="E836" s="369"/>
      <c r="H836" s="372"/>
      <c r="I836" s="372"/>
    </row>
    <row r="837">
      <c r="D837" s="369"/>
      <c r="E837" s="369"/>
      <c r="H837" s="372"/>
      <c r="I837" s="372"/>
    </row>
    <row r="838">
      <c r="D838" s="369"/>
      <c r="E838" s="369"/>
      <c r="H838" s="372"/>
      <c r="I838" s="372"/>
    </row>
    <row r="839">
      <c r="D839" s="369"/>
      <c r="E839" s="369"/>
      <c r="H839" s="372"/>
      <c r="I839" s="372"/>
    </row>
    <row r="840">
      <c r="D840" s="369"/>
      <c r="E840" s="369"/>
      <c r="H840" s="372"/>
      <c r="I840" s="372"/>
    </row>
    <row r="841">
      <c r="D841" s="369"/>
      <c r="E841" s="369"/>
      <c r="H841" s="372"/>
      <c r="I841" s="372"/>
    </row>
    <row r="842">
      <c r="D842" s="369"/>
      <c r="E842" s="369"/>
      <c r="H842" s="372"/>
      <c r="I842" s="372"/>
    </row>
    <row r="843">
      <c r="D843" s="369"/>
      <c r="E843" s="369"/>
      <c r="H843" s="372"/>
      <c r="I843" s="372"/>
    </row>
    <row r="844">
      <c r="D844" s="369"/>
      <c r="E844" s="369"/>
      <c r="H844" s="372"/>
      <c r="I844" s="372"/>
    </row>
    <row r="845">
      <c r="D845" s="369"/>
      <c r="E845" s="369"/>
      <c r="H845" s="372"/>
      <c r="I845" s="372"/>
    </row>
    <row r="846">
      <c r="D846" s="369"/>
      <c r="E846" s="369"/>
      <c r="H846" s="372"/>
      <c r="I846" s="372"/>
    </row>
    <row r="847">
      <c r="D847" s="369"/>
      <c r="E847" s="369"/>
      <c r="H847" s="372"/>
      <c r="I847" s="372"/>
    </row>
    <row r="848">
      <c r="D848" s="369"/>
      <c r="E848" s="369"/>
      <c r="H848" s="372"/>
      <c r="I848" s="372"/>
    </row>
    <row r="849">
      <c r="D849" s="369"/>
      <c r="E849" s="369"/>
      <c r="H849" s="372"/>
      <c r="I849" s="372"/>
    </row>
    <row r="850">
      <c r="D850" s="369"/>
      <c r="E850" s="369"/>
      <c r="H850" s="372"/>
      <c r="I850" s="372"/>
    </row>
    <row r="851">
      <c r="D851" s="369"/>
      <c r="E851" s="369"/>
      <c r="H851" s="372"/>
      <c r="I851" s="372"/>
    </row>
    <row r="852">
      <c r="D852" s="369"/>
      <c r="E852" s="369"/>
      <c r="H852" s="372"/>
      <c r="I852" s="372"/>
    </row>
    <row r="853">
      <c r="D853" s="369"/>
      <c r="E853" s="369"/>
      <c r="H853" s="372"/>
      <c r="I853" s="372"/>
    </row>
    <row r="854">
      <c r="D854" s="369"/>
      <c r="E854" s="369"/>
      <c r="H854" s="372"/>
      <c r="I854" s="372"/>
    </row>
    <row r="855">
      <c r="D855" s="369"/>
      <c r="E855" s="369"/>
      <c r="H855" s="372"/>
      <c r="I855" s="372"/>
    </row>
    <row r="856">
      <c r="D856" s="369"/>
      <c r="E856" s="369"/>
      <c r="H856" s="372"/>
      <c r="I856" s="372"/>
    </row>
    <row r="857">
      <c r="D857" s="369"/>
      <c r="E857" s="369"/>
      <c r="H857" s="372"/>
      <c r="I857" s="372"/>
    </row>
    <row r="858">
      <c r="D858" s="369"/>
      <c r="E858" s="369"/>
      <c r="H858" s="372"/>
      <c r="I858" s="372"/>
    </row>
    <row r="859">
      <c r="D859" s="369"/>
      <c r="E859" s="369"/>
      <c r="H859" s="372"/>
      <c r="I859" s="372"/>
    </row>
    <row r="860">
      <c r="D860" s="369"/>
      <c r="E860" s="369"/>
      <c r="H860" s="372"/>
      <c r="I860" s="372"/>
    </row>
    <row r="861">
      <c r="D861" s="369"/>
      <c r="E861" s="369"/>
      <c r="H861" s="372"/>
      <c r="I861" s="372"/>
    </row>
    <row r="862">
      <c r="D862" s="369"/>
      <c r="E862" s="369"/>
      <c r="H862" s="372"/>
      <c r="I862" s="372"/>
    </row>
    <row r="863">
      <c r="D863" s="369"/>
      <c r="E863" s="369"/>
      <c r="H863" s="372"/>
      <c r="I863" s="372"/>
    </row>
    <row r="864">
      <c r="D864" s="369"/>
      <c r="E864" s="369"/>
      <c r="H864" s="372"/>
      <c r="I864" s="372"/>
    </row>
    <row r="865">
      <c r="D865" s="369"/>
      <c r="E865" s="369"/>
      <c r="H865" s="372"/>
      <c r="I865" s="372"/>
    </row>
    <row r="866">
      <c r="D866" s="369"/>
      <c r="E866" s="369"/>
      <c r="H866" s="372"/>
      <c r="I866" s="372"/>
    </row>
    <row r="867">
      <c r="D867" s="369"/>
      <c r="E867" s="369"/>
      <c r="H867" s="372"/>
      <c r="I867" s="372"/>
    </row>
    <row r="868">
      <c r="D868" s="369"/>
      <c r="E868" s="369"/>
      <c r="H868" s="372"/>
      <c r="I868" s="372"/>
    </row>
    <row r="869">
      <c r="D869" s="369"/>
      <c r="E869" s="369"/>
      <c r="H869" s="372"/>
      <c r="I869" s="372"/>
    </row>
    <row r="870">
      <c r="D870" s="369"/>
      <c r="E870" s="369"/>
      <c r="H870" s="372"/>
      <c r="I870" s="372"/>
    </row>
    <row r="871">
      <c r="D871" s="369"/>
      <c r="E871" s="369"/>
      <c r="H871" s="372"/>
      <c r="I871" s="372"/>
    </row>
    <row r="872">
      <c r="D872" s="369"/>
      <c r="E872" s="369"/>
      <c r="H872" s="372"/>
      <c r="I872" s="372"/>
    </row>
    <row r="873">
      <c r="D873" s="369"/>
      <c r="E873" s="369"/>
      <c r="H873" s="372"/>
      <c r="I873" s="372"/>
    </row>
    <row r="874">
      <c r="D874" s="369"/>
      <c r="E874" s="369"/>
      <c r="H874" s="372"/>
      <c r="I874" s="372"/>
    </row>
    <row r="875">
      <c r="D875" s="369"/>
      <c r="E875" s="369"/>
      <c r="H875" s="372"/>
      <c r="I875" s="372"/>
    </row>
    <row r="876">
      <c r="D876" s="369"/>
      <c r="E876" s="369"/>
      <c r="H876" s="372"/>
      <c r="I876" s="372"/>
    </row>
    <row r="877">
      <c r="D877" s="369"/>
      <c r="E877" s="369"/>
      <c r="H877" s="372"/>
      <c r="I877" s="372"/>
    </row>
    <row r="878">
      <c r="D878" s="369"/>
      <c r="E878" s="369"/>
      <c r="H878" s="372"/>
      <c r="I878" s="372"/>
    </row>
    <row r="879">
      <c r="D879" s="369"/>
      <c r="E879" s="369"/>
      <c r="H879" s="372"/>
      <c r="I879" s="372"/>
    </row>
    <row r="880">
      <c r="D880" s="369"/>
      <c r="E880" s="369"/>
      <c r="H880" s="372"/>
      <c r="I880" s="372"/>
    </row>
    <row r="881">
      <c r="D881" s="369"/>
      <c r="E881" s="369"/>
      <c r="H881" s="372"/>
      <c r="I881" s="372"/>
    </row>
    <row r="882">
      <c r="D882" s="369"/>
      <c r="E882" s="369"/>
      <c r="H882" s="372"/>
      <c r="I882" s="372"/>
    </row>
    <row r="883">
      <c r="D883" s="369"/>
      <c r="E883" s="369"/>
      <c r="H883" s="372"/>
      <c r="I883" s="372"/>
    </row>
    <row r="884">
      <c r="D884" s="369"/>
      <c r="E884" s="369"/>
      <c r="H884" s="372"/>
      <c r="I884" s="372"/>
    </row>
    <row r="885">
      <c r="D885" s="369"/>
      <c r="E885" s="369"/>
      <c r="H885" s="372"/>
      <c r="I885" s="372"/>
    </row>
    <row r="886">
      <c r="D886" s="369"/>
      <c r="E886" s="369"/>
      <c r="H886" s="372"/>
      <c r="I886" s="372"/>
    </row>
    <row r="887">
      <c r="D887" s="369"/>
      <c r="E887" s="369"/>
      <c r="H887" s="372"/>
      <c r="I887" s="372"/>
    </row>
    <row r="888">
      <c r="D888" s="369"/>
      <c r="E888" s="369"/>
      <c r="H888" s="372"/>
      <c r="I888" s="372"/>
    </row>
    <row r="889">
      <c r="D889" s="369"/>
      <c r="E889" s="369"/>
      <c r="H889" s="372"/>
      <c r="I889" s="372"/>
    </row>
    <row r="890">
      <c r="D890" s="369"/>
      <c r="E890" s="369"/>
      <c r="H890" s="372"/>
      <c r="I890" s="372"/>
    </row>
    <row r="891">
      <c r="D891" s="369"/>
      <c r="E891" s="369"/>
      <c r="H891" s="372"/>
      <c r="I891" s="372"/>
    </row>
    <row r="892">
      <c r="D892" s="369"/>
      <c r="E892" s="369"/>
      <c r="H892" s="372"/>
      <c r="I892" s="372"/>
    </row>
    <row r="893">
      <c r="D893" s="369"/>
      <c r="E893" s="369"/>
      <c r="H893" s="372"/>
      <c r="I893" s="372"/>
    </row>
    <row r="894">
      <c r="D894" s="369"/>
      <c r="E894" s="369"/>
      <c r="H894" s="372"/>
      <c r="I894" s="372"/>
    </row>
    <row r="895">
      <c r="D895" s="369"/>
      <c r="E895" s="369"/>
      <c r="H895" s="372"/>
      <c r="I895" s="372"/>
    </row>
    <row r="896">
      <c r="D896" s="369"/>
      <c r="E896" s="369"/>
      <c r="H896" s="372"/>
      <c r="I896" s="372"/>
    </row>
    <row r="897">
      <c r="D897" s="369"/>
      <c r="E897" s="369"/>
      <c r="H897" s="372"/>
      <c r="I897" s="372"/>
    </row>
    <row r="898">
      <c r="D898" s="369"/>
      <c r="E898" s="369"/>
      <c r="H898" s="372"/>
      <c r="I898" s="372"/>
    </row>
    <row r="899">
      <c r="D899" s="369"/>
      <c r="E899" s="369"/>
      <c r="H899" s="372"/>
      <c r="I899" s="372"/>
    </row>
    <row r="900">
      <c r="D900" s="369"/>
      <c r="E900" s="369"/>
      <c r="H900" s="372"/>
      <c r="I900" s="372"/>
    </row>
    <row r="901">
      <c r="D901" s="369"/>
      <c r="E901" s="369"/>
      <c r="H901" s="372"/>
      <c r="I901" s="372"/>
    </row>
    <row r="902">
      <c r="D902" s="369"/>
      <c r="E902" s="369"/>
      <c r="H902" s="372"/>
      <c r="I902" s="372"/>
    </row>
    <row r="903">
      <c r="D903" s="369"/>
      <c r="E903" s="369"/>
      <c r="H903" s="372"/>
      <c r="I903" s="372"/>
    </row>
    <row r="904">
      <c r="D904" s="369"/>
      <c r="E904" s="369"/>
      <c r="H904" s="372"/>
      <c r="I904" s="372"/>
    </row>
    <row r="905">
      <c r="D905" s="369"/>
      <c r="E905" s="369"/>
      <c r="H905" s="372"/>
      <c r="I905" s="372"/>
    </row>
    <row r="906">
      <c r="D906" s="369"/>
      <c r="E906" s="369"/>
      <c r="H906" s="372"/>
      <c r="I906" s="372"/>
    </row>
    <row r="907">
      <c r="D907" s="369"/>
      <c r="E907" s="369"/>
      <c r="H907" s="372"/>
      <c r="I907" s="372"/>
    </row>
    <row r="908">
      <c r="D908" s="369"/>
      <c r="E908" s="369"/>
      <c r="H908" s="372"/>
      <c r="I908" s="372"/>
    </row>
    <row r="909">
      <c r="D909" s="369"/>
      <c r="E909" s="369"/>
      <c r="H909" s="372"/>
      <c r="I909" s="372"/>
    </row>
    <row r="910">
      <c r="D910" s="369"/>
      <c r="E910" s="369"/>
      <c r="H910" s="372"/>
      <c r="I910" s="372"/>
    </row>
    <row r="911">
      <c r="D911" s="369"/>
      <c r="E911" s="369"/>
      <c r="H911" s="372"/>
      <c r="I911" s="372"/>
    </row>
    <row r="912">
      <c r="D912" s="369"/>
      <c r="E912" s="369"/>
      <c r="H912" s="372"/>
      <c r="I912" s="372"/>
    </row>
    <row r="913">
      <c r="D913" s="369"/>
      <c r="E913" s="369"/>
      <c r="H913" s="372"/>
      <c r="I913" s="372"/>
    </row>
    <row r="914">
      <c r="D914" s="369"/>
      <c r="E914" s="369"/>
      <c r="H914" s="372"/>
      <c r="I914" s="372"/>
    </row>
    <row r="915">
      <c r="D915" s="369"/>
      <c r="E915" s="369"/>
      <c r="H915" s="372"/>
      <c r="I915" s="372"/>
    </row>
    <row r="916">
      <c r="D916" s="369"/>
      <c r="E916" s="369"/>
      <c r="H916" s="372"/>
      <c r="I916" s="372"/>
    </row>
    <row r="917">
      <c r="D917" s="369"/>
      <c r="E917" s="369"/>
      <c r="H917" s="372"/>
      <c r="I917" s="372"/>
    </row>
    <row r="918">
      <c r="D918" s="369"/>
      <c r="E918" s="369"/>
      <c r="H918" s="372"/>
      <c r="I918" s="372"/>
    </row>
    <row r="919">
      <c r="D919" s="369"/>
      <c r="E919" s="369"/>
      <c r="H919" s="372"/>
      <c r="I919" s="372"/>
    </row>
    <row r="920">
      <c r="D920" s="369"/>
      <c r="E920" s="369"/>
      <c r="H920" s="372"/>
      <c r="I920" s="372"/>
    </row>
    <row r="921">
      <c r="D921" s="369"/>
      <c r="E921" s="369"/>
      <c r="H921" s="372"/>
      <c r="I921" s="372"/>
    </row>
    <row r="922">
      <c r="D922" s="369"/>
      <c r="E922" s="369"/>
      <c r="H922" s="372"/>
      <c r="I922" s="372"/>
    </row>
    <row r="923">
      <c r="D923" s="369"/>
      <c r="E923" s="369"/>
      <c r="H923" s="372"/>
      <c r="I923" s="372"/>
    </row>
    <row r="924">
      <c r="D924" s="369"/>
      <c r="E924" s="369"/>
      <c r="H924" s="372"/>
      <c r="I924" s="372"/>
    </row>
    <row r="925">
      <c r="D925" s="369"/>
      <c r="E925" s="369"/>
      <c r="H925" s="372"/>
      <c r="I925" s="372"/>
    </row>
    <row r="926">
      <c r="D926" s="369"/>
      <c r="E926" s="369"/>
      <c r="H926" s="372"/>
      <c r="I926" s="372"/>
    </row>
    <row r="927">
      <c r="D927" s="369"/>
      <c r="E927" s="369"/>
      <c r="H927" s="372"/>
      <c r="I927" s="372"/>
    </row>
    <row r="928">
      <c r="D928" s="369"/>
      <c r="E928" s="369"/>
      <c r="H928" s="372"/>
      <c r="I928" s="372"/>
    </row>
    <row r="929">
      <c r="D929" s="369"/>
      <c r="E929" s="369"/>
      <c r="H929" s="372"/>
      <c r="I929" s="372"/>
    </row>
    <row r="930">
      <c r="D930" s="369"/>
      <c r="E930" s="369"/>
      <c r="H930" s="372"/>
      <c r="I930" s="372"/>
    </row>
    <row r="931">
      <c r="D931" s="369"/>
      <c r="E931" s="369"/>
      <c r="H931" s="372"/>
      <c r="I931" s="372"/>
    </row>
    <row r="932">
      <c r="D932" s="369"/>
      <c r="E932" s="369"/>
      <c r="H932" s="372"/>
      <c r="I932" s="372"/>
    </row>
    <row r="933">
      <c r="D933" s="369"/>
      <c r="E933" s="369"/>
      <c r="H933" s="372"/>
      <c r="I933" s="372"/>
    </row>
    <row r="934">
      <c r="D934" s="369"/>
      <c r="E934" s="369"/>
      <c r="H934" s="372"/>
      <c r="I934" s="372"/>
    </row>
    <row r="935">
      <c r="D935" s="369"/>
      <c r="E935" s="369"/>
      <c r="H935" s="372"/>
      <c r="I935" s="372"/>
    </row>
    <row r="936">
      <c r="D936" s="369"/>
      <c r="E936" s="369"/>
      <c r="H936" s="372"/>
      <c r="I936" s="372"/>
    </row>
    <row r="937">
      <c r="D937" s="369"/>
      <c r="E937" s="369"/>
      <c r="H937" s="372"/>
      <c r="I937" s="372"/>
    </row>
    <row r="938">
      <c r="D938" s="369"/>
      <c r="E938" s="369"/>
      <c r="H938" s="372"/>
      <c r="I938" s="372"/>
    </row>
    <row r="939">
      <c r="D939" s="369"/>
      <c r="E939" s="369"/>
      <c r="H939" s="372"/>
      <c r="I939" s="372"/>
    </row>
    <row r="940">
      <c r="D940" s="369"/>
      <c r="E940" s="369"/>
      <c r="H940" s="372"/>
      <c r="I940" s="372"/>
    </row>
    <row r="941">
      <c r="D941" s="369"/>
      <c r="E941" s="369"/>
      <c r="H941" s="372"/>
      <c r="I941" s="372"/>
    </row>
    <row r="942">
      <c r="D942" s="369"/>
      <c r="E942" s="369"/>
      <c r="H942" s="372"/>
      <c r="I942" s="372"/>
    </row>
    <row r="943">
      <c r="D943" s="369"/>
      <c r="E943" s="369"/>
      <c r="H943" s="372"/>
      <c r="I943" s="372"/>
    </row>
    <row r="944">
      <c r="D944" s="369"/>
      <c r="E944" s="369"/>
      <c r="H944" s="372"/>
      <c r="I944" s="372"/>
    </row>
    <row r="945">
      <c r="D945" s="369"/>
      <c r="E945" s="369"/>
      <c r="H945" s="372"/>
      <c r="I945" s="372"/>
    </row>
    <row r="946">
      <c r="D946" s="369"/>
      <c r="E946" s="369"/>
      <c r="H946" s="372"/>
      <c r="I946" s="372"/>
    </row>
    <row r="947">
      <c r="D947" s="369"/>
      <c r="E947" s="369"/>
      <c r="H947" s="372"/>
      <c r="I947" s="372"/>
    </row>
    <row r="948">
      <c r="D948" s="369"/>
      <c r="E948" s="369"/>
      <c r="H948" s="372"/>
      <c r="I948" s="372"/>
    </row>
    <row r="949">
      <c r="D949" s="369"/>
      <c r="E949" s="369"/>
      <c r="H949" s="372"/>
      <c r="I949" s="372"/>
    </row>
    <row r="950">
      <c r="D950" s="369"/>
      <c r="E950" s="369"/>
      <c r="H950" s="372"/>
      <c r="I950" s="372"/>
    </row>
    <row r="951">
      <c r="D951" s="369"/>
      <c r="E951" s="369"/>
      <c r="H951" s="372"/>
      <c r="I951" s="372"/>
    </row>
    <row r="952">
      <c r="D952" s="369"/>
      <c r="E952" s="369"/>
      <c r="H952" s="372"/>
      <c r="I952" s="372"/>
    </row>
    <row r="953">
      <c r="D953" s="369"/>
      <c r="E953" s="369"/>
      <c r="H953" s="372"/>
      <c r="I953" s="372"/>
    </row>
    <row r="954">
      <c r="D954" s="369"/>
      <c r="E954" s="369"/>
      <c r="H954" s="372"/>
      <c r="I954" s="372"/>
    </row>
    <row r="955">
      <c r="D955" s="369"/>
      <c r="E955" s="369"/>
      <c r="H955" s="372"/>
      <c r="I955" s="372"/>
    </row>
    <row r="956">
      <c r="D956" s="369"/>
      <c r="E956" s="369"/>
      <c r="H956" s="372"/>
      <c r="I956" s="372"/>
    </row>
    <row r="957">
      <c r="D957" s="369"/>
      <c r="E957" s="369"/>
      <c r="H957" s="372"/>
      <c r="I957" s="372"/>
    </row>
    <row r="958">
      <c r="D958" s="369"/>
      <c r="E958" s="369"/>
      <c r="H958" s="372"/>
      <c r="I958" s="372"/>
    </row>
    <row r="959">
      <c r="D959" s="369"/>
      <c r="E959" s="369"/>
      <c r="H959" s="372"/>
      <c r="I959" s="372"/>
    </row>
    <row r="960">
      <c r="D960" s="369"/>
      <c r="E960" s="369"/>
      <c r="H960" s="372"/>
      <c r="I960" s="372"/>
    </row>
    <row r="961">
      <c r="D961" s="369"/>
      <c r="E961" s="369"/>
      <c r="H961" s="372"/>
      <c r="I961" s="372"/>
    </row>
    <row r="962">
      <c r="D962" s="369"/>
      <c r="E962" s="369"/>
      <c r="H962" s="372"/>
      <c r="I962" s="372"/>
    </row>
    <row r="963">
      <c r="D963" s="369"/>
      <c r="E963" s="369"/>
      <c r="H963" s="372"/>
      <c r="I963" s="372"/>
    </row>
    <row r="964">
      <c r="D964" s="369"/>
      <c r="E964" s="369"/>
      <c r="H964" s="372"/>
      <c r="I964" s="372"/>
    </row>
    <row r="965">
      <c r="D965" s="369"/>
      <c r="E965" s="369"/>
      <c r="H965" s="372"/>
      <c r="I965" s="372"/>
    </row>
    <row r="966">
      <c r="D966" s="369"/>
      <c r="E966" s="369"/>
      <c r="H966" s="372"/>
      <c r="I966" s="372"/>
    </row>
    <row r="967">
      <c r="D967" s="369"/>
      <c r="E967" s="369"/>
      <c r="H967" s="372"/>
      <c r="I967" s="372"/>
    </row>
    <row r="968">
      <c r="D968" s="369"/>
      <c r="E968" s="369"/>
      <c r="H968" s="372"/>
      <c r="I968" s="372"/>
    </row>
    <row r="969">
      <c r="D969" s="369"/>
      <c r="E969" s="369"/>
      <c r="H969" s="372"/>
      <c r="I969" s="372"/>
    </row>
    <row r="970">
      <c r="D970" s="369"/>
      <c r="E970" s="369"/>
      <c r="H970" s="372"/>
      <c r="I970" s="372"/>
    </row>
    <row r="971">
      <c r="D971" s="369"/>
      <c r="E971" s="369"/>
      <c r="H971" s="372"/>
      <c r="I971" s="372"/>
    </row>
    <row r="972">
      <c r="D972" s="369"/>
      <c r="E972" s="369"/>
      <c r="H972" s="372"/>
      <c r="I972" s="372"/>
    </row>
    <row r="973">
      <c r="D973" s="369"/>
      <c r="E973" s="369"/>
      <c r="H973" s="372"/>
      <c r="I973" s="372"/>
    </row>
    <row r="974">
      <c r="D974" s="369"/>
      <c r="E974" s="369"/>
      <c r="H974" s="372"/>
      <c r="I974" s="372"/>
    </row>
    <row r="975">
      <c r="D975" s="369"/>
      <c r="E975" s="369"/>
      <c r="H975" s="372"/>
      <c r="I975" s="372"/>
    </row>
    <row r="976">
      <c r="D976" s="369"/>
      <c r="E976" s="369"/>
      <c r="H976" s="372"/>
      <c r="I976" s="372"/>
    </row>
    <row r="977">
      <c r="D977" s="369"/>
      <c r="E977" s="369"/>
      <c r="H977" s="372"/>
      <c r="I977" s="372"/>
    </row>
    <row r="978">
      <c r="D978" s="369"/>
      <c r="E978" s="369"/>
      <c r="H978" s="372"/>
      <c r="I978" s="372"/>
    </row>
    <row r="979">
      <c r="D979" s="369"/>
      <c r="E979" s="369"/>
      <c r="H979" s="372"/>
      <c r="I979" s="372"/>
    </row>
    <row r="980">
      <c r="D980" s="369"/>
      <c r="E980" s="369"/>
      <c r="H980" s="372"/>
      <c r="I980" s="372"/>
    </row>
    <row r="981">
      <c r="D981" s="369"/>
      <c r="E981" s="369"/>
      <c r="H981" s="372"/>
      <c r="I981" s="372"/>
    </row>
    <row r="982">
      <c r="D982" s="369"/>
      <c r="E982" s="369"/>
      <c r="H982" s="372"/>
      <c r="I982" s="372"/>
    </row>
    <row r="983">
      <c r="D983" s="369"/>
      <c r="E983" s="369"/>
      <c r="H983" s="372"/>
      <c r="I983" s="372"/>
    </row>
    <row r="984">
      <c r="D984" s="369"/>
      <c r="E984" s="369"/>
      <c r="H984" s="372"/>
      <c r="I984" s="372"/>
    </row>
    <row r="985">
      <c r="D985" s="369"/>
      <c r="E985" s="369"/>
      <c r="H985" s="372"/>
      <c r="I985" s="372"/>
    </row>
    <row r="986">
      <c r="D986" s="369"/>
      <c r="E986" s="369"/>
      <c r="H986" s="372"/>
      <c r="I986" s="372"/>
    </row>
    <row r="987">
      <c r="D987" s="369"/>
      <c r="E987" s="369"/>
      <c r="H987" s="372"/>
      <c r="I987" s="372"/>
    </row>
    <row r="988">
      <c r="D988" s="369"/>
      <c r="E988" s="369"/>
      <c r="H988" s="372"/>
      <c r="I988" s="372"/>
    </row>
    <row r="989">
      <c r="D989" s="369"/>
      <c r="E989" s="369"/>
      <c r="H989" s="372"/>
      <c r="I989" s="372"/>
    </row>
    <row r="990">
      <c r="D990" s="369"/>
      <c r="E990" s="369"/>
      <c r="H990" s="372"/>
      <c r="I990" s="372"/>
    </row>
    <row r="991">
      <c r="D991" s="369"/>
      <c r="E991" s="369"/>
      <c r="H991" s="372"/>
      <c r="I991" s="372"/>
    </row>
    <row r="992">
      <c r="D992" s="369"/>
      <c r="E992" s="369"/>
      <c r="H992" s="372"/>
      <c r="I992" s="372"/>
    </row>
    <row r="993">
      <c r="D993" s="369"/>
      <c r="E993" s="369"/>
      <c r="H993" s="372"/>
      <c r="I993" s="372"/>
    </row>
    <row r="994">
      <c r="D994" s="369"/>
      <c r="E994" s="369"/>
      <c r="H994" s="372"/>
      <c r="I994" s="372"/>
    </row>
    <row r="995">
      <c r="D995" s="369"/>
      <c r="E995" s="369"/>
      <c r="H995" s="372"/>
      <c r="I995" s="372"/>
    </row>
    <row r="996">
      <c r="D996" s="369"/>
      <c r="E996" s="369"/>
      <c r="H996" s="372"/>
      <c r="I996" s="372"/>
    </row>
    <row r="997">
      <c r="D997" s="369"/>
      <c r="E997" s="369"/>
      <c r="H997" s="372"/>
      <c r="I997" s="372"/>
    </row>
    <row r="998">
      <c r="D998" s="369"/>
      <c r="E998" s="369"/>
      <c r="H998" s="372"/>
      <c r="I998" s="372"/>
    </row>
    <row r="999">
      <c r="D999" s="369"/>
      <c r="E999" s="369"/>
      <c r="H999" s="372"/>
      <c r="I999" s="372"/>
    </row>
    <row r="1000">
      <c r="D1000" s="369"/>
      <c r="E1000" s="369"/>
      <c r="H1000" s="372"/>
      <c r="I1000" s="372"/>
    </row>
    <row r="1001">
      <c r="D1001" s="369"/>
      <c r="E1001" s="369"/>
      <c r="H1001" s="372"/>
      <c r="I1001" s="372"/>
    </row>
    <row r="1002">
      <c r="D1002" s="369"/>
      <c r="E1002" s="369"/>
      <c r="H1002" s="372"/>
      <c r="I1002" s="372"/>
    </row>
    <row r="1003">
      <c r="D1003" s="369"/>
      <c r="E1003" s="369"/>
      <c r="H1003" s="372"/>
      <c r="I1003" s="372"/>
    </row>
    <row r="1004">
      <c r="D1004" s="369"/>
      <c r="E1004" s="369"/>
      <c r="H1004" s="372"/>
      <c r="I1004" s="372"/>
    </row>
    <row r="1005">
      <c r="D1005" s="369"/>
      <c r="E1005" s="369"/>
      <c r="H1005" s="372"/>
      <c r="I1005" s="372"/>
    </row>
    <row r="1006">
      <c r="D1006" s="369"/>
      <c r="E1006" s="369"/>
      <c r="H1006" s="372"/>
      <c r="I1006" s="372"/>
    </row>
    <row r="1007">
      <c r="D1007" s="369"/>
      <c r="E1007" s="369"/>
      <c r="H1007" s="372"/>
      <c r="I1007" s="372"/>
    </row>
    <row r="1008">
      <c r="D1008" s="369"/>
      <c r="E1008" s="369"/>
      <c r="H1008" s="372"/>
      <c r="I1008" s="372"/>
    </row>
    <row r="1009">
      <c r="D1009" s="369"/>
      <c r="E1009" s="369"/>
      <c r="H1009" s="372"/>
      <c r="I1009" s="372"/>
    </row>
    <row r="1010">
      <c r="D1010" s="369"/>
      <c r="E1010" s="369"/>
      <c r="H1010" s="372"/>
      <c r="I1010" s="372"/>
    </row>
    <row r="1011">
      <c r="D1011" s="369"/>
      <c r="E1011" s="369"/>
      <c r="H1011" s="372"/>
      <c r="I1011" s="372"/>
    </row>
    <row r="1012">
      <c r="D1012" s="369"/>
      <c r="E1012" s="369"/>
      <c r="H1012" s="372"/>
      <c r="I1012" s="372"/>
    </row>
    <row r="1013">
      <c r="D1013" s="369"/>
      <c r="E1013" s="369"/>
      <c r="H1013" s="372"/>
      <c r="I1013" s="37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44.43"/>
    <col customWidth="1" hidden="1" min="3" max="3" width="10.57"/>
    <col customWidth="1" hidden="1" min="4" max="4" width="12.86"/>
    <col customWidth="1" hidden="1" min="5" max="5" width="21.14"/>
    <col customWidth="1" min="6" max="6" width="23.14"/>
    <col customWidth="1" min="7" max="7" width="17.57"/>
  </cols>
  <sheetData>
    <row r="1" ht="61.5" customHeight="1">
      <c r="A1" s="367"/>
      <c r="B1" s="368"/>
      <c r="C1" s="176"/>
      <c r="D1" s="369"/>
      <c r="E1" s="369"/>
      <c r="F1" s="370" t="s">
        <v>703</v>
      </c>
      <c r="G1" s="371">
        <f>1305</f>
        <v>1305</v>
      </c>
      <c r="H1" s="372"/>
      <c r="I1" s="372"/>
    </row>
    <row r="2">
      <c r="A2" s="373" t="s">
        <v>704</v>
      </c>
      <c r="B2" s="373" t="s">
        <v>705</v>
      </c>
      <c r="C2" s="374" t="s">
        <v>706</v>
      </c>
      <c r="D2" s="375" t="s">
        <v>707</v>
      </c>
      <c r="E2" s="375" t="s">
        <v>708</v>
      </c>
      <c r="F2" s="376" t="s">
        <v>263</v>
      </c>
      <c r="G2" s="377" t="s">
        <v>24</v>
      </c>
      <c r="H2" s="378" t="s">
        <v>25</v>
      </c>
      <c r="I2" s="379" t="s">
        <v>26</v>
      </c>
    </row>
    <row r="3">
      <c r="A3" s="380" t="s">
        <v>709</v>
      </c>
      <c r="B3" s="381" t="s">
        <v>793</v>
      </c>
      <c r="C3" s="382">
        <v>130.0</v>
      </c>
      <c r="D3" s="383">
        <v>0.154</v>
      </c>
      <c r="E3" s="384">
        <f t="shared" ref="E3:E8" si="2">D3*$G$1</f>
        <v>200.97</v>
      </c>
      <c r="F3" s="385">
        <f t="shared" ref="F3:F52" si="3">E3*1.45</f>
        <v>291.4065</v>
      </c>
      <c r="G3" s="386">
        <f t="shared" ref="G3:G52" si="4">E3*1.5</f>
        <v>301.455</v>
      </c>
      <c r="H3" s="387"/>
      <c r="I3" s="388">
        <f t="shared" ref="I3:I8" si="5">C3-H3</f>
        <v>130</v>
      </c>
      <c r="J3" s="389">
        <f t="shared" ref="J3:K3" si="1">ROUNDUP(F3,-2)</f>
        <v>300</v>
      </c>
      <c r="K3" s="389">
        <f t="shared" si="1"/>
        <v>400</v>
      </c>
    </row>
    <row r="4">
      <c r="A4" s="380" t="s">
        <v>711</v>
      </c>
      <c r="B4" s="381" t="s">
        <v>794</v>
      </c>
      <c r="C4" s="382">
        <v>130.0</v>
      </c>
      <c r="D4" s="383">
        <v>0.154</v>
      </c>
      <c r="E4" s="384">
        <f t="shared" si="2"/>
        <v>200.97</v>
      </c>
      <c r="F4" s="385">
        <f t="shared" si="3"/>
        <v>291.4065</v>
      </c>
      <c r="G4" s="386">
        <f t="shared" si="4"/>
        <v>301.455</v>
      </c>
      <c r="H4" s="390"/>
      <c r="I4" s="388">
        <f t="shared" si="5"/>
        <v>130</v>
      </c>
      <c r="J4" s="389">
        <f t="shared" ref="J4:K4" si="6">ROUNDUP(F4,-2)</f>
        <v>300</v>
      </c>
      <c r="K4" s="389">
        <f t="shared" si="6"/>
        <v>400</v>
      </c>
    </row>
    <row r="5">
      <c r="A5" s="380" t="s">
        <v>713</v>
      </c>
      <c r="B5" s="381" t="s">
        <v>795</v>
      </c>
      <c r="C5" s="382">
        <v>130.0</v>
      </c>
      <c r="D5" s="383">
        <v>0.154</v>
      </c>
      <c r="E5" s="384">
        <f t="shared" si="2"/>
        <v>200.97</v>
      </c>
      <c r="F5" s="385">
        <f t="shared" si="3"/>
        <v>291.4065</v>
      </c>
      <c r="G5" s="386">
        <f t="shared" si="4"/>
        <v>301.455</v>
      </c>
      <c r="H5" s="387">
        <v>2.0</v>
      </c>
      <c r="I5" s="388">
        <f t="shared" si="5"/>
        <v>128</v>
      </c>
      <c r="J5" s="389">
        <f t="shared" ref="J5:K5" si="7">ROUNDUP(F5,-2)</f>
        <v>300</v>
      </c>
      <c r="K5" s="389">
        <f t="shared" si="7"/>
        <v>400</v>
      </c>
    </row>
    <row r="6">
      <c r="A6" s="380" t="s">
        <v>715</v>
      </c>
      <c r="B6" s="381" t="s">
        <v>796</v>
      </c>
      <c r="C6" s="382">
        <v>130.0</v>
      </c>
      <c r="D6" s="383">
        <v>0.154</v>
      </c>
      <c r="E6" s="384">
        <f t="shared" si="2"/>
        <v>200.97</v>
      </c>
      <c r="F6" s="385">
        <f t="shared" si="3"/>
        <v>291.4065</v>
      </c>
      <c r="G6" s="386">
        <f t="shared" si="4"/>
        <v>301.455</v>
      </c>
      <c r="H6" s="390"/>
      <c r="I6" s="388">
        <f t="shared" si="5"/>
        <v>130</v>
      </c>
      <c r="J6" s="389">
        <f t="shared" ref="J6:K6" si="8">ROUNDUP(F6,-2)</f>
        <v>300</v>
      </c>
      <c r="K6" s="389">
        <f t="shared" si="8"/>
        <v>400</v>
      </c>
    </row>
    <row r="7">
      <c r="A7" s="380" t="s">
        <v>717</v>
      </c>
      <c r="B7" s="381" t="s">
        <v>797</v>
      </c>
      <c r="C7" s="382">
        <v>130.0</v>
      </c>
      <c r="D7" s="383">
        <v>0.154</v>
      </c>
      <c r="E7" s="384">
        <f t="shared" si="2"/>
        <v>200.97</v>
      </c>
      <c r="F7" s="385">
        <f t="shared" si="3"/>
        <v>291.4065</v>
      </c>
      <c r="G7" s="386">
        <f t="shared" si="4"/>
        <v>301.455</v>
      </c>
      <c r="H7" s="390"/>
      <c r="I7" s="388">
        <f t="shared" si="5"/>
        <v>130</v>
      </c>
      <c r="J7" s="389">
        <f t="shared" ref="J7:K7" si="9">ROUNDUP(F7,-2)</f>
        <v>300</v>
      </c>
      <c r="K7" s="389">
        <f t="shared" si="9"/>
        <v>400</v>
      </c>
    </row>
    <row r="8">
      <c r="A8" s="380" t="s">
        <v>719</v>
      </c>
      <c r="B8" s="381" t="s">
        <v>798</v>
      </c>
      <c r="C8" s="382">
        <v>130.0</v>
      </c>
      <c r="D8" s="383">
        <v>0.154</v>
      </c>
      <c r="E8" s="384">
        <f t="shared" si="2"/>
        <v>200.97</v>
      </c>
      <c r="F8" s="385">
        <f t="shared" si="3"/>
        <v>291.4065</v>
      </c>
      <c r="G8" s="386">
        <f t="shared" si="4"/>
        <v>301.455</v>
      </c>
      <c r="H8" s="391"/>
      <c r="I8" s="388">
        <f t="shared" si="5"/>
        <v>130</v>
      </c>
    </row>
    <row r="9" ht="1.5" customHeight="1">
      <c r="A9" s="392"/>
      <c r="B9" s="392"/>
      <c r="C9" s="393"/>
      <c r="D9" s="394"/>
      <c r="E9" s="395"/>
      <c r="F9" s="385">
        <f t="shared" si="3"/>
        <v>0</v>
      </c>
      <c r="G9" s="386">
        <f t="shared" si="4"/>
        <v>0</v>
      </c>
      <c r="H9" s="397"/>
      <c r="I9" s="398"/>
      <c r="J9" s="399"/>
      <c r="K9" s="399"/>
      <c r="L9" s="399"/>
      <c r="M9" s="399"/>
      <c r="N9" s="399"/>
      <c r="O9" s="399"/>
      <c r="P9" s="399"/>
      <c r="Q9" s="399"/>
      <c r="R9" s="399"/>
      <c r="S9" s="399"/>
      <c r="T9" s="399"/>
      <c r="U9" s="399"/>
      <c r="V9" s="399"/>
      <c r="W9" s="399"/>
      <c r="X9" s="399"/>
      <c r="Y9" s="399"/>
      <c r="Z9" s="399"/>
      <c r="AA9" s="399"/>
      <c r="AB9" s="399"/>
      <c r="AC9" s="399"/>
    </row>
    <row r="10">
      <c r="A10" s="380" t="s">
        <v>721</v>
      </c>
      <c r="B10" s="400" t="s">
        <v>799</v>
      </c>
      <c r="C10" s="382">
        <v>230.0</v>
      </c>
      <c r="D10" s="383">
        <v>0.2135</v>
      </c>
      <c r="E10" s="384">
        <f t="shared" ref="E10:E15" si="11">D10*$G$1</f>
        <v>278.6175</v>
      </c>
      <c r="F10" s="385">
        <f t="shared" si="3"/>
        <v>403.995375</v>
      </c>
      <c r="G10" s="386">
        <f t="shared" si="4"/>
        <v>417.92625</v>
      </c>
      <c r="H10" s="390"/>
      <c r="I10" s="388">
        <f t="shared" ref="I10:I15" si="12">C10-H10</f>
        <v>230</v>
      </c>
      <c r="J10" s="389">
        <f t="shared" ref="J10:K10" si="10">ROUNDUP(F10,-2)</f>
        <v>500</v>
      </c>
      <c r="K10" s="389">
        <f t="shared" si="10"/>
        <v>500</v>
      </c>
    </row>
    <row r="11">
      <c r="A11" s="380" t="s">
        <v>723</v>
      </c>
      <c r="B11" s="400" t="s">
        <v>800</v>
      </c>
      <c r="C11" s="382">
        <v>230.0</v>
      </c>
      <c r="D11" s="383">
        <v>0.2135</v>
      </c>
      <c r="E11" s="384">
        <f t="shared" si="11"/>
        <v>278.6175</v>
      </c>
      <c r="F11" s="385">
        <f t="shared" si="3"/>
        <v>403.995375</v>
      </c>
      <c r="G11" s="386">
        <f t="shared" si="4"/>
        <v>417.92625</v>
      </c>
      <c r="H11" s="390"/>
      <c r="I11" s="388">
        <f t="shared" si="12"/>
        <v>230</v>
      </c>
      <c r="J11" s="389">
        <f t="shared" ref="J11:K11" si="13">ROUNDUP(F11,-2)</f>
        <v>500</v>
      </c>
      <c r="K11" s="389">
        <f t="shared" si="13"/>
        <v>500</v>
      </c>
    </row>
    <row r="12">
      <c r="A12" s="380" t="s">
        <v>725</v>
      </c>
      <c r="B12" s="400" t="s">
        <v>801</v>
      </c>
      <c r="C12" s="382">
        <v>230.0</v>
      </c>
      <c r="D12" s="383">
        <v>0.2135</v>
      </c>
      <c r="E12" s="384">
        <f t="shared" si="11"/>
        <v>278.6175</v>
      </c>
      <c r="F12" s="385">
        <f t="shared" si="3"/>
        <v>403.995375</v>
      </c>
      <c r="G12" s="386">
        <f t="shared" si="4"/>
        <v>417.92625</v>
      </c>
      <c r="H12" s="390"/>
      <c r="I12" s="388">
        <f t="shared" si="12"/>
        <v>230</v>
      </c>
      <c r="J12" s="389">
        <f t="shared" ref="J12:K12" si="14">ROUNDUP(F12,-2)</f>
        <v>500</v>
      </c>
      <c r="K12" s="389">
        <f t="shared" si="14"/>
        <v>500</v>
      </c>
    </row>
    <row r="13">
      <c r="A13" s="380" t="s">
        <v>727</v>
      </c>
      <c r="B13" s="400" t="s">
        <v>802</v>
      </c>
      <c r="C13" s="382">
        <v>230.0</v>
      </c>
      <c r="D13" s="383">
        <v>0.2135</v>
      </c>
      <c r="E13" s="384">
        <f t="shared" si="11"/>
        <v>278.6175</v>
      </c>
      <c r="F13" s="385">
        <f t="shared" si="3"/>
        <v>403.995375</v>
      </c>
      <c r="G13" s="386">
        <f t="shared" si="4"/>
        <v>417.92625</v>
      </c>
      <c r="H13" s="390"/>
      <c r="I13" s="388">
        <f t="shared" si="12"/>
        <v>230</v>
      </c>
      <c r="J13" s="389">
        <f t="shared" ref="J13:K13" si="15">ROUNDUP(F13,-2)</f>
        <v>500</v>
      </c>
      <c r="K13" s="389">
        <f t="shared" si="15"/>
        <v>500</v>
      </c>
    </row>
    <row r="14">
      <c r="A14" s="380" t="s">
        <v>729</v>
      </c>
      <c r="B14" s="400" t="s">
        <v>803</v>
      </c>
      <c r="C14" s="382">
        <v>230.0</v>
      </c>
      <c r="D14" s="383">
        <v>0.2135</v>
      </c>
      <c r="E14" s="384">
        <f t="shared" si="11"/>
        <v>278.6175</v>
      </c>
      <c r="F14" s="385">
        <f t="shared" si="3"/>
        <v>403.995375</v>
      </c>
      <c r="G14" s="386">
        <f t="shared" si="4"/>
        <v>417.92625</v>
      </c>
      <c r="H14" s="390"/>
      <c r="I14" s="388">
        <f t="shared" si="12"/>
        <v>230</v>
      </c>
      <c r="J14" s="389">
        <f t="shared" ref="J14:K14" si="16">ROUNDUP(F14,-2)</f>
        <v>500</v>
      </c>
      <c r="K14" s="389">
        <f t="shared" si="16"/>
        <v>500</v>
      </c>
    </row>
    <row r="15">
      <c r="A15" s="380" t="s">
        <v>731</v>
      </c>
      <c r="B15" s="400" t="s">
        <v>804</v>
      </c>
      <c r="C15" s="382">
        <v>230.0</v>
      </c>
      <c r="D15" s="383">
        <v>0.2135</v>
      </c>
      <c r="E15" s="384">
        <f t="shared" si="11"/>
        <v>278.6175</v>
      </c>
      <c r="F15" s="385">
        <f t="shared" si="3"/>
        <v>403.995375</v>
      </c>
      <c r="G15" s="386">
        <f t="shared" si="4"/>
        <v>417.92625</v>
      </c>
      <c r="H15" s="391"/>
      <c r="I15" s="388">
        <f t="shared" si="12"/>
        <v>230</v>
      </c>
    </row>
    <row r="16" ht="1.5" customHeight="1">
      <c r="A16" s="392"/>
      <c r="B16" s="392"/>
      <c r="C16" s="393"/>
      <c r="D16" s="394"/>
      <c r="E16" s="395"/>
      <c r="F16" s="385">
        <f t="shared" si="3"/>
        <v>0</v>
      </c>
      <c r="G16" s="386">
        <f t="shared" si="4"/>
        <v>0</v>
      </c>
      <c r="H16" s="397"/>
      <c r="I16" s="398"/>
      <c r="J16" s="399"/>
      <c r="K16" s="399"/>
      <c r="L16" s="399"/>
      <c r="M16" s="399"/>
      <c r="N16" s="399"/>
      <c r="O16" s="399"/>
      <c r="P16" s="399"/>
      <c r="Q16" s="399"/>
      <c r="R16" s="399"/>
      <c r="S16" s="399"/>
      <c r="T16" s="399"/>
      <c r="U16" s="399"/>
      <c r="V16" s="399"/>
      <c r="W16" s="399"/>
      <c r="X16" s="399"/>
      <c r="Y16" s="399"/>
      <c r="Z16" s="399"/>
      <c r="AA16" s="399"/>
      <c r="AB16" s="399"/>
      <c r="AC16" s="399"/>
    </row>
    <row r="17">
      <c r="A17" s="380" t="s">
        <v>733</v>
      </c>
      <c r="B17" s="402" t="s">
        <v>805</v>
      </c>
      <c r="C17" s="382">
        <v>230.0</v>
      </c>
      <c r="D17" s="383">
        <v>0.3382</v>
      </c>
      <c r="E17" s="384">
        <f t="shared" ref="E17:E22" si="18">D17*$G$1</f>
        <v>441.351</v>
      </c>
      <c r="F17" s="385">
        <f t="shared" si="3"/>
        <v>639.95895</v>
      </c>
      <c r="G17" s="386">
        <f t="shared" si="4"/>
        <v>662.0265</v>
      </c>
      <c r="H17" s="390"/>
      <c r="I17" s="388">
        <f t="shared" ref="I17:I22" si="19">C17-H17</f>
        <v>230</v>
      </c>
      <c r="J17" s="389">
        <f t="shared" ref="J17:K17" si="17">ROUNDUP(F17,-2)</f>
        <v>700</v>
      </c>
      <c r="K17" s="389">
        <f t="shared" si="17"/>
        <v>700</v>
      </c>
    </row>
    <row r="18">
      <c r="A18" s="380" t="s">
        <v>735</v>
      </c>
      <c r="B18" s="402" t="s">
        <v>806</v>
      </c>
      <c r="C18" s="382">
        <v>230.0</v>
      </c>
      <c r="D18" s="383">
        <v>0.3382</v>
      </c>
      <c r="E18" s="384">
        <f t="shared" si="18"/>
        <v>441.351</v>
      </c>
      <c r="F18" s="385">
        <f t="shared" si="3"/>
        <v>639.95895</v>
      </c>
      <c r="G18" s="386">
        <f t="shared" si="4"/>
        <v>662.0265</v>
      </c>
      <c r="H18" s="390"/>
      <c r="I18" s="388">
        <f t="shared" si="19"/>
        <v>230</v>
      </c>
      <c r="J18" s="389">
        <f t="shared" ref="J18:K18" si="20">ROUNDUP(F18,-2)</f>
        <v>700</v>
      </c>
      <c r="K18" s="389">
        <f t="shared" si="20"/>
        <v>700</v>
      </c>
    </row>
    <row r="19">
      <c r="A19" s="380" t="s">
        <v>737</v>
      </c>
      <c r="B19" s="402" t="s">
        <v>807</v>
      </c>
      <c r="C19" s="382">
        <v>230.0</v>
      </c>
      <c r="D19" s="383">
        <v>0.3382</v>
      </c>
      <c r="E19" s="384">
        <f t="shared" si="18"/>
        <v>441.351</v>
      </c>
      <c r="F19" s="385">
        <f t="shared" si="3"/>
        <v>639.95895</v>
      </c>
      <c r="G19" s="386">
        <f t="shared" si="4"/>
        <v>662.0265</v>
      </c>
      <c r="H19" s="390"/>
      <c r="I19" s="388">
        <f t="shared" si="19"/>
        <v>230</v>
      </c>
      <c r="J19" s="389">
        <f t="shared" ref="J19:K19" si="21">ROUNDUP(F19,-2)</f>
        <v>700</v>
      </c>
      <c r="K19" s="389">
        <f t="shared" si="21"/>
        <v>700</v>
      </c>
    </row>
    <row r="20">
      <c r="A20" s="380" t="s">
        <v>739</v>
      </c>
      <c r="B20" s="402" t="s">
        <v>808</v>
      </c>
      <c r="C20" s="382">
        <v>230.0</v>
      </c>
      <c r="D20" s="383">
        <v>0.3382</v>
      </c>
      <c r="E20" s="384">
        <f t="shared" si="18"/>
        <v>441.351</v>
      </c>
      <c r="F20" s="385">
        <f t="shared" si="3"/>
        <v>639.95895</v>
      </c>
      <c r="G20" s="386">
        <f t="shared" si="4"/>
        <v>662.0265</v>
      </c>
      <c r="H20" s="390"/>
      <c r="I20" s="388">
        <f t="shared" si="19"/>
        <v>230</v>
      </c>
      <c r="J20" s="389">
        <f t="shared" ref="J20:K20" si="22">ROUNDUP(F20,-2)</f>
        <v>700</v>
      </c>
      <c r="K20" s="389">
        <f t="shared" si="22"/>
        <v>700</v>
      </c>
    </row>
    <row r="21">
      <c r="A21" s="380" t="s">
        <v>741</v>
      </c>
      <c r="B21" s="402" t="s">
        <v>809</v>
      </c>
      <c r="C21" s="382">
        <v>230.0</v>
      </c>
      <c r="D21" s="383">
        <v>0.3382</v>
      </c>
      <c r="E21" s="384">
        <f t="shared" si="18"/>
        <v>441.351</v>
      </c>
      <c r="F21" s="385">
        <f t="shared" si="3"/>
        <v>639.95895</v>
      </c>
      <c r="G21" s="386">
        <f t="shared" si="4"/>
        <v>662.0265</v>
      </c>
      <c r="H21" s="390"/>
      <c r="I21" s="388">
        <f t="shared" si="19"/>
        <v>230</v>
      </c>
      <c r="J21" s="389">
        <f t="shared" ref="J21:K21" si="23">ROUNDUP(F21,-2)</f>
        <v>700</v>
      </c>
      <c r="K21" s="389">
        <f t="shared" si="23"/>
        <v>700</v>
      </c>
    </row>
    <row r="22">
      <c r="A22" s="380" t="s">
        <v>743</v>
      </c>
      <c r="B22" s="402" t="s">
        <v>810</v>
      </c>
      <c r="C22" s="382">
        <v>230.0</v>
      </c>
      <c r="D22" s="383">
        <v>0.3382</v>
      </c>
      <c r="E22" s="384">
        <f t="shared" si="18"/>
        <v>441.351</v>
      </c>
      <c r="F22" s="385">
        <f t="shared" si="3"/>
        <v>639.95895</v>
      </c>
      <c r="G22" s="386">
        <f t="shared" si="4"/>
        <v>662.0265</v>
      </c>
      <c r="H22" s="390"/>
      <c r="I22" s="388">
        <f t="shared" si="19"/>
        <v>230</v>
      </c>
      <c r="J22" s="389">
        <f t="shared" ref="J22:K22" si="24">ROUNDUP(F22,-2)</f>
        <v>700</v>
      </c>
      <c r="K22" s="389">
        <f t="shared" si="24"/>
        <v>700</v>
      </c>
    </row>
    <row r="23" ht="1.5" customHeight="1">
      <c r="A23" s="392"/>
      <c r="B23" s="392"/>
      <c r="C23" s="393"/>
      <c r="D23" s="394"/>
      <c r="E23" s="395"/>
      <c r="F23" s="385">
        <f t="shared" si="3"/>
        <v>0</v>
      </c>
      <c r="G23" s="386">
        <f t="shared" si="4"/>
        <v>0</v>
      </c>
      <c r="H23" s="397"/>
      <c r="I23" s="398"/>
      <c r="J23" s="399"/>
      <c r="K23" s="399"/>
      <c r="L23" s="399"/>
      <c r="M23" s="399"/>
      <c r="N23" s="399"/>
      <c r="O23" s="399"/>
      <c r="P23" s="399"/>
      <c r="Q23" s="399"/>
      <c r="R23" s="399"/>
      <c r="S23" s="399"/>
      <c r="T23" s="399"/>
      <c r="U23" s="399"/>
      <c r="V23" s="399"/>
      <c r="W23" s="399"/>
      <c r="X23" s="399"/>
      <c r="Y23" s="399"/>
      <c r="Z23" s="399"/>
      <c r="AA23" s="399"/>
      <c r="AB23" s="399"/>
      <c r="AC23" s="399"/>
    </row>
    <row r="24">
      <c r="A24" s="380" t="s">
        <v>745</v>
      </c>
      <c r="B24" s="403" t="s">
        <v>811</v>
      </c>
      <c r="C24" s="382">
        <v>130.0</v>
      </c>
      <c r="D24" s="383">
        <v>0.545</v>
      </c>
      <c r="E24" s="384">
        <f t="shared" ref="E24:E29" si="26">D24*$G$1</f>
        <v>711.225</v>
      </c>
      <c r="F24" s="385">
        <f t="shared" si="3"/>
        <v>1031.27625</v>
      </c>
      <c r="G24" s="386">
        <f t="shared" si="4"/>
        <v>1066.8375</v>
      </c>
      <c r="H24" s="390"/>
      <c r="I24" s="388">
        <f t="shared" ref="I24:I29" si="27">C24-H24</f>
        <v>130</v>
      </c>
      <c r="J24" s="389">
        <f t="shared" ref="J24:K24" si="25">ROUNDUP(F24,-2)</f>
        <v>1100</v>
      </c>
      <c r="K24" s="389">
        <f t="shared" si="25"/>
        <v>1100</v>
      </c>
    </row>
    <row r="25">
      <c r="A25" s="380" t="s">
        <v>747</v>
      </c>
      <c r="B25" s="403" t="s">
        <v>812</v>
      </c>
      <c r="C25" s="382">
        <v>130.0</v>
      </c>
      <c r="D25" s="383">
        <v>0.545</v>
      </c>
      <c r="E25" s="384">
        <f t="shared" si="26"/>
        <v>711.225</v>
      </c>
      <c r="F25" s="385">
        <f t="shared" si="3"/>
        <v>1031.27625</v>
      </c>
      <c r="G25" s="386">
        <f t="shared" si="4"/>
        <v>1066.8375</v>
      </c>
      <c r="H25" s="390"/>
      <c r="I25" s="388">
        <f t="shared" si="27"/>
        <v>130</v>
      </c>
      <c r="J25" s="389">
        <f t="shared" ref="J25:K25" si="28">ROUNDUP(F25,-2)</f>
        <v>1100</v>
      </c>
      <c r="K25" s="389">
        <f t="shared" si="28"/>
        <v>1100</v>
      </c>
    </row>
    <row r="26">
      <c r="A26" s="380" t="s">
        <v>749</v>
      </c>
      <c r="B26" s="403" t="s">
        <v>813</v>
      </c>
      <c r="C26" s="382">
        <v>130.0</v>
      </c>
      <c r="D26" s="383">
        <v>0.545</v>
      </c>
      <c r="E26" s="384">
        <f t="shared" si="26"/>
        <v>711.225</v>
      </c>
      <c r="F26" s="385">
        <f t="shared" si="3"/>
        <v>1031.27625</v>
      </c>
      <c r="G26" s="386">
        <f t="shared" si="4"/>
        <v>1066.8375</v>
      </c>
      <c r="H26" s="390"/>
      <c r="I26" s="388">
        <f t="shared" si="27"/>
        <v>130</v>
      </c>
      <c r="J26" s="389">
        <f t="shared" ref="J26:K26" si="29">ROUNDUP(F26,-2)</f>
        <v>1100</v>
      </c>
      <c r="K26" s="389">
        <f t="shared" si="29"/>
        <v>1100</v>
      </c>
    </row>
    <row r="27">
      <c r="A27" s="380" t="s">
        <v>751</v>
      </c>
      <c r="B27" s="403" t="s">
        <v>814</v>
      </c>
      <c r="C27" s="382">
        <v>130.0</v>
      </c>
      <c r="D27" s="383">
        <v>0.545</v>
      </c>
      <c r="E27" s="384">
        <f t="shared" si="26"/>
        <v>711.225</v>
      </c>
      <c r="F27" s="385">
        <f t="shared" si="3"/>
        <v>1031.27625</v>
      </c>
      <c r="G27" s="386">
        <f t="shared" si="4"/>
        <v>1066.8375</v>
      </c>
      <c r="H27" s="391"/>
      <c r="I27" s="388">
        <f t="shared" si="27"/>
        <v>130</v>
      </c>
      <c r="J27" s="389">
        <f t="shared" ref="J27:K27" si="30">ROUNDUP(F27,-2)</f>
        <v>1100</v>
      </c>
      <c r="K27" s="389">
        <f t="shared" si="30"/>
        <v>1100</v>
      </c>
    </row>
    <row r="28">
      <c r="A28" s="380" t="s">
        <v>753</v>
      </c>
      <c r="B28" s="403" t="s">
        <v>815</v>
      </c>
      <c r="C28" s="382">
        <v>130.0</v>
      </c>
      <c r="D28" s="383">
        <v>0.545</v>
      </c>
      <c r="E28" s="384">
        <f t="shared" si="26"/>
        <v>711.225</v>
      </c>
      <c r="F28" s="385">
        <f t="shared" si="3"/>
        <v>1031.27625</v>
      </c>
      <c r="G28" s="386">
        <f t="shared" si="4"/>
        <v>1066.8375</v>
      </c>
      <c r="H28" s="391"/>
      <c r="I28" s="388">
        <f t="shared" si="27"/>
        <v>130</v>
      </c>
      <c r="J28" s="389">
        <f t="shared" ref="J28:K28" si="31">ROUNDUP(F28,-2)</f>
        <v>1100</v>
      </c>
      <c r="K28" s="389">
        <f t="shared" si="31"/>
        <v>1100</v>
      </c>
    </row>
    <row r="29">
      <c r="A29" s="380" t="s">
        <v>755</v>
      </c>
      <c r="B29" s="403" t="s">
        <v>816</v>
      </c>
      <c r="C29" s="404">
        <v>230.0</v>
      </c>
      <c r="D29" s="383">
        <v>0.545</v>
      </c>
      <c r="E29" s="384">
        <f t="shared" si="26"/>
        <v>711.225</v>
      </c>
      <c r="F29" s="385">
        <f t="shared" si="3"/>
        <v>1031.27625</v>
      </c>
      <c r="G29" s="386">
        <f t="shared" si="4"/>
        <v>1066.8375</v>
      </c>
      <c r="H29" s="391"/>
      <c r="I29" s="405">
        <f t="shared" si="27"/>
        <v>230</v>
      </c>
      <c r="J29" s="132">
        <v>1300.0</v>
      </c>
      <c r="K29" s="132">
        <v>1400.0</v>
      </c>
    </row>
    <row r="30" ht="1.5" customHeight="1">
      <c r="A30" s="392"/>
      <c r="B30" s="392"/>
      <c r="C30" s="393"/>
      <c r="D30" s="394"/>
      <c r="E30" s="395"/>
      <c r="F30" s="385">
        <f t="shared" si="3"/>
        <v>0</v>
      </c>
      <c r="G30" s="386">
        <f t="shared" si="4"/>
        <v>0</v>
      </c>
      <c r="H30" s="398"/>
      <c r="I30" s="398"/>
      <c r="J30" s="399"/>
      <c r="K30" s="399"/>
      <c r="L30" s="399"/>
      <c r="M30" s="399"/>
      <c r="N30" s="399"/>
      <c r="O30" s="399"/>
      <c r="P30" s="399"/>
      <c r="Q30" s="399"/>
      <c r="R30" s="399"/>
      <c r="S30" s="399"/>
      <c r="T30" s="399"/>
      <c r="U30" s="399"/>
      <c r="V30" s="399"/>
      <c r="W30" s="399"/>
      <c r="X30" s="399"/>
      <c r="Y30" s="399"/>
      <c r="Z30" s="399"/>
      <c r="AA30" s="399"/>
      <c r="AB30" s="399"/>
      <c r="AC30" s="399"/>
    </row>
    <row r="31">
      <c r="A31" s="380" t="s">
        <v>757</v>
      </c>
      <c r="B31" s="406" t="s">
        <v>817</v>
      </c>
      <c r="C31" s="382">
        <v>100.0</v>
      </c>
      <c r="D31" s="383">
        <v>0.7444</v>
      </c>
      <c r="E31" s="384">
        <f t="shared" ref="E31:E36" si="33">D31*$G$1</f>
        <v>971.442</v>
      </c>
      <c r="F31" s="385">
        <f t="shared" si="3"/>
        <v>1408.5909</v>
      </c>
      <c r="G31" s="386">
        <f t="shared" si="4"/>
        <v>1457.163</v>
      </c>
      <c r="H31" s="391"/>
      <c r="I31" s="388">
        <f t="shared" ref="I31:I36" si="34">C31-H31</f>
        <v>100</v>
      </c>
      <c r="J31" s="389">
        <f t="shared" ref="J31:K31" si="32">ROUNDUP(F31,-2)</f>
        <v>1500</v>
      </c>
      <c r="K31" s="389">
        <f t="shared" si="32"/>
        <v>1500</v>
      </c>
    </row>
    <row r="32">
      <c r="A32" s="380" t="s">
        <v>759</v>
      </c>
      <c r="B32" s="406" t="s">
        <v>818</v>
      </c>
      <c r="C32" s="382">
        <v>100.0</v>
      </c>
      <c r="D32" s="383">
        <v>0.7444</v>
      </c>
      <c r="E32" s="384">
        <f t="shared" si="33"/>
        <v>971.442</v>
      </c>
      <c r="F32" s="385">
        <f t="shared" si="3"/>
        <v>1408.5909</v>
      </c>
      <c r="G32" s="386">
        <f t="shared" si="4"/>
        <v>1457.163</v>
      </c>
      <c r="H32" s="391"/>
      <c r="I32" s="388">
        <f t="shared" si="34"/>
        <v>100</v>
      </c>
      <c r="J32" s="389">
        <f t="shared" ref="J32:K32" si="35">ROUNDUP(F32,-2)</f>
        <v>1500</v>
      </c>
      <c r="K32" s="389">
        <f t="shared" si="35"/>
        <v>1500</v>
      </c>
    </row>
    <row r="33">
      <c r="A33" s="380" t="s">
        <v>761</v>
      </c>
      <c r="B33" s="406" t="s">
        <v>819</v>
      </c>
      <c r="C33" s="382">
        <v>100.0</v>
      </c>
      <c r="D33" s="383">
        <v>0.7444</v>
      </c>
      <c r="E33" s="384">
        <f t="shared" si="33"/>
        <v>971.442</v>
      </c>
      <c r="F33" s="385">
        <f t="shared" si="3"/>
        <v>1408.5909</v>
      </c>
      <c r="G33" s="386">
        <f t="shared" si="4"/>
        <v>1457.163</v>
      </c>
      <c r="H33" s="391"/>
      <c r="I33" s="388">
        <f t="shared" si="34"/>
        <v>100</v>
      </c>
      <c r="J33" s="389">
        <f t="shared" ref="J33:K33" si="36">ROUNDUP(F33,-2)</f>
        <v>1500</v>
      </c>
      <c r="K33" s="389">
        <f t="shared" si="36"/>
        <v>1500</v>
      </c>
    </row>
    <row r="34">
      <c r="A34" s="380" t="s">
        <v>763</v>
      </c>
      <c r="B34" s="406" t="s">
        <v>820</v>
      </c>
      <c r="C34" s="382">
        <v>100.0</v>
      </c>
      <c r="D34" s="383">
        <v>0.7444</v>
      </c>
      <c r="E34" s="384">
        <f t="shared" si="33"/>
        <v>971.442</v>
      </c>
      <c r="F34" s="385">
        <f t="shared" si="3"/>
        <v>1408.5909</v>
      </c>
      <c r="G34" s="386">
        <f t="shared" si="4"/>
        <v>1457.163</v>
      </c>
      <c r="H34" s="391"/>
      <c r="I34" s="388">
        <f t="shared" si="34"/>
        <v>100</v>
      </c>
      <c r="J34" s="389">
        <f t="shared" ref="J34:K34" si="37">ROUNDUP(F34,-2)</f>
        <v>1500</v>
      </c>
      <c r="K34" s="389">
        <f t="shared" si="37"/>
        <v>1500</v>
      </c>
    </row>
    <row r="35">
      <c r="A35" s="380" t="s">
        <v>765</v>
      </c>
      <c r="B35" s="406" t="s">
        <v>821</v>
      </c>
      <c r="C35" s="382">
        <v>100.0</v>
      </c>
      <c r="D35" s="383">
        <v>0.7444</v>
      </c>
      <c r="E35" s="384">
        <f t="shared" si="33"/>
        <v>971.442</v>
      </c>
      <c r="F35" s="385">
        <f t="shared" si="3"/>
        <v>1408.5909</v>
      </c>
      <c r="G35" s="386">
        <f t="shared" si="4"/>
        <v>1457.163</v>
      </c>
      <c r="H35" s="391"/>
      <c r="I35" s="388">
        <f t="shared" si="34"/>
        <v>100</v>
      </c>
      <c r="J35" s="389">
        <f t="shared" ref="J35:K35" si="38">ROUNDUP(F35,-2)</f>
        <v>1500</v>
      </c>
      <c r="K35" s="389">
        <f t="shared" si="38"/>
        <v>1500</v>
      </c>
    </row>
    <row r="36">
      <c r="A36" s="380" t="s">
        <v>767</v>
      </c>
      <c r="B36" s="406" t="s">
        <v>822</v>
      </c>
      <c r="C36" s="382">
        <v>100.0</v>
      </c>
      <c r="D36" s="383">
        <v>0.7444</v>
      </c>
      <c r="E36" s="384">
        <f t="shared" si="33"/>
        <v>971.442</v>
      </c>
      <c r="F36" s="385">
        <f t="shared" si="3"/>
        <v>1408.5909</v>
      </c>
      <c r="G36" s="386">
        <f t="shared" si="4"/>
        <v>1457.163</v>
      </c>
      <c r="H36" s="391"/>
      <c r="I36" s="388">
        <f t="shared" si="34"/>
        <v>100</v>
      </c>
      <c r="J36" s="389">
        <f t="shared" ref="J36:K36" si="39">ROUNDUP(F36,-2)</f>
        <v>1500</v>
      </c>
      <c r="K36" s="389">
        <f t="shared" si="39"/>
        <v>1500</v>
      </c>
    </row>
    <row r="37" ht="1.5" customHeight="1">
      <c r="A37" s="399"/>
      <c r="B37" s="399"/>
      <c r="C37" s="399"/>
      <c r="D37" s="399"/>
      <c r="E37" s="399"/>
      <c r="F37" s="385">
        <f t="shared" si="3"/>
        <v>0</v>
      </c>
      <c r="G37" s="386">
        <f t="shared" si="4"/>
        <v>0</v>
      </c>
      <c r="H37" s="399"/>
      <c r="I37" s="399"/>
      <c r="J37" s="399"/>
      <c r="K37" s="399"/>
      <c r="L37" s="399"/>
      <c r="M37" s="399"/>
      <c r="N37" s="399"/>
      <c r="O37" s="399"/>
      <c r="P37" s="399"/>
      <c r="Q37" s="399"/>
      <c r="R37" s="399"/>
      <c r="S37" s="399"/>
      <c r="T37" s="399"/>
      <c r="U37" s="399"/>
      <c r="V37" s="399"/>
      <c r="W37" s="399"/>
      <c r="X37" s="399"/>
      <c r="Y37" s="399"/>
      <c r="Z37" s="399"/>
      <c r="AA37" s="399"/>
      <c r="AB37" s="399"/>
      <c r="AC37" s="399"/>
    </row>
    <row r="38">
      <c r="A38" s="380" t="s">
        <v>769</v>
      </c>
      <c r="B38" s="380" t="s">
        <v>823</v>
      </c>
      <c r="C38" s="382">
        <v>100.0</v>
      </c>
      <c r="D38" s="383">
        <v>1.3189</v>
      </c>
      <c r="E38" s="384">
        <f t="shared" ref="E38:E39" si="41">D38*$G$1</f>
        <v>1721.1645</v>
      </c>
      <c r="F38" s="385">
        <f t="shared" si="3"/>
        <v>2495.688525</v>
      </c>
      <c r="G38" s="386">
        <f t="shared" si="4"/>
        <v>2581.74675</v>
      </c>
      <c r="H38" s="391"/>
      <c r="I38" s="388">
        <f t="shared" ref="I38:I39" si="42">C38-H38</f>
        <v>100</v>
      </c>
      <c r="J38" s="389">
        <f t="shared" ref="J38:K38" si="40">ROUNDUP(F38,-2)</f>
        <v>2500</v>
      </c>
      <c r="K38" s="389">
        <f t="shared" si="40"/>
        <v>2600</v>
      </c>
    </row>
    <row r="39">
      <c r="A39" s="380" t="s">
        <v>771</v>
      </c>
      <c r="B39" s="380" t="s">
        <v>824</v>
      </c>
      <c r="C39" s="404">
        <v>100.0</v>
      </c>
      <c r="D39" s="383">
        <v>1.3189</v>
      </c>
      <c r="E39" s="384">
        <f t="shared" si="41"/>
        <v>1721.1645</v>
      </c>
      <c r="F39" s="385">
        <f t="shared" si="3"/>
        <v>2495.688525</v>
      </c>
      <c r="G39" s="386">
        <f t="shared" si="4"/>
        <v>2581.74675</v>
      </c>
      <c r="H39" s="391"/>
      <c r="I39" s="405">
        <f t="shared" si="42"/>
        <v>100</v>
      </c>
    </row>
    <row r="40" ht="1.5" customHeight="1">
      <c r="A40" s="392"/>
      <c r="B40" s="392"/>
      <c r="C40" s="407"/>
      <c r="D40" s="394"/>
      <c r="E40" s="395"/>
      <c r="F40" s="385">
        <f t="shared" si="3"/>
        <v>0</v>
      </c>
      <c r="G40" s="386">
        <f t="shared" si="4"/>
        <v>0</v>
      </c>
      <c r="H40" s="398"/>
      <c r="I40" s="398"/>
      <c r="J40" s="399"/>
      <c r="K40" s="399"/>
      <c r="L40" s="399"/>
      <c r="M40" s="399"/>
      <c r="N40" s="399"/>
      <c r="O40" s="399"/>
      <c r="P40" s="399"/>
      <c r="Q40" s="399"/>
      <c r="R40" s="399"/>
      <c r="S40" s="399"/>
      <c r="T40" s="399"/>
      <c r="U40" s="399"/>
      <c r="V40" s="399"/>
      <c r="W40" s="399"/>
      <c r="X40" s="399"/>
      <c r="Y40" s="399"/>
      <c r="Z40" s="399"/>
      <c r="AA40" s="399"/>
      <c r="AB40" s="399"/>
      <c r="AC40" s="399"/>
    </row>
    <row r="41">
      <c r="A41" s="380" t="s">
        <v>773</v>
      </c>
      <c r="B41" s="408" t="s">
        <v>825</v>
      </c>
      <c r="C41" s="404">
        <v>100.0</v>
      </c>
      <c r="D41" s="383">
        <v>0.4517</v>
      </c>
      <c r="E41" s="384">
        <f t="shared" ref="E41:E45" si="43">D41*$G$1</f>
        <v>589.4685</v>
      </c>
      <c r="F41" s="385">
        <f t="shared" si="3"/>
        <v>854.729325</v>
      </c>
      <c r="G41" s="386">
        <f t="shared" si="4"/>
        <v>884.20275</v>
      </c>
      <c r="H41" s="391"/>
      <c r="I41" s="405">
        <f t="shared" ref="I41:I45" si="44">C41-H41</f>
        <v>100</v>
      </c>
    </row>
    <row r="42">
      <c r="A42" s="380" t="s">
        <v>775</v>
      </c>
      <c r="B42" s="408" t="s">
        <v>826</v>
      </c>
      <c r="C42" s="404">
        <v>100.0</v>
      </c>
      <c r="D42" s="383">
        <v>0.6027</v>
      </c>
      <c r="E42" s="384">
        <f t="shared" si="43"/>
        <v>786.5235</v>
      </c>
      <c r="F42" s="385">
        <f t="shared" si="3"/>
        <v>1140.459075</v>
      </c>
      <c r="G42" s="386">
        <f t="shared" si="4"/>
        <v>1179.78525</v>
      </c>
      <c r="H42" s="391"/>
      <c r="I42" s="405">
        <f t="shared" si="44"/>
        <v>100</v>
      </c>
      <c r="J42" s="389">
        <f t="shared" ref="J42:K42" si="45">ROUNDUP(F42,-2)</f>
        <v>1200</v>
      </c>
      <c r="K42" s="389">
        <f t="shared" si="45"/>
        <v>1200</v>
      </c>
    </row>
    <row r="43">
      <c r="A43" s="380" t="s">
        <v>777</v>
      </c>
      <c r="B43" s="408" t="s">
        <v>827</v>
      </c>
      <c r="C43" s="404">
        <v>100.0</v>
      </c>
      <c r="D43" s="383">
        <v>0.9459</v>
      </c>
      <c r="E43" s="384">
        <f t="shared" si="43"/>
        <v>1234.3995</v>
      </c>
      <c r="F43" s="385">
        <f t="shared" si="3"/>
        <v>1789.879275</v>
      </c>
      <c r="G43" s="386">
        <f t="shared" si="4"/>
        <v>1851.59925</v>
      </c>
      <c r="H43" s="391"/>
      <c r="I43" s="405">
        <f t="shared" si="44"/>
        <v>100</v>
      </c>
      <c r="J43" s="389">
        <f t="shared" ref="J43:K43" si="46">ROUNDUP(F43,-2)</f>
        <v>1800</v>
      </c>
      <c r="K43" s="389">
        <f t="shared" si="46"/>
        <v>1900</v>
      </c>
    </row>
    <row r="44">
      <c r="A44" s="380" t="s">
        <v>779</v>
      </c>
      <c r="B44" s="408" t="s">
        <v>828</v>
      </c>
      <c r="C44" s="404">
        <v>100.0</v>
      </c>
      <c r="D44" s="383">
        <v>0.8036</v>
      </c>
      <c r="E44" s="384">
        <f t="shared" si="43"/>
        <v>1048.698</v>
      </c>
      <c r="F44" s="385">
        <f t="shared" si="3"/>
        <v>1520.6121</v>
      </c>
      <c r="G44" s="386">
        <f t="shared" si="4"/>
        <v>1573.047</v>
      </c>
      <c r="H44" s="391"/>
      <c r="I44" s="405">
        <f t="shared" si="44"/>
        <v>100</v>
      </c>
      <c r="J44" s="389">
        <f t="shared" ref="J44:K44" si="47">ROUNDUP(F44,-2)</f>
        <v>1600</v>
      </c>
      <c r="K44" s="389">
        <f t="shared" si="47"/>
        <v>1600</v>
      </c>
    </row>
    <row r="45">
      <c r="A45" s="380" t="s">
        <v>781</v>
      </c>
      <c r="B45" s="408" t="s">
        <v>829</v>
      </c>
      <c r="C45" s="404">
        <v>100.0</v>
      </c>
      <c r="D45" s="383">
        <v>1.2564</v>
      </c>
      <c r="E45" s="384">
        <f t="shared" si="43"/>
        <v>1639.602</v>
      </c>
      <c r="F45" s="385">
        <f t="shared" si="3"/>
        <v>2377.4229</v>
      </c>
      <c r="G45" s="386">
        <f t="shared" si="4"/>
        <v>2459.403</v>
      </c>
      <c r="H45" s="391"/>
      <c r="I45" s="405">
        <f t="shared" si="44"/>
        <v>100</v>
      </c>
      <c r="J45" s="389">
        <f t="shared" ref="J45:K45" si="48">ROUNDUP(F45,-2)</f>
        <v>2400</v>
      </c>
      <c r="K45" s="389">
        <f t="shared" si="48"/>
        <v>2500</v>
      </c>
    </row>
    <row r="46" ht="1.5" customHeight="1">
      <c r="A46" s="392"/>
      <c r="B46" s="392"/>
      <c r="C46" s="407"/>
      <c r="D46" s="394"/>
      <c r="E46" s="395"/>
      <c r="F46" s="385">
        <f t="shared" si="3"/>
        <v>0</v>
      </c>
      <c r="G46" s="386">
        <f t="shared" si="4"/>
        <v>0</v>
      </c>
      <c r="H46" s="398"/>
      <c r="I46" s="398"/>
      <c r="J46" s="399"/>
      <c r="K46" s="399"/>
      <c r="L46" s="399"/>
      <c r="M46" s="399"/>
      <c r="N46" s="399"/>
      <c r="O46" s="399"/>
      <c r="P46" s="399"/>
      <c r="Q46" s="399"/>
      <c r="R46" s="399"/>
      <c r="S46" s="399"/>
      <c r="T46" s="399"/>
      <c r="U46" s="399"/>
      <c r="V46" s="399"/>
      <c r="W46" s="399"/>
      <c r="X46" s="399"/>
      <c r="Y46" s="399"/>
      <c r="Z46" s="399"/>
      <c r="AA46" s="399"/>
      <c r="AB46" s="399"/>
      <c r="AC46" s="399"/>
    </row>
    <row r="47">
      <c r="A47" s="380" t="s">
        <v>783</v>
      </c>
      <c r="B47" s="380" t="s">
        <v>784</v>
      </c>
      <c r="C47" s="404">
        <v>100.0</v>
      </c>
      <c r="D47" s="383">
        <v>1.3812</v>
      </c>
      <c r="E47" s="384">
        <f t="shared" ref="E47:E50" si="50">D47*$G$1</f>
        <v>1802.466</v>
      </c>
      <c r="F47" s="385">
        <f t="shared" si="3"/>
        <v>2613.5757</v>
      </c>
      <c r="G47" s="386">
        <f t="shared" si="4"/>
        <v>2703.699</v>
      </c>
      <c r="H47" s="391"/>
      <c r="I47" s="405">
        <f t="shared" ref="I47:I50" si="51">C47-H47</f>
        <v>100</v>
      </c>
      <c r="J47" s="389">
        <f t="shared" ref="J47:K47" si="49">ROUNDUP(F47,-2)</f>
        <v>2700</v>
      </c>
      <c r="K47" s="389">
        <f t="shared" si="49"/>
        <v>2800</v>
      </c>
    </row>
    <row r="48">
      <c r="A48" s="380" t="s">
        <v>785</v>
      </c>
      <c r="B48" s="380" t="s">
        <v>786</v>
      </c>
      <c r="C48" s="404">
        <v>100.0</v>
      </c>
      <c r="D48" s="383">
        <v>2.1094</v>
      </c>
      <c r="E48" s="384">
        <f t="shared" si="50"/>
        <v>2752.767</v>
      </c>
      <c r="F48" s="385">
        <f t="shared" si="3"/>
        <v>3991.51215</v>
      </c>
      <c r="G48" s="386">
        <f t="shared" si="4"/>
        <v>4129.1505</v>
      </c>
      <c r="H48" s="409">
        <v>50.0</v>
      </c>
      <c r="I48" s="405">
        <f t="shared" si="51"/>
        <v>50</v>
      </c>
      <c r="J48" s="389">
        <f t="shared" ref="J48:K48" si="52">ROUNDUP(F48,-2)</f>
        <v>4000</v>
      </c>
      <c r="K48" s="389">
        <f t="shared" si="52"/>
        <v>4200</v>
      </c>
    </row>
    <row r="49">
      <c r="A49" s="380" t="s">
        <v>787</v>
      </c>
      <c r="B49" s="380" t="s">
        <v>788</v>
      </c>
      <c r="C49" s="404">
        <v>112.0</v>
      </c>
      <c r="D49" s="383">
        <v>1.0212</v>
      </c>
      <c r="E49" s="384">
        <f t="shared" si="50"/>
        <v>1332.666</v>
      </c>
      <c r="F49" s="385">
        <f t="shared" si="3"/>
        <v>1932.3657</v>
      </c>
      <c r="G49" s="386">
        <f t="shared" si="4"/>
        <v>1998.999</v>
      </c>
      <c r="H49" s="391"/>
      <c r="I49" s="405">
        <f t="shared" si="51"/>
        <v>112</v>
      </c>
      <c r="J49" s="389">
        <f t="shared" ref="J49:K49" si="53">ROUNDUP(F49,-2)</f>
        <v>2000</v>
      </c>
      <c r="K49" s="389">
        <f t="shared" si="53"/>
        <v>2000</v>
      </c>
    </row>
    <row r="50">
      <c r="A50" s="380" t="s">
        <v>789</v>
      </c>
      <c r="B50" s="380" t="s">
        <v>790</v>
      </c>
      <c r="C50" s="404">
        <v>106.0</v>
      </c>
      <c r="D50" s="383">
        <v>0.9961</v>
      </c>
      <c r="E50" s="384">
        <f t="shared" si="50"/>
        <v>1299.9105</v>
      </c>
      <c r="F50" s="385">
        <f t="shared" si="3"/>
        <v>1884.870225</v>
      </c>
      <c r="G50" s="386">
        <f t="shared" si="4"/>
        <v>1949.86575</v>
      </c>
      <c r="H50" s="391"/>
      <c r="I50" s="405">
        <f t="shared" si="51"/>
        <v>106</v>
      </c>
      <c r="J50" s="389">
        <f t="shared" ref="J50:K50" si="54">ROUNDUP(F50,-2)</f>
        <v>1900</v>
      </c>
      <c r="K50" s="389">
        <f t="shared" si="54"/>
        <v>2000</v>
      </c>
    </row>
    <row r="51" ht="1.5" customHeight="1">
      <c r="A51" s="410"/>
      <c r="B51" s="410"/>
      <c r="C51" s="411"/>
      <c r="D51" s="412"/>
      <c r="E51" s="413"/>
      <c r="F51" s="385">
        <f t="shared" si="3"/>
        <v>0</v>
      </c>
      <c r="G51" s="386">
        <f t="shared" si="4"/>
        <v>0</v>
      </c>
      <c r="H51" s="398"/>
      <c r="I51" s="398"/>
      <c r="J51" s="399"/>
      <c r="K51" s="399"/>
      <c r="L51" s="399"/>
      <c r="M51" s="399"/>
      <c r="N51" s="399"/>
      <c r="O51" s="399"/>
      <c r="P51" s="399"/>
      <c r="Q51" s="399"/>
      <c r="R51" s="399"/>
      <c r="S51" s="399"/>
      <c r="T51" s="399"/>
      <c r="U51" s="399"/>
      <c r="V51" s="399"/>
      <c r="W51" s="399"/>
      <c r="X51" s="399"/>
      <c r="Y51" s="399"/>
      <c r="Z51" s="399"/>
      <c r="AA51" s="399"/>
      <c r="AB51" s="399"/>
      <c r="AC51" s="399"/>
    </row>
    <row r="52">
      <c r="A52" s="380" t="s">
        <v>791</v>
      </c>
      <c r="B52" s="380" t="s">
        <v>792</v>
      </c>
      <c r="C52" s="404">
        <v>12.0</v>
      </c>
      <c r="D52" s="383">
        <v>5.9663</v>
      </c>
      <c r="E52" s="384">
        <f>D52*$G$1</f>
        <v>7786.0215</v>
      </c>
      <c r="F52" s="385">
        <f t="shared" si="3"/>
        <v>11289.73118</v>
      </c>
      <c r="G52" s="386">
        <f t="shared" si="4"/>
        <v>11679.03225</v>
      </c>
      <c r="H52" s="415"/>
      <c r="I52" s="416">
        <v>12.0</v>
      </c>
    </row>
    <row r="54">
      <c r="A54" s="132"/>
      <c r="B54" s="132"/>
      <c r="C54" s="417"/>
      <c r="D54" s="418"/>
      <c r="E54" s="419"/>
      <c r="F54" s="420"/>
      <c r="G54" s="420"/>
      <c r="H54" s="421"/>
      <c r="I54" s="421"/>
    </row>
    <row r="55">
      <c r="A55" s="132"/>
      <c r="B55" s="132"/>
      <c r="C55" s="417"/>
      <c r="D55" s="418"/>
      <c r="E55" s="419"/>
      <c r="F55" s="420"/>
      <c r="G55" s="420"/>
      <c r="H55" s="421"/>
      <c r="I55" s="421"/>
    </row>
    <row r="56">
      <c r="A56" s="132"/>
      <c r="B56" s="132"/>
      <c r="C56" s="417"/>
      <c r="D56" s="418"/>
      <c r="E56" s="419"/>
      <c r="F56" s="420"/>
      <c r="G56" s="420"/>
      <c r="H56" s="421"/>
      <c r="I56" s="421"/>
    </row>
    <row r="57">
      <c r="A57" s="132"/>
      <c r="B57" s="132"/>
      <c r="C57" s="417"/>
      <c r="D57" s="418"/>
      <c r="E57" s="419"/>
      <c r="F57" s="420"/>
      <c r="G57" s="420"/>
      <c r="H57" s="421"/>
      <c r="I57" s="421"/>
    </row>
    <row r="58">
      <c r="A58" s="132"/>
      <c r="B58" s="132"/>
      <c r="C58" s="417"/>
      <c r="D58" s="418"/>
      <c r="E58" s="419"/>
      <c r="F58" s="420"/>
      <c r="G58" s="420"/>
      <c r="H58" s="421"/>
      <c r="I58" s="421"/>
    </row>
    <row r="59">
      <c r="A59" s="132"/>
      <c r="B59" s="132"/>
      <c r="C59" s="417"/>
      <c r="D59" s="418"/>
      <c r="E59" s="419"/>
      <c r="F59" s="420"/>
      <c r="G59" s="420"/>
      <c r="H59" s="421"/>
      <c r="I59" s="421"/>
    </row>
    <row r="60">
      <c r="A60" s="132"/>
      <c r="B60" s="132"/>
      <c r="C60" s="417"/>
      <c r="D60" s="418"/>
      <c r="E60" s="419"/>
      <c r="F60" s="420"/>
      <c r="G60" s="420"/>
      <c r="H60" s="421"/>
      <c r="I60" s="421"/>
    </row>
    <row r="61">
      <c r="A61" s="132"/>
      <c r="B61" s="132"/>
      <c r="C61" s="417"/>
      <c r="D61" s="418"/>
      <c r="E61" s="419"/>
      <c r="F61" s="420"/>
      <c r="G61" s="420"/>
      <c r="H61" s="421"/>
      <c r="I61" s="421"/>
    </row>
    <row r="62">
      <c r="A62" s="132"/>
      <c r="B62" s="132"/>
      <c r="C62" s="417"/>
      <c r="D62" s="418"/>
      <c r="E62" s="419"/>
      <c r="F62" s="420"/>
      <c r="G62" s="420"/>
      <c r="H62" s="421"/>
      <c r="I62" s="421"/>
    </row>
    <row r="63">
      <c r="A63" s="132"/>
      <c r="B63" s="132"/>
      <c r="C63" s="417"/>
      <c r="D63" s="418"/>
      <c r="E63" s="419"/>
      <c r="F63" s="420"/>
      <c r="G63" s="420"/>
      <c r="H63" s="421"/>
      <c r="I63" s="421"/>
    </row>
    <row r="64">
      <c r="A64" s="132"/>
      <c r="B64" s="132"/>
      <c r="C64" s="417"/>
      <c r="D64" s="418"/>
      <c r="E64" s="419"/>
      <c r="F64" s="420"/>
      <c r="G64" s="420"/>
      <c r="H64" s="421"/>
      <c r="I64" s="421"/>
    </row>
    <row r="65">
      <c r="A65" s="132"/>
      <c r="B65" s="132"/>
      <c r="C65" s="417"/>
      <c r="D65" s="418"/>
      <c r="E65" s="419"/>
      <c r="F65" s="420"/>
      <c r="G65" s="420"/>
      <c r="H65" s="421"/>
      <c r="I65" s="421"/>
    </row>
    <row r="66">
      <c r="A66" s="132"/>
      <c r="B66" s="132"/>
      <c r="C66" s="417"/>
      <c r="D66" s="418"/>
      <c r="E66" s="419"/>
      <c r="F66" s="420"/>
      <c r="G66" s="420"/>
      <c r="H66" s="422"/>
      <c r="I66" s="421"/>
    </row>
    <row r="67">
      <c r="A67" s="132"/>
      <c r="B67" s="132"/>
      <c r="C67" s="417"/>
      <c r="D67" s="418"/>
      <c r="E67" s="419"/>
      <c r="F67" s="420"/>
      <c r="G67" s="420"/>
      <c r="H67" s="421"/>
      <c r="I67" s="421"/>
    </row>
    <row r="68">
      <c r="A68" s="132"/>
      <c r="B68" s="132"/>
      <c r="C68" s="417"/>
      <c r="D68" s="418"/>
      <c r="E68" s="419"/>
      <c r="F68" s="420"/>
      <c r="G68" s="420"/>
      <c r="H68" s="421"/>
      <c r="I68" s="421"/>
    </row>
    <row r="69">
      <c r="A69" s="132"/>
      <c r="B69" s="132"/>
      <c r="C69" s="417"/>
      <c r="D69" s="418"/>
      <c r="E69" s="419"/>
      <c r="F69" s="420"/>
      <c r="G69" s="420"/>
      <c r="H69" s="421"/>
      <c r="I69" s="421"/>
    </row>
    <row r="70">
      <c r="A70" s="132"/>
      <c r="B70" s="132"/>
      <c r="C70" s="417"/>
      <c r="D70" s="418"/>
      <c r="E70" s="419"/>
      <c r="F70" s="420"/>
      <c r="G70" s="420"/>
      <c r="H70" s="421"/>
      <c r="I70" s="421"/>
    </row>
    <row r="71">
      <c r="A71" s="132"/>
      <c r="B71" s="132"/>
      <c r="C71" s="417"/>
      <c r="D71" s="418"/>
      <c r="E71" s="419"/>
      <c r="F71" s="420"/>
      <c r="G71" s="420"/>
      <c r="H71" s="421"/>
      <c r="I71" s="421"/>
    </row>
    <row r="77">
      <c r="A77" s="132"/>
      <c r="B77" s="132"/>
      <c r="C77" s="417"/>
      <c r="D77" s="418"/>
      <c r="E77" s="419"/>
      <c r="F77" s="420"/>
      <c r="G77" s="420"/>
      <c r="H77" s="421"/>
      <c r="I77" s="421"/>
    </row>
    <row r="79">
      <c r="D79" s="423"/>
      <c r="E79" s="423"/>
      <c r="H79" s="372"/>
      <c r="I79" s="372"/>
    </row>
    <row r="80">
      <c r="D80" s="423"/>
      <c r="E80" s="423"/>
      <c r="H80" s="372"/>
      <c r="I80" s="372"/>
    </row>
    <row r="81">
      <c r="D81" s="423"/>
      <c r="E81" s="423"/>
      <c r="H81" s="372"/>
      <c r="I81" s="372"/>
    </row>
    <row r="82">
      <c r="D82" s="423"/>
      <c r="E82" s="423"/>
      <c r="H82" s="372"/>
      <c r="I82" s="372"/>
    </row>
    <row r="83">
      <c r="D83" s="423"/>
      <c r="E83" s="423"/>
      <c r="H83" s="372"/>
      <c r="I83" s="372"/>
    </row>
    <row r="84">
      <c r="D84" s="369"/>
      <c r="E84" s="369"/>
      <c r="H84" s="372"/>
      <c r="I84" s="372"/>
    </row>
    <row r="85">
      <c r="D85" s="369"/>
      <c r="E85" s="369"/>
      <c r="H85" s="372"/>
      <c r="I85" s="372"/>
    </row>
    <row r="86">
      <c r="D86" s="369"/>
      <c r="E86" s="369"/>
      <c r="H86" s="372"/>
      <c r="I86" s="372"/>
    </row>
    <row r="87">
      <c r="D87" s="369"/>
      <c r="E87" s="369"/>
      <c r="H87" s="372"/>
      <c r="I87" s="372"/>
    </row>
    <row r="88">
      <c r="D88" s="369"/>
      <c r="E88" s="369"/>
      <c r="H88" s="372"/>
      <c r="I88" s="372"/>
    </row>
    <row r="89">
      <c r="D89" s="369"/>
      <c r="E89" s="369"/>
      <c r="H89" s="372"/>
      <c r="I89" s="372"/>
    </row>
    <row r="90">
      <c r="D90" s="369"/>
      <c r="E90" s="369"/>
      <c r="H90" s="372"/>
      <c r="I90" s="372"/>
    </row>
    <row r="91">
      <c r="D91" s="369"/>
      <c r="E91" s="369"/>
      <c r="H91" s="372"/>
      <c r="I91" s="372"/>
    </row>
    <row r="92">
      <c r="D92" s="369"/>
      <c r="E92" s="369"/>
      <c r="H92" s="372"/>
      <c r="I92" s="372"/>
    </row>
    <row r="93">
      <c r="D93" s="369"/>
      <c r="E93" s="369"/>
      <c r="H93" s="372"/>
      <c r="I93" s="372"/>
    </row>
    <row r="94">
      <c r="D94" s="369"/>
      <c r="E94" s="369"/>
      <c r="H94" s="372"/>
      <c r="I94" s="372"/>
    </row>
    <row r="95">
      <c r="D95" s="369"/>
      <c r="E95" s="369"/>
      <c r="H95" s="372"/>
      <c r="I95" s="372"/>
    </row>
    <row r="96">
      <c r="D96" s="369"/>
      <c r="E96" s="369"/>
      <c r="H96" s="372"/>
      <c r="I96" s="372"/>
    </row>
    <row r="97">
      <c r="D97" s="369"/>
      <c r="E97" s="369"/>
      <c r="H97" s="372"/>
      <c r="I97" s="372"/>
    </row>
    <row r="98">
      <c r="D98" s="369"/>
      <c r="E98" s="369"/>
      <c r="H98" s="372"/>
      <c r="I98" s="372"/>
    </row>
    <row r="99">
      <c r="D99" s="369"/>
      <c r="E99" s="369"/>
      <c r="H99" s="372"/>
      <c r="I99" s="372"/>
    </row>
    <row r="100">
      <c r="D100" s="369"/>
      <c r="E100" s="369"/>
      <c r="H100" s="372"/>
      <c r="I100" s="372"/>
    </row>
    <row r="101">
      <c r="D101" s="369"/>
      <c r="E101" s="369"/>
      <c r="H101" s="372"/>
      <c r="I101" s="372"/>
    </row>
    <row r="102">
      <c r="D102" s="369"/>
      <c r="E102" s="369"/>
      <c r="H102" s="372"/>
      <c r="I102" s="372"/>
    </row>
    <row r="103">
      <c r="D103" s="369"/>
      <c r="E103" s="369"/>
      <c r="H103" s="372"/>
      <c r="I103" s="372"/>
    </row>
    <row r="104">
      <c r="D104" s="369"/>
      <c r="E104" s="369"/>
      <c r="H104" s="372"/>
      <c r="I104" s="372"/>
    </row>
    <row r="105">
      <c r="D105" s="369"/>
      <c r="E105" s="369"/>
      <c r="H105" s="372"/>
      <c r="I105" s="372"/>
    </row>
    <row r="106">
      <c r="D106" s="369"/>
      <c r="E106" s="369"/>
      <c r="H106" s="372"/>
      <c r="I106" s="372"/>
    </row>
    <row r="107">
      <c r="D107" s="369"/>
      <c r="E107" s="369"/>
      <c r="H107" s="372"/>
      <c r="I107" s="372"/>
    </row>
    <row r="108">
      <c r="D108" s="369"/>
      <c r="E108" s="369"/>
      <c r="H108" s="372"/>
      <c r="I108" s="372"/>
    </row>
    <row r="109">
      <c r="D109" s="369"/>
      <c r="E109" s="369"/>
      <c r="H109" s="372"/>
      <c r="I109" s="372"/>
    </row>
    <row r="110">
      <c r="D110" s="369"/>
      <c r="E110" s="369"/>
      <c r="H110" s="372"/>
      <c r="I110" s="372"/>
    </row>
    <row r="111">
      <c r="D111" s="369"/>
      <c r="E111" s="369"/>
      <c r="H111" s="372"/>
      <c r="I111" s="372"/>
    </row>
    <row r="112">
      <c r="D112" s="369"/>
      <c r="E112" s="369"/>
      <c r="H112" s="372"/>
      <c r="I112" s="372"/>
    </row>
    <row r="113">
      <c r="D113" s="369"/>
      <c r="E113" s="369"/>
      <c r="H113" s="372"/>
      <c r="I113" s="372"/>
    </row>
    <row r="114">
      <c r="D114" s="369"/>
      <c r="E114" s="369"/>
      <c r="H114" s="372"/>
      <c r="I114" s="372"/>
    </row>
    <row r="115">
      <c r="D115" s="369"/>
      <c r="E115" s="369"/>
      <c r="H115" s="372"/>
      <c r="I115" s="372"/>
    </row>
    <row r="116">
      <c r="D116" s="369"/>
      <c r="E116" s="369"/>
      <c r="H116" s="372"/>
      <c r="I116" s="372"/>
    </row>
    <row r="117">
      <c r="D117" s="369"/>
      <c r="E117" s="369"/>
      <c r="H117" s="372"/>
      <c r="I117" s="372"/>
    </row>
    <row r="118">
      <c r="D118" s="369"/>
      <c r="E118" s="369"/>
      <c r="H118" s="372"/>
      <c r="I118" s="372"/>
    </row>
    <row r="119">
      <c r="D119" s="369"/>
      <c r="E119" s="369"/>
      <c r="H119" s="372"/>
      <c r="I119" s="372"/>
    </row>
    <row r="120">
      <c r="D120" s="369"/>
      <c r="E120" s="369"/>
      <c r="H120" s="372"/>
      <c r="I120" s="372"/>
    </row>
    <row r="121">
      <c r="D121" s="369"/>
      <c r="E121" s="369"/>
      <c r="H121" s="372"/>
      <c r="I121" s="372"/>
    </row>
    <row r="122">
      <c r="D122" s="369"/>
      <c r="E122" s="369"/>
      <c r="H122" s="372"/>
      <c r="I122" s="372"/>
    </row>
    <row r="123">
      <c r="D123" s="369"/>
      <c r="E123" s="369"/>
      <c r="H123" s="372"/>
      <c r="I123" s="372"/>
    </row>
    <row r="124">
      <c r="D124" s="369"/>
      <c r="E124" s="369"/>
      <c r="H124" s="372"/>
      <c r="I124" s="372"/>
    </row>
    <row r="125">
      <c r="D125" s="369"/>
      <c r="E125" s="369"/>
      <c r="H125" s="372"/>
      <c r="I125" s="372"/>
    </row>
    <row r="126">
      <c r="D126" s="369"/>
      <c r="E126" s="369"/>
      <c r="H126" s="372"/>
      <c r="I126" s="372"/>
    </row>
    <row r="127">
      <c r="D127" s="369"/>
      <c r="E127" s="369"/>
      <c r="H127" s="372"/>
      <c r="I127" s="372"/>
    </row>
    <row r="128">
      <c r="D128" s="369"/>
      <c r="E128" s="369"/>
      <c r="H128" s="372"/>
      <c r="I128" s="372"/>
    </row>
    <row r="129">
      <c r="D129" s="369"/>
      <c r="E129" s="369"/>
      <c r="H129" s="372"/>
      <c r="I129" s="372"/>
    </row>
    <row r="130">
      <c r="D130" s="369"/>
      <c r="E130" s="369"/>
      <c r="H130" s="372"/>
      <c r="I130" s="372"/>
    </row>
    <row r="131">
      <c r="D131" s="369"/>
      <c r="E131" s="369"/>
      <c r="H131" s="372"/>
      <c r="I131" s="372"/>
    </row>
    <row r="132">
      <c r="D132" s="369"/>
      <c r="E132" s="369"/>
      <c r="H132" s="372"/>
      <c r="I132" s="372"/>
    </row>
    <row r="133">
      <c r="D133" s="369"/>
      <c r="E133" s="369"/>
      <c r="H133" s="372"/>
      <c r="I133" s="372"/>
    </row>
    <row r="134">
      <c r="D134" s="369"/>
      <c r="E134" s="369"/>
      <c r="H134" s="372"/>
      <c r="I134" s="372"/>
    </row>
    <row r="135">
      <c r="D135" s="369"/>
      <c r="E135" s="369"/>
      <c r="H135" s="372"/>
      <c r="I135" s="372"/>
    </row>
    <row r="136">
      <c r="D136" s="369"/>
      <c r="E136" s="369"/>
      <c r="H136" s="372"/>
      <c r="I136" s="372"/>
    </row>
    <row r="137">
      <c r="D137" s="369"/>
      <c r="E137" s="369"/>
      <c r="H137" s="372"/>
      <c r="I137" s="372"/>
    </row>
    <row r="138">
      <c r="D138" s="369"/>
      <c r="E138" s="369"/>
      <c r="H138" s="372"/>
      <c r="I138" s="372"/>
    </row>
    <row r="139">
      <c r="D139" s="369"/>
      <c r="E139" s="369"/>
      <c r="H139" s="372"/>
      <c r="I139" s="372"/>
    </row>
    <row r="140">
      <c r="D140" s="369"/>
      <c r="E140" s="369"/>
      <c r="H140" s="372"/>
      <c r="I140" s="372"/>
    </row>
    <row r="141">
      <c r="D141" s="369"/>
      <c r="E141" s="369"/>
      <c r="H141" s="372"/>
      <c r="I141" s="372"/>
    </row>
    <row r="142">
      <c r="D142" s="369"/>
      <c r="E142" s="369"/>
      <c r="H142" s="372"/>
      <c r="I142" s="372"/>
    </row>
    <row r="143">
      <c r="D143" s="369"/>
      <c r="E143" s="369"/>
      <c r="H143" s="372"/>
      <c r="I143" s="372"/>
    </row>
    <row r="144">
      <c r="D144" s="369"/>
      <c r="E144" s="369"/>
      <c r="H144" s="372"/>
      <c r="I144" s="372"/>
    </row>
    <row r="145">
      <c r="D145" s="369"/>
      <c r="E145" s="369"/>
      <c r="H145" s="372"/>
      <c r="I145" s="372"/>
    </row>
    <row r="146">
      <c r="D146" s="369"/>
      <c r="E146" s="369"/>
      <c r="H146" s="372"/>
      <c r="I146" s="372"/>
    </row>
    <row r="147">
      <c r="D147" s="369"/>
      <c r="E147" s="369"/>
      <c r="H147" s="372"/>
      <c r="I147" s="372"/>
    </row>
    <row r="148">
      <c r="D148" s="369"/>
      <c r="E148" s="369"/>
      <c r="H148" s="372"/>
      <c r="I148" s="372"/>
    </row>
    <row r="149">
      <c r="D149" s="369"/>
      <c r="E149" s="369"/>
      <c r="H149" s="372"/>
      <c r="I149" s="372"/>
    </row>
    <row r="150">
      <c r="D150" s="369"/>
      <c r="E150" s="369"/>
      <c r="H150" s="372"/>
      <c r="I150" s="372"/>
    </row>
    <row r="151">
      <c r="D151" s="369"/>
      <c r="E151" s="369"/>
      <c r="H151" s="372"/>
      <c r="I151" s="372"/>
    </row>
    <row r="152">
      <c r="D152" s="369"/>
      <c r="E152" s="369"/>
      <c r="H152" s="372"/>
      <c r="I152" s="372"/>
    </row>
    <row r="153">
      <c r="D153" s="369"/>
      <c r="E153" s="369"/>
      <c r="H153" s="372"/>
      <c r="I153" s="372"/>
    </row>
    <row r="154">
      <c r="D154" s="369"/>
      <c r="E154" s="369"/>
      <c r="H154" s="372"/>
      <c r="I154" s="372"/>
    </row>
    <row r="155">
      <c r="D155" s="369"/>
      <c r="E155" s="369"/>
      <c r="H155" s="372"/>
      <c r="I155" s="372"/>
    </row>
    <row r="156">
      <c r="D156" s="369"/>
      <c r="E156" s="369"/>
      <c r="H156" s="372"/>
      <c r="I156" s="372"/>
    </row>
    <row r="157">
      <c r="D157" s="369"/>
      <c r="E157" s="369"/>
      <c r="H157" s="372"/>
      <c r="I157" s="372"/>
    </row>
    <row r="158">
      <c r="D158" s="369"/>
      <c r="E158" s="369"/>
      <c r="H158" s="372"/>
      <c r="I158" s="372"/>
    </row>
    <row r="159">
      <c r="D159" s="369"/>
      <c r="E159" s="369"/>
      <c r="H159" s="372"/>
      <c r="I159" s="372"/>
    </row>
    <row r="160">
      <c r="D160" s="369"/>
      <c r="E160" s="369"/>
      <c r="H160" s="372"/>
      <c r="I160" s="372"/>
    </row>
    <row r="161">
      <c r="D161" s="369"/>
      <c r="E161" s="369"/>
      <c r="H161" s="372"/>
      <c r="I161" s="372"/>
    </row>
    <row r="162">
      <c r="D162" s="369"/>
      <c r="E162" s="369"/>
      <c r="H162" s="372"/>
      <c r="I162" s="372"/>
    </row>
    <row r="163">
      <c r="D163" s="369"/>
      <c r="E163" s="369"/>
      <c r="H163" s="372"/>
      <c r="I163" s="372"/>
    </row>
    <row r="164">
      <c r="D164" s="369"/>
      <c r="E164" s="369"/>
      <c r="H164" s="372"/>
      <c r="I164" s="372"/>
    </row>
    <row r="165">
      <c r="D165" s="369"/>
      <c r="E165" s="369"/>
      <c r="H165" s="372"/>
      <c r="I165" s="372"/>
    </row>
    <row r="166">
      <c r="D166" s="369"/>
      <c r="E166" s="369"/>
      <c r="H166" s="372"/>
      <c r="I166" s="372"/>
    </row>
    <row r="167">
      <c r="D167" s="369"/>
      <c r="E167" s="369"/>
      <c r="H167" s="372"/>
      <c r="I167" s="372"/>
    </row>
    <row r="168">
      <c r="D168" s="369"/>
      <c r="E168" s="369"/>
      <c r="H168" s="372"/>
      <c r="I168" s="372"/>
    </row>
    <row r="169">
      <c r="D169" s="369"/>
      <c r="E169" s="369"/>
      <c r="H169" s="372"/>
      <c r="I169" s="372"/>
    </row>
    <row r="170">
      <c r="D170" s="369"/>
      <c r="E170" s="369"/>
      <c r="H170" s="372"/>
      <c r="I170" s="372"/>
    </row>
    <row r="171">
      <c r="D171" s="369"/>
      <c r="E171" s="369"/>
      <c r="H171" s="372"/>
      <c r="I171" s="372"/>
    </row>
    <row r="172">
      <c r="D172" s="369"/>
      <c r="E172" s="369"/>
      <c r="H172" s="372"/>
      <c r="I172" s="372"/>
    </row>
    <row r="173">
      <c r="D173" s="369"/>
      <c r="E173" s="369"/>
      <c r="H173" s="372"/>
      <c r="I173" s="372"/>
    </row>
    <row r="174">
      <c r="D174" s="369"/>
      <c r="E174" s="369"/>
      <c r="H174" s="372"/>
      <c r="I174" s="372"/>
    </row>
    <row r="175">
      <c r="D175" s="369"/>
      <c r="E175" s="369"/>
      <c r="H175" s="372"/>
      <c r="I175" s="372"/>
    </row>
    <row r="176">
      <c r="D176" s="369"/>
      <c r="E176" s="369"/>
      <c r="H176" s="372"/>
      <c r="I176" s="372"/>
    </row>
    <row r="177">
      <c r="D177" s="369"/>
      <c r="E177" s="369"/>
      <c r="H177" s="372"/>
      <c r="I177" s="372"/>
    </row>
    <row r="178">
      <c r="D178" s="369"/>
      <c r="E178" s="369"/>
      <c r="H178" s="372"/>
      <c r="I178" s="372"/>
    </row>
    <row r="179">
      <c r="D179" s="369"/>
      <c r="E179" s="369"/>
      <c r="H179" s="372"/>
      <c r="I179" s="372"/>
    </row>
    <row r="180">
      <c r="D180" s="369"/>
      <c r="E180" s="369"/>
      <c r="H180" s="372"/>
      <c r="I180" s="372"/>
    </row>
    <row r="181">
      <c r="D181" s="369"/>
      <c r="E181" s="369"/>
      <c r="H181" s="372"/>
      <c r="I181" s="372"/>
    </row>
    <row r="182">
      <c r="D182" s="369"/>
      <c r="E182" s="369"/>
      <c r="H182" s="372"/>
      <c r="I182" s="372"/>
    </row>
    <row r="183">
      <c r="D183" s="369"/>
      <c r="E183" s="369"/>
      <c r="H183" s="372"/>
      <c r="I183" s="372"/>
    </row>
    <row r="184">
      <c r="D184" s="369"/>
      <c r="E184" s="369"/>
      <c r="H184" s="372"/>
      <c r="I184" s="372"/>
    </row>
    <row r="185">
      <c r="D185" s="369"/>
      <c r="E185" s="369"/>
      <c r="H185" s="372"/>
      <c r="I185" s="372"/>
    </row>
    <row r="186">
      <c r="D186" s="369"/>
      <c r="E186" s="369"/>
      <c r="H186" s="372"/>
      <c r="I186" s="372"/>
    </row>
    <row r="187">
      <c r="D187" s="369"/>
      <c r="E187" s="369"/>
      <c r="H187" s="372"/>
      <c r="I187" s="372"/>
    </row>
    <row r="188">
      <c r="D188" s="369"/>
      <c r="E188" s="369"/>
      <c r="H188" s="372"/>
      <c r="I188" s="372"/>
    </row>
    <row r="189">
      <c r="D189" s="369"/>
      <c r="E189" s="369"/>
      <c r="H189" s="372"/>
      <c r="I189" s="372"/>
    </row>
    <row r="190">
      <c r="D190" s="369"/>
      <c r="E190" s="369"/>
      <c r="H190" s="372"/>
      <c r="I190" s="372"/>
    </row>
    <row r="191">
      <c r="D191" s="369"/>
      <c r="E191" s="369"/>
      <c r="H191" s="372"/>
      <c r="I191" s="372"/>
    </row>
    <row r="192">
      <c r="D192" s="369"/>
      <c r="E192" s="369"/>
      <c r="H192" s="372"/>
      <c r="I192" s="372"/>
    </row>
    <row r="193">
      <c r="D193" s="369"/>
      <c r="E193" s="369"/>
      <c r="H193" s="372"/>
      <c r="I193" s="372"/>
    </row>
    <row r="194">
      <c r="D194" s="369"/>
      <c r="E194" s="369"/>
      <c r="H194" s="372"/>
      <c r="I194" s="372"/>
    </row>
    <row r="195">
      <c r="D195" s="369"/>
      <c r="E195" s="369"/>
      <c r="H195" s="372"/>
      <c r="I195" s="372"/>
    </row>
    <row r="196">
      <c r="D196" s="369"/>
      <c r="E196" s="369"/>
      <c r="H196" s="372"/>
      <c r="I196" s="372"/>
    </row>
    <row r="197">
      <c r="D197" s="369"/>
      <c r="E197" s="369"/>
      <c r="H197" s="372"/>
      <c r="I197" s="372"/>
    </row>
    <row r="198">
      <c r="D198" s="369"/>
      <c r="E198" s="369"/>
      <c r="H198" s="372"/>
      <c r="I198" s="372"/>
    </row>
    <row r="199">
      <c r="D199" s="369"/>
      <c r="E199" s="369"/>
      <c r="H199" s="372"/>
      <c r="I199" s="372"/>
    </row>
    <row r="200">
      <c r="D200" s="369"/>
      <c r="E200" s="369"/>
      <c r="H200" s="372"/>
      <c r="I200" s="372"/>
    </row>
    <row r="201">
      <c r="D201" s="369"/>
      <c r="E201" s="369"/>
      <c r="H201" s="372"/>
      <c r="I201" s="372"/>
    </row>
    <row r="202">
      <c r="D202" s="369"/>
      <c r="E202" s="369"/>
      <c r="H202" s="372"/>
      <c r="I202" s="372"/>
    </row>
    <row r="203">
      <c r="D203" s="369"/>
      <c r="E203" s="369"/>
      <c r="H203" s="372"/>
      <c r="I203" s="372"/>
    </row>
    <row r="204">
      <c r="D204" s="369"/>
      <c r="E204" s="369"/>
      <c r="H204" s="372"/>
      <c r="I204" s="372"/>
    </row>
    <row r="205">
      <c r="D205" s="369"/>
      <c r="E205" s="369"/>
      <c r="H205" s="372"/>
      <c r="I205" s="372"/>
    </row>
    <row r="206">
      <c r="D206" s="369"/>
      <c r="E206" s="369"/>
      <c r="H206" s="372"/>
      <c r="I206" s="372"/>
    </row>
    <row r="207">
      <c r="D207" s="369"/>
      <c r="E207" s="369"/>
      <c r="H207" s="372"/>
      <c r="I207" s="372"/>
    </row>
    <row r="208">
      <c r="D208" s="369"/>
      <c r="E208" s="369"/>
      <c r="H208" s="372"/>
      <c r="I208" s="372"/>
    </row>
    <row r="209">
      <c r="D209" s="369"/>
      <c r="E209" s="369"/>
      <c r="H209" s="372"/>
      <c r="I209" s="372"/>
    </row>
    <row r="210">
      <c r="D210" s="369"/>
      <c r="E210" s="369"/>
      <c r="H210" s="372"/>
      <c r="I210" s="372"/>
    </row>
    <row r="211">
      <c r="D211" s="369"/>
      <c r="E211" s="369"/>
      <c r="H211" s="372"/>
      <c r="I211" s="372"/>
    </row>
    <row r="212">
      <c r="D212" s="369"/>
      <c r="E212" s="369"/>
      <c r="H212" s="372"/>
      <c r="I212" s="372"/>
    </row>
    <row r="213">
      <c r="D213" s="369"/>
      <c r="E213" s="369"/>
      <c r="H213" s="372"/>
      <c r="I213" s="372"/>
    </row>
    <row r="214">
      <c r="D214" s="369"/>
      <c r="E214" s="369"/>
      <c r="H214" s="372"/>
      <c r="I214" s="372"/>
    </row>
    <row r="215">
      <c r="D215" s="369"/>
      <c r="E215" s="369"/>
      <c r="H215" s="372"/>
      <c r="I215" s="372"/>
    </row>
    <row r="216">
      <c r="D216" s="369"/>
      <c r="E216" s="369"/>
      <c r="H216" s="372"/>
      <c r="I216" s="372"/>
    </row>
    <row r="217">
      <c r="D217" s="369"/>
      <c r="E217" s="369"/>
      <c r="H217" s="372"/>
      <c r="I217" s="372"/>
    </row>
    <row r="218">
      <c r="D218" s="369"/>
      <c r="E218" s="369"/>
      <c r="H218" s="372"/>
      <c r="I218" s="372"/>
    </row>
    <row r="219">
      <c r="D219" s="369"/>
      <c r="E219" s="369"/>
      <c r="H219" s="372"/>
      <c r="I219" s="372"/>
    </row>
    <row r="220">
      <c r="D220" s="369"/>
      <c r="E220" s="369"/>
      <c r="H220" s="372"/>
      <c r="I220" s="372"/>
    </row>
    <row r="221">
      <c r="D221" s="369"/>
      <c r="E221" s="369"/>
      <c r="H221" s="372"/>
      <c r="I221" s="372"/>
    </row>
    <row r="222">
      <c r="D222" s="369"/>
      <c r="E222" s="369"/>
      <c r="H222" s="372"/>
      <c r="I222" s="372"/>
    </row>
    <row r="223">
      <c r="D223" s="369"/>
      <c r="E223" s="369"/>
      <c r="H223" s="372"/>
      <c r="I223" s="372"/>
    </row>
    <row r="224">
      <c r="D224" s="369"/>
      <c r="E224" s="369"/>
      <c r="H224" s="372"/>
      <c r="I224" s="372"/>
    </row>
    <row r="225">
      <c r="D225" s="369"/>
      <c r="E225" s="369"/>
      <c r="H225" s="372"/>
      <c r="I225" s="372"/>
    </row>
    <row r="226">
      <c r="D226" s="369"/>
      <c r="E226" s="369"/>
      <c r="H226" s="372"/>
      <c r="I226" s="372"/>
    </row>
    <row r="227">
      <c r="D227" s="369"/>
      <c r="E227" s="369"/>
      <c r="H227" s="372"/>
      <c r="I227" s="372"/>
    </row>
    <row r="228">
      <c r="D228" s="369"/>
      <c r="E228" s="369"/>
      <c r="H228" s="372"/>
      <c r="I228" s="372"/>
    </row>
    <row r="229">
      <c r="D229" s="369"/>
      <c r="E229" s="369"/>
      <c r="H229" s="372"/>
      <c r="I229" s="372"/>
    </row>
    <row r="230">
      <c r="D230" s="369"/>
      <c r="E230" s="369"/>
      <c r="H230" s="372"/>
      <c r="I230" s="372"/>
    </row>
    <row r="231">
      <c r="D231" s="369"/>
      <c r="E231" s="369"/>
      <c r="H231" s="372"/>
      <c r="I231" s="372"/>
    </row>
    <row r="232">
      <c r="D232" s="369"/>
      <c r="E232" s="369"/>
      <c r="H232" s="372"/>
      <c r="I232" s="372"/>
    </row>
    <row r="233">
      <c r="D233" s="369"/>
      <c r="E233" s="369"/>
      <c r="H233" s="372"/>
      <c r="I233" s="372"/>
    </row>
    <row r="234">
      <c r="D234" s="369"/>
      <c r="E234" s="369"/>
      <c r="H234" s="372"/>
      <c r="I234" s="372"/>
    </row>
    <row r="235">
      <c r="D235" s="369"/>
      <c r="E235" s="369"/>
      <c r="H235" s="372"/>
      <c r="I235" s="372"/>
    </row>
    <row r="236">
      <c r="D236" s="369"/>
      <c r="E236" s="369"/>
      <c r="H236" s="372"/>
      <c r="I236" s="372"/>
    </row>
    <row r="237">
      <c r="D237" s="369"/>
      <c r="E237" s="369"/>
      <c r="H237" s="372"/>
      <c r="I237" s="372"/>
    </row>
    <row r="238">
      <c r="D238" s="369"/>
      <c r="E238" s="369"/>
      <c r="H238" s="372"/>
      <c r="I238" s="372"/>
    </row>
    <row r="239">
      <c r="D239" s="369"/>
      <c r="E239" s="369"/>
      <c r="H239" s="372"/>
      <c r="I239" s="372"/>
    </row>
    <row r="240">
      <c r="D240" s="369"/>
      <c r="E240" s="369"/>
      <c r="H240" s="372"/>
      <c r="I240" s="372"/>
    </row>
    <row r="241">
      <c r="D241" s="369"/>
      <c r="E241" s="369"/>
      <c r="H241" s="372"/>
      <c r="I241" s="372"/>
    </row>
    <row r="242">
      <c r="D242" s="369"/>
      <c r="E242" s="369"/>
      <c r="H242" s="372"/>
      <c r="I242" s="372"/>
    </row>
    <row r="243">
      <c r="D243" s="369"/>
      <c r="E243" s="369"/>
      <c r="H243" s="372"/>
      <c r="I243" s="372"/>
    </row>
    <row r="244">
      <c r="D244" s="369"/>
      <c r="E244" s="369"/>
      <c r="H244" s="372"/>
      <c r="I244" s="372"/>
    </row>
    <row r="245">
      <c r="D245" s="369"/>
      <c r="E245" s="369"/>
      <c r="H245" s="372"/>
      <c r="I245" s="372"/>
    </row>
    <row r="246">
      <c r="D246" s="369"/>
      <c r="E246" s="369"/>
      <c r="H246" s="372"/>
      <c r="I246" s="372"/>
    </row>
    <row r="247">
      <c r="D247" s="369"/>
      <c r="E247" s="369"/>
      <c r="H247" s="372"/>
      <c r="I247" s="372"/>
    </row>
    <row r="248">
      <c r="D248" s="369"/>
      <c r="E248" s="369"/>
      <c r="H248" s="372"/>
      <c r="I248" s="372"/>
    </row>
    <row r="249">
      <c r="D249" s="369"/>
      <c r="E249" s="369"/>
      <c r="H249" s="372"/>
      <c r="I249" s="372"/>
    </row>
    <row r="250">
      <c r="D250" s="369"/>
      <c r="E250" s="369"/>
      <c r="H250" s="372"/>
      <c r="I250" s="372"/>
    </row>
    <row r="251">
      <c r="D251" s="369"/>
      <c r="E251" s="369"/>
      <c r="H251" s="372"/>
      <c r="I251" s="372"/>
    </row>
    <row r="252">
      <c r="D252" s="369"/>
      <c r="E252" s="369"/>
      <c r="H252" s="372"/>
      <c r="I252" s="372"/>
    </row>
    <row r="253">
      <c r="D253" s="369"/>
      <c r="E253" s="369"/>
      <c r="H253" s="372"/>
      <c r="I253" s="372"/>
    </row>
    <row r="254">
      <c r="D254" s="369"/>
      <c r="E254" s="369"/>
      <c r="H254" s="372"/>
      <c r="I254" s="372"/>
    </row>
    <row r="255">
      <c r="D255" s="369"/>
      <c r="E255" s="369"/>
      <c r="H255" s="372"/>
      <c r="I255" s="372"/>
    </row>
    <row r="256">
      <c r="D256" s="369"/>
      <c r="E256" s="369"/>
      <c r="H256" s="372"/>
      <c r="I256" s="372"/>
    </row>
    <row r="257">
      <c r="D257" s="369"/>
      <c r="E257" s="369"/>
      <c r="H257" s="372"/>
      <c r="I257" s="372"/>
    </row>
    <row r="258">
      <c r="D258" s="369"/>
      <c r="E258" s="369"/>
      <c r="H258" s="372"/>
      <c r="I258" s="372"/>
    </row>
    <row r="259">
      <c r="D259" s="369"/>
      <c r="E259" s="369"/>
      <c r="H259" s="372"/>
      <c r="I259" s="372"/>
    </row>
    <row r="260">
      <c r="D260" s="369"/>
      <c r="E260" s="369"/>
      <c r="H260" s="372"/>
      <c r="I260" s="372"/>
    </row>
    <row r="261">
      <c r="D261" s="369"/>
      <c r="E261" s="369"/>
      <c r="H261" s="372"/>
      <c r="I261" s="372"/>
    </row>
    <row r="262">
      <c r="D262" s="369"/>
      <c r="E262" s="369"/>
      <c r="H262" s="372"/>
      <c r="I262" s="372"/>
    </row>
    <row r="263">
      <c r="D263" s="369"/>
      <c r="E263" s="369"/>
      <c r="H263" s="372"/>
      <c r="I263" s="372"/>
    </row>
    <row r="264">
      <c r="D264" s="369"/>
      <c r="E264" s="369"/>
      <c r="H264" s="372"/>
      <c r="I264" s="372"/>
    </row>
    <row r="265">
      <c r="D265" s="369"/>
      <c r="E265" s="369"/>
      <c r="H265" s="372"/>
      <c r="I265" s="372"/>
    </row>
    <row r="266">
      <c r="D266" s="369"/>
      <c r="E266" s="369"/>
      <c r="H266" s="372"/>
      <c r="I266" s="372"/>
    </row>
    <row r="267">
      <c r="D267" s="369"/>
      <c r="E267" s="369"/>
      <c r="H267" s="372"/>
      <c r="I267" s="372"/>
    </row>
    <row r="268">
      <c r="D268" s="369"/>
      <c r="E268" s="369"/>
      <c r="H268" s="372"/>
      <c r="I268" s="372"/>
    </row>
    <row r="269">
      <c r="D269" s="369"/>
      <c r="E269" s="369"/>
      <c r="H269" s="372"/>
      <c r="I269" s="372"/>
    </row>
    <row r="270">
      <c r="D270" s="369"/>
      <c r="E270" s="369"/>
      <c r="H270" s="372"/>
      <c r="I270" s="372"/>
    </row>
    <row r="271">
      <c r="D271" s="369"/>
      <c r="E271" s="369"/>
      <c r="H271" s="372"/>
      <c r="I271" s="372"/>
    </row>
    <row r="272">
      <c r="D272" s="369"/>
      <c r="E272" s="369"/>
      <c r="H272" s="372"/>
      <c r="I272" s="372"/>
    </row>
    <row r="273">
      <c r="D273" s="369"/>
      <c r="E273" s="369"/>
      <c r="H273" s="372"/>
      <c r="I273" s="372"/>
    </row>
    <row r="274">
      <c r="D274" s="369"/>
      <c r="E274" s="369"/>
      <c r="H274" s="372"/>
      <c r="I274" s="372"/>
    </row>
    <row r="275">
      <c r="D275" s="369"/>
      <c r="E275" s="369"/>
      <c r="H275" s="372"/>
      <c r="I275" s="372"/>
    </row>
    <row r="276">
      <c r="D276" s="369"/>
      <c r="E276" s="369"/>
      <c r="H276" s="372"/>
      <c r="I276" s="372"/>
    </row>
    <row r="277">
      <c r="D277" s="369"/>
      <c r="E277" s="369"/>
      <c r="H277" s="372"/>
      <c r="I277" s="372"/>
    </row>
    <row r="278">
      <c r="D278" s="369"/>
      <c r="E278" s="369"/>
      <c r="H278" s="372"/>
      <c r="I278" s="372"/>
    </row>
    <row r="279">
      <c r="D279" s="369"/>
      <c r="E279" s="369"/>
      <c r="H279" s="372"/>
      <c r="I279" s="372"/>
    </row>
    <row r="280">
      <c r="D280" s="369"/>
      <c r="E280" s="369"/>
      <c r="H280" s="372"/>
      <c r="I280" s="372"/>
    </row>
    <row r="281">
      <c r="D281" s="369"/>
      <c r="E281" s="369"/>
      <c r="H281" s="372"/>
      <c r="I281" s="372"/>
    </row>
    <row r="282">
      <c r="D282" s="369"/>
      <c r="E282" s="369"/>
      <c r="H282" s="372"/>
      <c r="I282" s="372"/>
    </row>
    <row r="283">
      <c r="D283" s="369"/>
      <c r="E283" s="369"/>
      <c r="H283" s="372"/>
      <c r="I283" s="372"/>
    </row>
    <row r="284">
      <c r="D284" s="369"/>
      <c r="E284" s="369"/>
      <c r="H284" s="372"/>
      <c r="I284" s="372"/>
    </row>
    <row r="285">
      <c r="D285" s="369"/>
      <c r="E285" s="369"/>
      <c r="H285" s="372"/>
      <c r="I285" s="372"/>
    </row>
    <row r="286">
      <c r="D286" s="369"/>
      <c r="E286" s="369"/>
      <c r="H286" s="372"/>
      <c r="I286" s="372"/>
    </row>
    <row r="287">
      <c r="D287" s="369"/>
      <c r="E287" s="369"/>
      <c r="H287" s="372"/>
      <c r="I287" s="372"/>
    </row>
    <row r="288">
      <c r="D288" s="369"/>
      <c r="E288" s="369"/>
      <c r="H288" s="372"/>
      <c r="I288" s="372"/>
    </row>
    <row r="289">
      <c r="D289" s="369"/>
      <c r="E289" s="369"/>
      <c r="H289" s="372"/>
      <c r="I289" s="372"/>
    </row>
    <row r="290">
      <c r="D290" s="369"/>
      <c r="E290" s="369"/>
      <c r="H290" s="372"/>
      <c r="I290" s="372"/>
    </row>
    <row r="291">
      <c r="D291" s="369"/>
      <c r="E291" s="369"/>
      <c r="H291" s="372"/>
      <c r="I291" s="372"/>
    </row>
    <row r="292">
      <c r="D292" s="369"/>
      <c r="E292" s="369"/>
      <c r="H292" s="372"/>
      <c r="I292" s="372"/>
    </row>
    <row r="293">
      <c r="D293" s="369"/>
      <c r="E293" s="369"/>
      <c r="H293" s="372"/>
      <c r="I293" s="372"/>
    </row>
    <row r="294">
      <c r="D294" s="369"/>
      <c r="E294" s="369"/>
      <c r="H294" s="372"/>
      <c r="I294" s="372"/>
    </row>
    <row r="295">
      <c r="D295" s="369"/>
      <c r="E295" s="369"/>
      <c r="H295" s="372"/>
      <c r="I295" s="372"/>
    </row>
    <row r="296">
      <c r="D296" s="369"/>
      <c r="E296" s="369"/>
      <c r="H296" s="372"/>
      <c r="I296" s="372"/>
    </row>
    <row r="297">
      <c r="D297" s="369"/>
      <c r="E297" s="369"/>
      <c r="H297" s="372"/>
      <c r="I297" s="372"/>
    </row>
    <row r="298">
      <c r="D298" s="369"/>
      <c r="E298" s="369"/>
      <c r="H298" s="372"/>
      <c r="I298" s="372"/>
    </row>
    <row r="299">
      <c r="D299" s="369"/>
      <c r="E299" s="369"/>
      <c r="H299" s="372"/>
      <c r="I299" s="372"/>
    </row>
    <row r="300">
      <c r="D300" s="369"/>
      <c r="E300" s="369"/>
      <c r="H300" s="372"/>
      <c r="I300" s="372"/>
    </row>
    <row r="301">
      <c r="D301" s="369"/>
      <c r="E301" s="369"/>
      <c r="H301" s="372"/>
      <c r="I301" s="372"/>
    </row>
    <row r="302">
      <c r="D302" s="369"/>
      <c r="E302" s="369"/>
      <c r="H302" s="372"/>
      <c r="I302" s="372"/>
    </row>
    <row r="303">
      <c r="D303" s="369"/>
      <c r="E303" s="369"/>
      <c r="H303" s="372"/>
      <c r="I303" s="372"/>
    </row>
    <row r="304">
      <c r="D304" s="369"/>
      <c r="E304" s="369"/>
      <c r="H304" s="372"/>
      <c r="I304" s="372"/>
    </row>
    <row r="305">
      <c r="D305" s="369"/>
      <c r="E305" s="369"/>
      <c r="H305" s="372"/>
      <c r="I305" s="372"/>
    </row>
    <row r="306">
      <c r="D306" s="369"/>
      <c r="E306" s="369"/>
      <c r="H306" s="372"/>
      <c r="I306" s="372"/>
    </row>
    <row r="307">
      <c r="D307" s="369"/>
      <c r="E307" s="369"/>
      <c r="H307" s="372"/>
      <c r="I307" s="372"/>
    </row>
    <row r="308">
      <c r="D308" s="369"/>
      <c r="E308" s="369"/>
      <c r="H308" s="372"/>
      <c r="I308" s="372"/>
    </row>
    <row r="309">
      <c r="D309" s="369"/>
      <c r="E309" s="369"/>
      <c r="H309" s="372"/>
      <c r="I309" s="372"/>
    </row>
    <row r="310">
      <c r="D310" s="369"/>
      <c r="E310" s="369"/>
      <c r="H310" s="372"/>
      <c r="I310" s="372"/>
    </row>
    <row r="311">
      <c r="D311" s="369"/>
      <c r="E311" s="369"/>
      <c r="H311" s="372"/>
      <c r="I311" s="372"/>
    </row>
    <row r="312">
      <c r="D312" s="369"/>
      <c r="E312" s="369"/>
      <c r="H312" s="372"/>
      <c r="I312" s="372"/>
    </row>
    <row r="313">
      <c r="D313" s="369"/>
      <c r="E313" s="369"/>
      <c r="H313" s="372"/>
      <c r="I313" s="372"/>
    </row>
    <row r="314">
      <c r="D314" s="369"/>
      <c r="E314" s="369"/>
      <c r="H314" s="372"/>
      <c r="I314" s="372"/>
    </row>
    <row r="315">
      <c r="D315" s="369"/>
      <c r="E315" s="369"/>
      <c r="H315" s="372"/>
      <c r="I315" s="372"/>
    </row>
    <row r="316">
      <c r="D316" s="369"/>
      <c r="E316" s="369"/>
      <c r="H316" s="372"/>
      <c r="I316" s="372"/>
    </row>
    <row r="317">
      <c r="D317" s="369"/>
      <c r="E317" s="369"/>
      <c r="H317" s="372"/>
      <c r="I317" s="372"/>
    </row>
    <row r="318">
      <c r="D318" s="369"/>
      <c r="E318" s="369"/>
      <c r="H318" s="372"/>
      <c r="I318" s="372"/>
    </row>
    <row r="319">
      <c r="D319" s="369"/>
      <c r="E319" s="369"/>
      <c r="H319" s="372"/>
      <c r="I319" s="372"/>
    </row>
    <row r="320">
      <c r="D320" s="369"/>
      <c r="E320" s="369"/>
      <c r="H320" s="372"/>
      <c r="I320" s="372"/>
    </row>
    <row r="321">
      <c r="D321" s="369"/>
      <c r="E321" s="369"/>
      <c r="H321" s="372"/>
      <c r="I321" s="372"/>
    </row>
    <row r="322">
      <c r="D322" s="369"/>
      <c r="E322" s="369"/>
      <c r="H322" s="372"/>
      <c r="I322" s="372"/>
    </row>
    <row r="323">
      <c r="D323" s="369"/>
      <c r="E323" s="369"/>
      <c r="H323" s="372"/>
      <c r="I323" s="372"/>
    </row>
    <row r="324">
      <c r="D324" s="369"/>
      <c r="E324" s="369"/>
      <c r="H324" s="372"/>
      <c r="I324" s="372"/>
    </row>
    <row r="325">
      <c r="D325" s="369"/>
      <c r="E325" s="369"/>
      <c r="H325" s="372"/>
      <c r="I325" s="372"/>
    </row>
    <row r="326">
      <c r="D326" s="369"/>
      <c r="E326" s="369"/>
      <c r="H326" s="372"/>
      <c r="I326" s="372"/>
    </row>
    <row r="327">
      <c r="D327" s="369"/>
      <c r="E327" s="369"/>
      <c r="H327" s="372"/>
      <c r="I327" s="372"/>
    </row>
    <row r="328">
      <c r="D328" s="369"/>
      <c r="E328" s="369"/>
      <c r="H328" s="372"/>
      <c r="I328" s="372"/>
    </row>
    <row r="329">
      <c r="D329" s="369"/>
      <c r="E329" s="369"/>
      <c r="H329" s="372"/>
      <c r="I329" s="372"/>
    </row>
    <row r="330">
      <c r="D330" s="369"/>
      <c r="E330" s="369"/>
      <c r="H330" s="372"/>
      <c r="I330" s="372"/>
    </row>
    <row r="331">
      <c r="D331" s="369"/>
      <c r="E331" s="369"/>
      <c r="H331" s="372"/>
      <c r="I331" s="372"/>
    </row>
    <row r="332">
      <c r="D332" s="369"/>
      <c r="E332" s="369"/>
      <c r="H332" s="372"/>
      <c r="I332" s="372"/>
    </row>
    <row r="333">
      <c r="D333" s="369"/>
      <c r="E333" s="369"/>
      <c r="H333" s="372"/>
      <c r="I333" s="372"/>
    </row>
    <row r="334">
      <c r="D334" s="369"/>
      <c r="E334" s="369"/>
      <c r="H334" s="372"/>
      <c r="I334" s="372"/>
    </row>
    <row r="335">
      <c r="D335" s="369"/>
      <c r="E335" s="369"/>
      <c r="H335" s="372"/>
      <c r="I335" s="372"/>
    </row>
    <row r="336">
      <c r="D336" s="369"/>
      <c r="E336" s="369"/>
      <c r="H336" s="372"/>
      <c r="I336" s="372"/>
    </row>
    <row r="337">
      <c r="D337" s="369"/>
      <c r="E337" s="369"/>
      <c r="H337" s="372"/>
      <c r="I337" s="372"/>
    </row>
    <row r="338">
      <c r="D338" s="369"/>
      <c r="E338" s="369"/>
      <c r="H338" s="372"/>
      <c r="I338" s="372"/>
    </row>
    <row r="339">
      <c r="D339" s="369"/>
      <c r="E339" s="369"/>
      <c r="H339" s="372"/>
      <c r="I339" s="372"/>
    </row>
    <row r="340">
      <c r="D340" s="369"/>
      <c r="E340" s="369"/>
      <c r="H340" s="372"/>
      <c r="I340" s="372"/>
    </row>
    <row r="341">
      <c r="D341" s="369"/>
      <c r="E341" s="369"/>
      <c r="H341" s="372"/>
      <c r="I341" s="372"/>
    </row>
    <row r="342">
      <c r="D342" s="369"/>
      <c r="E342" s="369"/>
      <c r="H342" s="372"/>
      <c r="I342" s="372"/>
    </row>
    <row r="343">
      <c r="D343" s="369"/>
      <c r="E343" s="369"/>
      <c r="H343" s="372"/>
      <c r="I343" s="372"/>
    </row>
    <row r="344">
      <c r="D344" s="369"/>
      <c r="E344" s="369"/>
      <c r="H344" s="372"/>
      <c r="I344" s="372"/>
    </row>
    <row r="345">
      <c r="D345" s="369"/>
      <c r="E345" s="369"/>
      <c r="H345" s="372"/>
      <c r="I345" s="372"/>
    </row>
    <row r="346">
      <c r="D346" s="369"/>
      <c r="E346" s="369"/>
      <c r="H346" s="372"/>
      <c r="I346" s="372"/>
    </row>
    <row r="347">
      <c r="D347" s="369"/>
      <c r="E347" s="369"/>
      <c r="H347" s="372"/>
      <c r="I347" s="372"/>
    </row>
    <row r="348">
      <c r="D348" s="369"/>
      <c r="E348" s="369"/>
      <c r="H348" s="372"/>
      <c r="I348" s="372"/>
    </row>
    <row r="349">
      <c r="D349" s="369"/>
      <c r="E349" s="369"/>
      <c r="H349" s="372"/>
      <c r="I349" s="372"/>
    </row>
    <row r="350">
      <c r="D350" s="369"/>
      <c r="E350" s="369"/>
      <c r="H350" s="372"/>
      <c r="I350" s="372"/>
    </row>
    <row r="351">
      <c r="D351" s="369"/>
      <c r="E351" s="369"/>
      <c r="H351" s="372"/>
      <c r="I351" s="372"/>
    </row>
    <row r="352">
      <c r="D352" s="369"/>
      <c r="E352" s="369"/>
      <c r="H352" s="372"/>
      <c r="I352" s="372"/>
    </row>
    <row r="353">
      <c r="D353" s="369"/>
      <c r="E353" s="369"/>
      <c r="H353" s="372"/>
      <c r="I353" s="372"/>
    </row>
    <row r="354">
      <c r="D354" s="369"/>
      <c r="E354" s="369"/>
      <c r="H354" s="372"/>
      <c r="I354" s="372"/>
    </row>
    <row r="355">
      <c r="D355" s="369"/>
      <c r="E355" s="369"/>
      <c r="H355" s="372"/>
      <c r="I355" s="372"/>
    </row>
    <row r="356">
      <c r="D356" s="369"/>
      <c r="E356" s="369"/>
      <c r="H356" s="372"/>
      <c r="I356" s="372"/>
    </row>
    <row r="357">
      <c r="D357" s="369"/>
      <c r="E357" s="369"/>
      <c r="H357" s="372"/>
      <c r="I357" s="372"/>
    </row>
    <row r="358">
      <c r="D358" s="369"/>
      <c r="E358" s="369"/>
      <c r="H358" s="372"/>
      <c r="I358" s="372"/>
    </row>
    <row r="359">
      <c r="D359" s="369"/>
      <c r="E359" s="369"/>
      <c r="H359" s="372"/>
      <c r="I359" s="372"/>
    </row>
    <row r="360">
      <c r="D360" s="369"/>
      <c r="E360" s="369"/>
      <c r="H360" s="372"/>
      <c r="I360" s="372"/>
    </row>
    <row r="361">
      <c r="D361" s="369"/>
      <c r="E361" s="369"/>
      <c r="H361" s="372"/>
      <c r="I361" s="372"/>
    </row>
    <row r="362">
      <c r="D362" s="369"/>
      <c r="E362" s="369"/>
      <c r="H362" s="372"/>
      <c r="I362" s="372"/>
    </row>
    <row r="363">
      <c r="D363" s="369"/>
      <c r="E363" s="369"/>
      <c r="H363" s="372"/>
      <c r="I363" s="372"/>
    </row>
    <row r="364">
      <c r="D364" s="369"/>
      <c r="E364" s="369"/>
      <c r="H364" s="372"/>
      <c r="I364" s="372"/>
    </row>
    <row r="365">
      <c r="D365" s="369"/>
      <c r="E365" s="369"/>
      <c r="H365" s="372"/>
      <c r="I365" s="372"/>
    </row>
    <row r="366">
      <c r="D366" s="369"/>
      <c r="E366" s="369"/>
      <c r="H366" s="372"/>
      <c r="I366" s="372"/>
    </row>
    <row r="367">
      <c r="D367" s="369"/>
      <c r="E367" s="369"/>
      <c r="H367" s="372"/>
      <c r="I367" s="372"/>
    </row>
    <row r="368">
      <c r="D368" s="369"/>
      <c r="E368" s="369"/>
      <c r="H368" s="372"/>
      <c r="I368" s="372"/>
    </row>
    <row r="369">
      <c r="D369" s="369"/>
      <c r="E369" s="369"/>
      <c r="H369" s="372"/>
      <c r="I369" s="372"/>
    </row>
    <row r="370">
      <c r="D370" s="369"/>
      <c r="E370" s="369"/>
      <c r="H370" s="372"/>
      <c r="I370" s="372"/>
    </row>
    <row r="371">
      <c r="D371" s="369"/>
      <c r="E371" s="369"/>
      <c r="H371" s="372"/>
      <c r="I371" s="372"/>
    </row>
    <row r="372">
      <c r="D372" s="369"/>
      <c r="E372" s="369"/>
      <c r="H372" s="372"/>
      <c r="I372" s="372"/>
    </row>
    <row r="373">
      <c r="D373" s="369"/>
      <c r="E373" s="369"/>
      <c r="H373" s="372"/>
      <c r="I373" s="372"/>
    </row>
    <row r="374">
      <c r="D374" s="369"/>
      <c r="E374" s="369"/>
      <c r="H374" s="372"/>
      <c r="I374" s="372"/>
    </row>
    <row r="375">
      <c r="D375" s="369"/>
      <c r="E375" s="369"/>
      <c r="H375" s="372"/>
      <c r="I375" s="372"/>
    </row>
    <row r="376">
      <c r="D376" s="369"/>
      <c r="E376" s="369"/>
      <c r="H376" s="372"/>
      <c r="I376" s="372"/>
    </row>
    <row r="377">
      <c r="D377" s="369"/>
      <c r="E377" s="369"/>
      <c r="H377" s="372"/>
      <c r="I377" s="372"/>
    </row>
    <row r="378">
      <c r="D378" s="369"/>
      <c r="E378" s="369"/>
      <c r="H378" s="372"/>
      <c r="I378" s="372"/>
    </row>
    <row r="379">
      <c r="D379" s="369"/>
      <c r="E379" s="369"/>
      <c r="H379" s="372"/>
      <c r="I379" s="372"/>
    </row>
    <row r="380">
      <c r="D380" s="369"/>
      <c r="E380" s="369"/>
      <c r="H380" s="372"/>
      <c r="I380" s="372"/>
    </row>
    <row r="381">
      <c r="D381" s="369"/>
      <c r="E381" s="369"/>
      <c r="H381" s="372"/>
      <c r="I381" s="372"/>
    </row>
    <row r="382">
      <c r="D382" s="369"/>
      <c r="E382" s="369"/>
      <c r="H382" s="372"/>
      <c r="I382" s="372"/>
    </row>
    <row r="383">
      <c r="D383" s="369"/>
      <c r="E383" s="369"/>
      <c r="H383" s="372"/>
      <c r="I383" s="372"/>
    </row>
    <row r="384">
      <c r="D384" s="369"/>
      <c r="E384" s="369"/>
      <c r="H384" s="372"/>
      <c r="I384" s="372"/>
    </row>
    <row r="385">
      <c r="D385" s="369"/>
      <c r="E385" s="369"/>
      <c r="H385" s="372"/>
      <c r="I385" s="372"/>
    </row>
    <row r="386">
      <c r="D386" s="369"/>
      <c r="E386" s="369"/>
      <c r="H386" s="372"/>
      <c r="I386" s="372"/>
    </row>
    <row r="387">
      <c r="D387" s="369"/>
      <c r="E387" s="369"/>
      <c r="H387" s="372"/>
      <c r="I387" s="372"/>
    </row>
    <row r="388">
      <c r="D388" s="369"/>
      <c r="E388" s="369"/>
      <c r="H388" s="372"/>
      <c r="I388" s="372"/>
    </row>
    <row r="389">
      <c r="D389" s="369"/>
      <c r="E389" s="369"/>
      <c r="H389" s="372"/>
      <c r="I389" s="372"/>
    </row>
    <row r="390">
      <c r="D390" s="369"/>
      <c r="E390" s="369"/>
      <c r="H390" s="372"/>
      <c r="I390" s="372"/>
    </row>
    <row r="391">
      <c r="D391" s="369"/>
      <c r="E391" s="369"/>
      <c r="H391" s="372"/>
      <c r="I391" s="372"/>
    </row>
    <row r="392">
      <c r="D392" s="369"/>
      <c r="E392" s="369"/>
      <c r="H392" s="372"/>
      <c r="I392" s="372"/>
    </row>
    <row r="393">
      <c r="D393" s="369"/>
      <c r="E393" s="369"/>
      <c r="H393" s="372"/>
      <c r="I393" s="372"/>
    </row>
    <row r="394">
      <c r="D394" s="369"/>
      <c r="E394" s="369"/>
      <c r="H394" s="372"/>
      <c r="I394" s="372"/>
    </row>
    <row r="395">
      <c r="D395" s="369"/>
      <c r="E395" s="369"/>
      <c r="H395" s="372"/>
      <c r="I395" s="372"/>
    </row>
    <row r="396">
      <c r="D396" s="369"/>
      <c r="E396" s="369"/>
      <c r="H396" s="372"/>
      <c r="I396" s="372"/>
    </row>
    <row r="397">
      <c r="D397" s="369"/>
      <c r="E397" s="369"/>
      <c r="H397" s="372"/>
      <c r="I397" s="372"/>
    </row>
    <row r="398">
      <c r="D398" s="369"/>
      <c r="E398" s="369"/>
      <c r="H398" s="372"/>
      <c r="I398" s="372"/>
    </row>
    <row r="399">
      <c r="D399" s="369"/>
      <c r="E399" s="369"/>
      <c r="H399" s="372"/>
      <c r="I399" s="372"/>
    </row>
    <row r="400">
      <c r="D400" s="369"/>
      <c r="E400" s="369"/>
      <c r="H400" s="372"/>
      <c r="I400" s="372"/>
    </row>
    <row r="401">
      <c r="D401" s="369"/>
      <c r="E401" s="369"/>
      <c r="H401" s="372"/>
      <c r="I401" s="372"/>
    </row>
    <row r="402">
      <c r="D402" s="369"/>
      <c r="E402" s="369"/>
      <c r="H402" s="372"/>
      <c r="I402" s="372"/>
    </row>
    <row r="403">
      <c r="D403" s="369"/>
      <c r="E403" s="369"/>
      <c r="H403" s="372"/>
      <c r="I403" s="372"/>
    </row>
    <row r="404">
      <c r="D404" s="369"/>
      <c r="E404" s="369"/>
      <c r="H404" s="372"/>
      <c r="I404" s="372"/>
    </row>
    <row r="405">
      <c r="D405" s="369"/>
      <c r="E405" s="369"/>
      <c r="H405" s="372"/>
      <c r="I405" s="372"/>
    </row>
    <row r="406">
      <c r="D406" s="369"/>
      <c r="E406" s="369"/>
      <c r="H406" s="372"/>
      <c r="I406" s="372"/>
    </row>
    <row r="407">
      <c r="D407" s="369"/>
      <c r="E407" s="369"/>
      <c r="H407" s="372"/>
      <c r="I407" s="372"/>
    </row>
    <row r="408">
      <c r="D408" s="369"/>
      <c r="E408" s="369"/>
      <c r="H408" s="372"/>
      <c r="I408" s="372"/>
    </row>
    <row r="409">
      <c r="D409" s="369"/>
      <c r="E409" s="369"/>
      <c r="H409" s="372"/>
      <c r="I409" s="372"/>
    </row>
    <row r="410">
      <c r="D410" s="369"/>
      <c r="E410" s="369"/>
      <c r="H410" s="372"/>
      <c r="I410" s="372"/>
    </row>
    <row r="411">
      <c r="D411" s="369"/>
      <c r="E411" s="369"/>
      <c r="H411" s="372"/>
      <c r="I411" s="372"/>
    </row>
    <row r="412">
      <c r="D412" s="369"/>
      <c r="E412" s="369"/>
      <c r="H412" s="372"/>
      <c r="I412" s="372"/>
    </row>
    <row r="413">
      <c r="D413" s="369"/>
      <c r="E413" s="369"/>
      <c r="H413" s="372"/>
      <c r="I413" s="372"/>
    </row>
    <row r="414">
      <c r="D414" s="369"/>
      <c r="E414" s="369"/>
      <c r="H414" s="372"/>
      <c r="I414" s="372"/>
    </row>
    <row r="415">
      <c r="D415" s="369"/>
      <c r="E415" s="369"/>
      <c r="H415" s="372"/>
      <c r="I415" s="372"/>
    </row>
    <row r="416">
      <c r="D416" s="369"/>
      <c r="E416" s="369"/>
      <c r="H416" s="372"/>
      <c r="I416" s="372"/>
    </row>
    <row r="417">
      <c r="D417" s="369"/>
      <c r="E417" s="369"/>
      <c r="H417" s="372"/>
      <c r="I417" s="372"/>
    </row>
    <row r="418">
      <c r="D418" s="369"/>
      <c r="E418" s="369"/>
      <c r="H418" s="372"/>
      <c r="I418" s="372"/>
    </row>
    <row r="419">
      <c r="D419" s="369"/>
      <c r="E419" s="369"/>
      <c r="H419" s="372"/>
      <c r="I419" s="372"/>
    </row>
    <row r="420">
      <c r="D420" s="369"/>
      <c r="E420" s="369"/>
      <c r="H420" s="372"/>
      <c r="I420" s="372"/>
    </row>
    <row r="421">
      <c r="D421" s="369"/>
      <c r="E421" s="369"/>
      <c r="H421" s="372"/>
      <c r="I421" s="372"/>
    </row>
    <row r="422">
      <c r="D422" s="369"/>
      <c r="E422" s="369"/>
      <c r="H422" s="372"/>
      <c r="I422" s="372"/>
    </row>
    <row r="423">
      <c r="D423" s="369"/>
      <c r="E423" s="369"/>
      <c r="H423" s="372"/>
      <c r="I423" s="372"/>
    </row>
    <row r="424">
      <c r="D424" s="369"/>
      <c r="E424" s="369"/>
      <c r="H424" s="372"/>
      <c r="I424" s="372"/>
    </row>
    <row r="425">
      <c r="D425" s="369"/>
      <c r="E425" s="369"/>
      <c r="H425" s="372"/>
      <c r="I425" s="372"/>
    </row>
    <row r="426">
      <c r="D426" s="369"/>
      <c r="E426" s="369"/>
      <c r="H426" s="372"/>
      <c r="I426" s="372"/>
    </row>
    <row r="427">
      <c r="D427" s="369"/>
      <c r="E427" s="369"/>
      <c r="H427" s="372"/>
      <c r="I427" s="372"/>
    </row>
    <row r="428">
      <c r="D428" s="369"/>
      <c r="E428" s="369"/>
      <c r="H428" s="372"/>
      <c r="I428" s="372"/>
    </row>
    <row r="429">
      <c r="D429" s="369"/>
      <c r="E429" s="369"/>
      <c r="H429" s="372"/>
      <c r="I429" s="372"/>
    </row>
    <row r="430">
      <c r="D430" s="369"/>
      <c r="E430" s="369"/>
      <c r="H430" s="372"/>
      <c r="I430" s="372"/>
    </row>
    <row r="431">
      <c r="D431" s="369"/>
      <c r="E431" s="369"/>
      <c r="H431" s="372"/>
      <c r="I431" s="372"/>
    </row>
    <row r="432">
      <c r="D432" s="369"/>
      <c r="E432" s="369"/>
      <c r="H432" s="372"/>
      <c r="I432" s="372"/>
    </row>
    <row r="433">
      <c r="D433" s="369"/>
      <c r="E433" s="369"/>
      <c r="H433" s="372"/>
      <c r="I433" s="372"/>
    </row>
    <row r="434">
      <c r="D434" s="369"/>
      <c r="E434" s="369"/>
      <c r="H434" s="372"/>
      <c r="I434" s="372"/>
    </row>
    <row r="435">
      <c r="D435" s="369"/>
      <c r="E435" s="369"/>
      <c r="H435" s="372"/>
      <c r="I435" s="372"/>
    </row>
    <row r="436">
      <c r="D436" s="369"/>
      <c r="E436" s="369"/>
      <c r="H436" s="372"/>
      <c r="I436" s="372"/>
    </row>
    <row r="437">
      <c r="D437" s="369"/>
      <c r="E437" s="369"/>
      <c r="H437" s="372"/>
      <c r="I437" s="372"/>
    </row>
    <row r="438">
      <c r="D438" s="369"/>
      <c r="E438" s="369"/>
      <c r="H438" s="372"/>
      <c r="I438" s="372"/>
    </row>
    <row r="439">
      <c r="D439" s="369"/>
      <c r="E439" s="369"/>
      <c r="H439" s="372"/>
      <c r="I439" s="372"/>
    </row>
    <row r="440">
      <c r="D440" s="369"/>
      <c r="E440" s="369"/>
      <c r="H440" s="372"/>
      <c r="I440" s="372"/>
    </row>
    <row r="441">
      <c r="D441" s="369"/>
      <c r="E441" s="369"/>
      <c r="H441" s="372"/>
      <c r="I441" s="372"/>
    </row>
    <row r="442">
      <c r="D442" s="369"/>
      <c r="E442" s="369"/>
      <c r="H442" s="372"/>
      <c r="I442" s="372"/>
    </row>
    <row r="443">
      <c r="D443" s="369"/>
      <c r="E443" s="369"/>
      <c r="H443" s="372"/>
      <c r="I443" s="372"/>
    </row>
    <row r="444">
      <c r="D444" s="369"/>
      <c r="E444" s="369"/>
      <c r="H444" s="372"/>
      <c r="I444" s="372"/>
    </row>
    <row r="445">
      <c r="D445" s="369"/>
      <c r="E445" s="369"/>
      <c r="H445" s="372"/>
      <c r="I445" s="372"/>
    </row>
    <row r="446">
      <c r="D446" s="369"/>
      <c r="E446" s="369"/>
      <c r="H446" s="372"/>
      <c r="I446" s="372"/>
    </row>
    <row r="447">
      <c r="D447" s="369"/>
      <c r="E447" s="369"/>
      <c r="H447" s="372"/>
      <c r="I447" s="372"/>
    </row>
    <row r="448">
      <c r="D448" s="369"/>
      <c r="E448" s="369"/>
      <c r="H448" s="372"/>
      <c r="I448" s="372"/>
    </row>
    <row r="449">
      <c r="D449" s="369"/>
      <c r="E449" s="369"/>
      <c r="H449" s="372"/>
      <c r="I449" s="372"/>
    </row>
    <row r="450">
      <c r="D450" s="369"/>
      <c r="E450" s="369"/>
      <c r="H450" s="372"/>
      <c r="I450" s="372"/>
    </row>
    <row r="451">
      <c r="D451" s="369"/>
      <c r="E451" s="369"/>
      <c r="H451" s="372"/>
      <c r="I451" s="372"/>
    </row>
    <row r="452">
      <c r="D452" s="369"/>
      <c r="E452" s="369"/>
      <c r="H452" s="372"/>
      <c r="I452" s="372"/>
    </row>
    <row r="453">
      <c r="D453" s="369"/>
      <c r="E453" s="369"/>
      <c r="H453" s="372"/>
      <c r="I453" s="372"/>
    </row>
    <row r="454">
      <c r="D454" s="369"/>
      <c r="E454" s="369"/>
      <c r="H454" s="372"/>
      <c r="I454" s="372"/>
    </row>
    <row r="455">
      <c r="D455" s="369"/>
      <c r="E455" s="369"/>
      <c r="H455" s="372"/>
      <c r="I455" s="372"/>
    </row>
    <row r="456">
      <c r="D456" s="369"/>
      <c r="E456" s="369"/>
      <c r="H456" s="372"/>
      <c r="I456" s="372"/>
    </row>
    <row r="457">
      <c r="D457" s="369"/>
      <c r="E457" s="369"/>
      <c r="H457" s="372"/>
      <c r="I457" s="372"/>
    </row>
    <row r="458">
      <c r="D458" s="369"/>
      <c r="E458" s="369"/>
      <c r="H458" s="372"/>
      <c r="I458" s="372"/>
    </row>
    <row r="459">
      <c r="D459" s="369"/>
      <c r="E459" s="369"/>
      <c r="H459" s="372"/>
      <c r="I459" s="372"/>
    </row>
    <row r="460">
      <c r="D460" s="369"/>
      <c r="E460" s="369"/>
      <c r="H460" s="372"/>
      <c r="I460" s="372"/>
    </row>
    <row r="461">
      <c r="D461" s="369"/>
      <c r="E461" s="369"/>
      <c r="H461" s="372"/>
      <c r="I461" s="372"/>
    </row>
    <row r="462">
      <c r="D462" s="369"/>
      <c r="E462" s="369"/>
      <c r="H462" s="372"/>
      <c r="I462" s="372"/>
    </row>
    <row r="463">
      <c r="D463" s="369"/>
      <c r="E463" s="369"/>
      <c r="H463" s="372"/>
      <c r="I463" s="372"/>
    </row>
    <row r="464">
      <c r="D464" s="369"/>
      <c r="E464" s="369"/>
      <c r="H464" s="372"/>
      <c r="I464" s="372"/>
    </row>
    <row r="465">
      <c r="D465" s="369"/>
      <c r="E465" s="369"/>
      <c r="H465" s="372"/>
      <c r="I465" s="372"/>
    </row>
    <row r="466">
      <c r="D466" s="369"/>
      <c r="E466" s="369"/>
      <c r="H466" s="372"/>
      <c r="I466" s="372"/>
    </row>
    <row r="467">
      <c r="D467" s="369"/>
      <c r="E467" s="369"/>
      <c r="H467" s="372"/>
      <c r="I467" s="372"/>
    </row>
    <row r="468">
      <c r="D468" s="369"/>
      <c r="E468" s="369"/>
      <c r="H468" s="372"/>
      <c r="I468" s="372"/>
    </row>
    <row r="469">
      <c r="D469" s="369"/>
      <c r="E469" s="369"/>
      <c r="H469" s="372"/>
      <c r="I469" s="372"/>
    </row>
    <row r="470">
      <c r="D470" s="369"/>
      <c r="E470" s="369"/>
      <c r="H470" s="372"/>
      <c r="I470" s="372"/>
    </row>
    <row r="471">
      <c r="D471" s="369"/>
      <c r="E471" s="369"/>
      <c r="H471" s="372"/>
      <c r="I471" s="372"/>
    </row>
    <row r="472">
      <c r="D472" s="369"/>
      <c r="E472" s="369"/>
      <c r="H472" s="372"/>
      <c r="I472" s="372"/>
    </row>
    <row r="473">
      <c r="D473" s="369"/>
      <c r="E473" s="369"/>
      <c r="H473" s="372"/>
      <c r="I473" s="372"/>
    </row>
    <row r="474">
      <c r="D474" s="369"/>
      <c r="E474" s="369"/>
      <c r="H474" s="372"/>
      <c r="I474" s="372"/>
    </row>
    <row r="475">
      <c r="D475" s="369"/>
      <c r="E475" s="369"/>
      <c r="H475" s="372"/>
      <c r="I475" s="372"/>
    </row>
    <row r="476">
      <c r="D476" s="369"/>
      <c r="E476" s="369"/>
      <c r="H476" s="372"/>
      <c r="I476" s="372"/>
    </row>
    <row r="477">
      <c r="D477" s="369"/>
      <c r="E477" s="369"/>
      <c r="H477" s="372"/>
      <c r="I477" s="372"/>
    </row>
    <row r="478">
      <c r="D478" s="369"/>
      <c r="E478" s="369"/>
      <c r="H478" s="372"/>
      <c r="I478" s="372"/>
    </row>
    <row r="479">
      <c r="D479" s="369"/>
      <c r="E479" s="369"/>
      <c r="H479" s="372"/>
      <c r="I479" s="372"/>
    </row>
    <row r="480">
      <c r="D480" s="369"/>
      <c r="E480" s="369"/>
      <c r="H480" s="372"/>
      <c r="I480" s="372"/>
    </row>
    <row r="481">
      <c r="D481" s="369"/>
      <c r="E481" s="369"/>
      <c r="H481" s="372"/>
      <c r="I481" s="372"/>
    </row>
    <row r="482">
      <c r="D482" s="369"/>
      <c r="E482" s="369"/>
      <c r="H482" s="372"/>
      <c r="I482" s="372"/>
    </row>
    <row r="483">
      <c r="D483" s="369"/>
      <c r="E483" s="369"/>
      <c r="H483" s="372"/>
      <c r="I483" s="372"/>
    </row>
    <row r="484">
      <c r="D484" s="369"/>
      <c r="E484" s="369"/>
      <c r="H484" s="372"/>
      <c r="I484" s="372"/>
    </row>
    <row r="485">
      <c r="D485" s="369"/>
      <c r="E485" s="369"/>
      <c r="H485" s="372"/>
      <c r="I485" s="372"/>
    </row>
    <row r="486">
      <c r="D486" s="369"/>
      <c r="E486" s="369"/>
      <c r="H486" s="372"/>
      <c r="I486" s="372"/>
    </row>
    <row r="487">
      <c r="D487" s="369"/>
      <c r="E487" s="369"/>
      <c r="H487" s="372"/>
      <c r="I487" s="372"/>
    </row>
    <row r="488">
      <c r="D488" s="369"/>
      <c r="E488" s="369"/>
      <c r="H488" s="372"/>
      <c r="I488" s="372"/>
    </row>
    <row r="489">
      <c r="D489" s="369"/>
      <c r="E489" s="369"/>
      <c r="H489" s="372"/>
      <c r="I489" s="372"/>
    </row>
    <row r="490">
      <c r="D490" s="369"/>
      <c r="E490" s="369"/>
      <c r="H490" s="372"/>
      <c r="I490" s="372"/>
    </row>
    <row r="491">
      <c r="D491" s="369"/>
      <c r="E491" s="369"/>
      <c r="H491" s="372"/>
      <c r="I491" s="372"/>
    </row>
    <row r="492">
      <c r="D492" s="369"/>
      <c r="E492" s="369"/>
      <c r="H492" s="372"/>
      <c r="I492" s="372"/>
    </row>
    <row r="493">
      <c r="D493" s="369"/>
      <c r="E493" s="369"/>
      <c r="H493" s="372"/>
      <c r="I493" s="372"/>
    </row>
    <row r="494">
      <c r="D494" s="369"/>
      <c r="E494" s="369"/>
      <c r="H494" s="372"/>
      <c r="I494" s="372"/>
    </row>
    <row r="495">
      <c r="D495" s="369"/>
      <c r="E495" s="369"/>
      <c r="H495" s="372"/>
      <c r="I495" s="372"/>
    </row>
    <row r="496">
      <c r="D496" s="369"/>
      <c r="E496" s="369"/>
      <c r="H496" s="372"/>
      <c r="I496" s="372"/>
    </row>
    <row r="497">
      <c r="D497" s="369"/>
      <c r="E497" s="369"/>
      <c r="H497" s="372"/>
      <c r="I497" s="372"/>
    </row>
    <row r="498">
      <c r="D498" s="369"/>
      <c r="E498" s="369"/>
      <c r="H498" s="372"/>
      <c r="I498" s="372"/>
    </row>
    <row r="499">
      <c r="D499" s="369"/>
      <c r="E499" s="369"/>
      <c r="H499" s="372"/>
      <c r="I499" s="372"/>
    </row>
    <row r="500">
      <c r="D500" s="369"/>
      <c r="E500" s="369"/>
      <c r="H500" s="372"/>
      <c r="I500" s="372"/>
    </row>
    <row r="501">
      <c r="D501" s="369"/>
      <c r="E501" s="369"/>
      <c r="H501" s="372"/>
      <c r="I501" s="372"/>
    </row>
    <row r="502">
      <c r="D502" s="369"/>
      <c r="E502" s="369"/>
      <c r="H502" s="372"/>
      <c r="I502" s="372"/>
    </row>
    <row r="503">
      <c r="D503" s="369"/>
      <c r="E503" s="369"/>
      <c r="H503" s="372"/>
      <c r="I503" s="372"/>
    </row>
    <row r="504">
      <c r="D504" s="369"/>
      <c r="E504" s="369"/>
      <c r="H504" s="372"/>
      <c r="I504" s="372"/>
    </row>
    <row r="505">
      <c r="D505" s="369"/>
      <c r="E505" s="369"/>
      <c r="H505" s="372"/>
      <c r="I505" s="372"/>
    </row>
    <row r="506">
      <c r="D506" s="369"/>
      <c r="E506" s="369"/>
      <c r="H506" s="372"/>
      <c r="I506" s="372"/>
    </row>
    <row r="507">
      <c r="D507" s="369"/>
      <c r="E507" s="369"/>
      <c r="H507" s="372"/>
      <c r="I507" s="372"/>
    </row>
    <row r="508">
      <c r="D508" s="369"/>
      <c r="E508" s="369"/>
      <c r="H508" s="372"/>
      <c r="I508" s="372"/>
    </row>
    <row r="509">
      <c r="D509" s="369"/>
      <c r="E509" s="369"/>
      <c r="H509" s="372"/>
      <c r="I509" s="372"/>
    </row>
    <row r="510">
      <c r="D510" s="369"/>
      <c r="E510" s="369"/>
      <c r="H510" s="372"/>
      <c r="I510" s="372"/>
    </row>
    <row r="511">
      <c r="D511" s="369"/>
      <c r="E511" s="369"/>
      <c r="H511" s="372"/>
      <c r="I511" s="372"/>
    </row>
    <row r="512">
      <c r="D512" s="369"/>
      <c r="E512" s="369"/>
      <c r="H512" s="372"/>
      <c r="I512" s="372"/>
    </row>
    <row r="513">
      <c r="D513" s="369"/>
      <c r="E513" s="369"/>
      <c r="H513" s="372"/>
      <c r="I513" s="372"/>
    </row>
    <row r="514">
      <c r="D514" s="369"/>
      <c r="E514" s="369"/>
      <c r="H514" s="372"/>
      <c r="I514" s="372"/>
    </row>
    <row r="515">
      <c r="D515" s="369"/>
      <c r="E515" s="369"/>
      <c r="H515" s="372"/>
      <c r="I515" s="372"/>
    </row>
    <row r="516">
      <c r="D516" s="369"/>
      <c r="E516" s="369"/>
      <c r="H516" s="372"/>
      <c r="I516" s="372"/>
    </row>
    <row r="517">
      <c r="D517" s="369"/>
      <c r="E517" s="369"/>
      <c r="H517" s="372"/>
      <c r="I517" s="372"/>
    </row>
    <row r="518">
      <c r="D518" s="369"/>
      <c r="E518" s="369"/>
      <c r="H518" s="372"/>
      <c r="I518" s="372"/>
    </row>
    <row r="519">
      <c r="D519" s="369"/>
      <c r="E519" s="369"/>
      <c r="H519" s="372"/>
      <c r="I519" s="372"/>
    </row>
    <row r="520">
      <c r="D520" s="369"/>
      <c r="E520" s="369"/>
      <c r="H520" s="372"/>
      <c r="I520" s="372"/>
    </row>
    <row r="521">
      <c r="D521" s="369"/>
      <c r="E521" s="369"/>
      <c r="H521" s="372"/>
      <c r="I521" s="372"/>
    </row>
    <row r="522">
      <c r="D522" s="369"/>
      <c r="E522" s="369"/>
      <c r="H522" s="372"/>
      <c r="I522" s="372"/>
    </row>
    <row r="523">
      <c r="D523" s="369"/>
      <c r="E523" s="369"/>
      <c r="H523" s="372"/>
      <c r="I523" s="372"/>
    </row>
    <row r="524">
      <c r="D524" s="369"/>
      <c r="E524" s="369"/>
      <c r="H524" s="372"/>
      <c r="I524" s="372"/>
    </row>
    <row r="525">
      <c r="D525" s="369"/>
      <c r="E525" s="369"/>
      <c r="H525" s="372"/>
      <c r="I525" s="372"/>
    </row>
    <row r="526">
      <c r="D526" s="369"/>
      <c r="E526" s="369"/>
      <c r="H526" s="372"/>
      <c r="I526" s="372"/>
    </row>
    <row r="527">
      <c r="D527" s="369"/>
      <c r="E527" s="369"/>
      <c r="H527" s="372"/>
      <c r="I527" s="372"/>
    </row>
    <row r="528">
      <c r="D528" s="369"/>
      <c r="E528" s="369"/>
      <c r="H528" s="372"/>
      <c r="I528" s="372"/>
    </row>
    <row r="529">
      <c r="D529" s="369"/>
      <c r="E529" s="369"/>
      <c r="H529" s="372"/>
      <c r="I529" s="372"/>
    </row>
    <row r="530">
      <c r="D530" s="369"/>
      <c r="E530" s="369"/>
      <c r="H530" s="372"/>
      <c r="I530" s="372"/>
    </row>
    <row r="531">
      <c r="D531" s="369"/>
      <c r="E531" s="369"/>
      <c r="H531" s="372"/>
      <c r="I531" s="372"/>
    </row>
    <row r="532">
      <c r="D532" s="369"/>
      <c r="E532" s="369"/>
      <c r="H532" s="372"/>
      <c r="I532" s="372"/>
    </row>
    <row r="533">
      <c r="D533" s="369"/>
      <c r="E533" s="369"/>
      <c r="H533" s="372"/>
      <c r="I533" s="372"/>
    </row>
    <row r="534">
      <c r="D534" s="369"/>
      <c r="E534" s="369"/>
      <c r="H534" s="372"/>
      <c r="I534" s="372"/>
    </row>
    <row r="535">
      <c r="D535" s="369"/>
      <c r="E535" s="369"/>
      <c r="H535" s="372"/>
      <c r="I535" s="372"/>
    </row>
    <row r="536">
      <c r="D536" s="369"/>
      <c r="E536" s="369"/>
      <c r="H536" s="372"/>
      <c r="I536" s="372"/>
    </row>
    <row r="537">
      <c r="D537" s="369"/>
      <c r="E537" s="369"/>
      <c r="H537" s="372"/>
      <c r="I537" s="372"/>
    </row>
    <row r="538">
      <c r="D538" s="369"/>
      <c r="E538" s="369"/>
      <c r="H538" s="372"/>
      <c r="I538" s="372"/>
    </row>
    <row r="539">
      <c r="D539" s="369"/>
      <c r="E539" s="369"/>
      <c r="H539" s="372"/>
      <c r="I539" s="372"/>
    </row>
    <row r="540">
      <c r="D540" s="369"/>
      <c r="E540" s="369"/>
      <c r="H540" s="372"/>
      <c r="I540" s="372"/>
    </row>
    <row r="541">
      <c r="D541" s="369"/>
      <c r="E541" s="369"/>
      <c r="H541" s="372"/>
      <c r="I541" s="372"/>
    </row>
    <row r="542">
      <c r="D542" s="369"/>
      <c r="E542" s="369"/>
      <c r="H542" s="372"/>
      <c r="I542" s="372"/>
    </row>
    <row r="543">
      <c r="D543" s="369"/>
      <c r="E543" s="369"/>
      <c r="H543" s="372"/>
      <c r="I543" s="372"/>
    </row>
    <row r="544">
      <c r="D544" s="369"/>
      <c r="E544" s="369"/>
      <c r="H544" s="372"/>
      <c r="I544" s="372"/>
    </row>
    <row r="545">
      <c r="D545" s="369"/>
      <c r="E545" s="369"/>
      <c r="H545" s="372"/>
      <c r="I545" s="372"/>
    </row>
    <row r="546">
      <c r="D546" s="369"/>
      <c r="E546" s="369"/>
      <c r="H546" s="372"/>
      <c r="I546" s="372"/>
    </row>
    <row r="547">
      <c r="D547" s="369"/>
      <c r="E547" s="369"/>
      <c r="H547" s="372"/>
      <c r="I547" s="372"/>
    </row>
    <row r="548">
      <c r="D548" s="369"/>
      <c r="E548" s="369"/>
      <c r="H548" s="372"/>
      <c r="I548" s="372"/>
    </row>
    <row r="549">
      <c r="D549" s="369"/>
      <c r="E549" s="369"/>
      <c r="H549" s="372"/>
      <c r="I549" s="372"/>
    </row>
    <row r="550">
      <c r="D550" s="369"/>
      <c r="E550" s="369"/>
      <c r="H550" s="372"/>
      <c r="I550" s="372"/>
    </row>
    <row r="551">
      <c r="D551" s="369"/>
      <c r="E551" s="369"/>
      <c r="H551" s="372"/>
      <c r="I551" s="372"/>
    </row>
    <row r="552">
      <c r="D552" s="369"/>
      <c r="E552" s="369"/>
      <c r="H552" s="372"/>
      <c r="I552" s="372"/>
    </row>
    <row r="553">
      <c r="D553" s="369"/>
      <c r="E553" s="369"/>
      <c r="H553" s="372"/>
      <c r="I553" s="372"/>
    </row>
    <row r="554">
      <c r="D554" s="369"/>
      <c r="E554" s="369"/>
      <c r="H554" s="372"/>
      <c r="I554" s="372"/>
    </row>
    <row r="555">
      <c r="D555" s="369"/>
      <c r="E555" s="369"/>
      <c r="H555" s="372"/>
      <c r="I555" s="372"/>
    </row>
    <row r="556">
      <c r="D556" s="369"/>
      <c r="E556" s="369"/>
      <c r="H556" s="372"/>
      <c r="I556" s="372"/>
    </row>
    <row r="557">
      <c r="D557" s="369"/>
      <c r="E557" s="369"/>
      <c r="H557" s="372"/>
      <c r="I557" s="372"/>
    </row>
    <row r="558">
      <c r="D558" s="369"/>
      <c r="E558" s="369"/>
      <c r="H558" s="372"/>
      <c r="I558" s="372"/>
    </row>
    <row r="559">
      <c r="D559" s="369"/>
      <c r="E559" s="369"/>
      <c r="H559" s="372"/>
      <c r="I559" s="372"/>
    </row>
    <row r="560">
      <c r="D560" s="369"/>
      <c r="E560" s="369"/>
      <c r="H560" s="372"/>
      <c r="I560" s="372"/>
    </row>
    <row r="561">
      <c r="D561" s="369"/>
      <c r="E561" s="369"/>
      <c r="H561" s="372"/>
      <c r="I561" s="372"/>
    </row>
    <row r="562">
      <c r="D562" s="369"/>
      <c r="E562" s="369"/>
      <c r="H562" s="372"/>
      <c r="I562" s="372"/>
    </row>
    <row r="563">
      <c r="D563" s="369"/>
      <c r="E563" s="369"/>
      <c r="H563" s="372"/>
      <c r="I563" s="372"/>
    </row>
    <row r="564">
      <c r="D564" s="369"/>
      <c r="E564" s="369"/>
      <c r="H564" s="372"/>
      <c r="I564" s="372"/>
    </row>
    <row r="565">
      <c r="D565" s="369"/>
      <c r="E565" s="369"/>
      <c r="H565" s="372"/>
      <c r="I565" s="372"/>
    </row>
    <row r="566">
      <c r="D566" s="369"/>
      <c r="E566" s="369"/>
      <c r="H566" s="372"/>
      <c r="I566" s="372"/>
    </row>
    <row r="567">
      <c r="D567" s="369"/>
      <c r="E567" s="369"/>
      <c r="H567" s="372"/>
      <c r="I567" s="372"/>
    </row>
    <row r="568">
      <c r="D568" s="369"/>
      <c r="E568" s="369"/>
      <c r="H568" s="372"/>
      <c r="I568" s="372"/>
    </row>
    <row r="569">
      <c r="D569" s="369"/>
      <c r="E569" s="369"/>
      <c r="H569" s="372"/>
      <c r="I569" s="372"/>
    </row>
    <row r="570">
      <c r="D570" s="369"/>
      <c r="E570" s="369"/>
      <c r="H570" s="372"/>
      <c r="I570" s="372"/>
    </row>
    <row r="571">
      <c r="D571" s="369"/>
      <c r="E571" s="369"/>
      <c r="H571" s="372"/>
      <c r="I571" s="372"/>
    </row>
    <row r="572">
      <c r="D572" s="369"/>
      <c r="E572" s="369"/>
      <c r="H572" s="372"/>
      <c r="I572" s="372"/>
    </row>
    <row r="573">
      <c r="D573" s="369"/>
      <c r="E573" s="369"/>
      <c r="H573" s="372"/>
      <c r="I573" s="372"/>
    </row>
    <row r="574">
      <c r="D574" s="369"/>
      <c r="E574" s="369"/>
      <c r="H574" s="372"/>
      <c r="I574" s="372"/>
    </row>
    <row r="575">
      <c r="D575" s="369"/>
      <c r="E575" s="369"/>
      <c r="H575" s="372"/>
      <c r="I575" s="372"/>
    </row>
    <row r="576">
      <c r="D576" s="369"/>
      <c r="E576" s="369"/>
      <c r="H576" s="372"/>
      <c r="I576" s="372"/>
    </row>
    <row r="577">
      <c r="D577" s="369"/>
      <c r="E577" s="369"/>
      <c r="H577" s="372"/>
      <c r="I577" s="372"/>
    </row>
    <row r="578">
      <c r="D578" s="369"/>
      <c r="E578" s="369"/>
      <c r="H578" s="372"/>
      <c r="I578" s="372"/>
    </row>
    <row r="579">
      <c r="D579" s="369"/>
      <c r="E579" s="369"/>
      <c r="H579" s="372"/>
      <c r="I579" s="372"/>
    </row>
    <row r="580">
      <c r="D580" s="369"/>
      <c r="E580" s="369"/>
      <c r="H580" s="372"/>
      <c r="I580" s="372"/>
    </row>
    <row r="581">
      <c r="D581" s="369"/>
      <c r="E581" s="369"/>
      <c r="H581" s="372"/>
      <c r="I581" s="372"/>
    </row>
    <row r="582">
      <c r="D582" s="369"/>
      <c r="E582" s="369"/>
      <c r="H582" s="372"/>
      <c r="I582" s="372"/>
    </row>
    <row r="583">
      <c r="D583" s="369"/>
      <c r="E583" s="369"/>
      <c r="H583" s="372"/>
      <c r="I583" s="372"/>
    </row>
    <row r="584">
      <c r="D584" s="369"/>
      <c r="E584" s="369"/>
      <c r="H584" s="372"/>
      <c r="I584" s="372"/>
    </row>
    <row r="585">
      <c r="D585" s="369"/>
      <c r="E585" s="369"/>
      <c r="H585" s="372"/>
      <c r="I585" s="372"/>
    </row>
    <row r="586">
      <c r="D586" s="369"/>
      <c r="E586" s="369"/>
      <c r="H586" s="372"/>
      <c r="I586" s="372"/>
    </row>
    <row r="587">
      <c r="D587" s="369"/>
      <c r="E587" s="369"/>
      <c r="H587" s="372"/>
      <c r="I587" s="372"/>
    </row>
    <row r="588">
      <c r="D588" s="369"/>
      <c r="E588" s="369"/>
      <c r="H588" s="372"/>
      <c r="I588" s="372"/>
    </row>
    <row r="589">
      <c r="D589" s="369"/>
      <c r="E589" s="369"/>
      <c r="H589" s="372"/>
      <c r="I589" s="372"/>
    </row>
    <row r="590">
      <c r="D590" s="369"/>
      <c r="E590" s="369"/>
      <c r="H590" s="372"/>
      <c r="I590" s="372"/>
    </row>
    <row r="591">
      <c r="D591" s="369"/>
      <c r="E591" s="369"/>
      <c r="H591" s="372"/>
      <c r="I591" s="372"/>
    </row>
    <row r="592">
      <c r="D592" s="369"/>
      <c r="E592" s="369"/>
      <c r="H592" s="372"/>
      <c r="I592" s="372"/>
    </row>
    <row r="593">
      <c r="D593" s="369"/>
      <c r="E593" s="369"/>
      <c r="H593" s="372"/>
      <c r="I593" s="372"/>
    </row>
    <row r="594">
      <c r="D594" s="369"/>
      <c r="E594" s="369"/>
      <c r="H594" s="372"/>
      <c r="I594" s="372"/>
    </row>
    <row r="595">
      <c r="D595" s="369"/>
      <c r="E595" s="369"/>
      <c r="H595" s="372"/>
      <c r="I595" s="372"/>
    </row>
    <row r="596">
      <c r="D596" s="369"/>
      <c r="E596" s="369"/>
      <c r="H596" s="372"/>
      <c r="I596" s="372"/>
    </row>
    <row r="597">
      <c r="D597" s="369"/>
      <c r="E597" s="369"/>
      <c r="H597" s="372"/>
      <c r="I597" s="372"/>
    </row>
    <row r="598">
      <c r="D598" s="369"/>
      <c r="E598" s="369"/>
      <c r="H598" s="372"/>
      <c r="I598" s="372"/>
    </row>
    <row r="599">
      <c r="D599" s="369"/>
      <c r="E599" s="369"/>
      <c r="H599" s="372"/>
      <c r="I599" s="372"/>
    </row>
    <row r="600">
      <c r="D600" s="369"/>
      <c r="E600" s="369"/>
      <c r="H600" s="372"/>
      <c r="I600" s="372"/>
    </row>
    <row r="601">
      <c r="D601" s="369"/>
      <c r="E601" s="369"/>
      <c r="H601" s="372"/>
      <c r="I601" s="372"/>
    </row>
    <row r="602">
      <c r="D602" s="369"/>
      <c r="E602" s="369"/>
      <c r="H602" s="372"/>
      <c r="I602" s="372"/>
    </row>
    <row r="603">
      <c r="D603" s="369"/>
      <c r="E603" s="369"/>
      <c r="H603" s="372"/>
      <c r="I603" s="372"/>
    </row>
    <row r="604">
      <c r="D604" s="369"/>
      <c r="E604" s="369"/>
      <c r="H604" s="372"/>
      <c r="I604" s="372"/>
    </row>
    <row r="605">
      <c r="D605" s="369"/>
      <c r="E605" s="369"/>
      <c r="H605" s="372"/>
      <c r="I605" s="372"/>
    </row>
    <row r="606">
      <c r="D606" s="369"/>
      <c r="E606" s="369"/>
      <c r="H606" s="372"/>
      <c r="I606" s="372"/>
    </row>
    <row r="607">
      <c r="D607" s="369"/>
      <c r="E607" s="369"/>
      <c r="H607" s="372"/>
      <c r="I607" s="372"/>
    </row>
    <row r="608">
      <c r="D608" s="369"/>
      <c r="E608" s="369"/>
      <c r="H608" s="372"/>
      <c r="I608" s="372"/>
    </row>
    <row r="609">
      <c r="D609" s="369"/>
      <c r="E609" s="369"/>
      <c r="H609" s="372"/>
      <c r="I609" s="372"/>
    </row>
    <row r="610">
      <c r="D610" s="369"/>
      <c r="E610" s="369"/>
      <c r="H610" s="372"/>
      <c r="I610" s="372"/>
    </row>
    <row r="611">
      <c r="D611" s="369"/>
      <c r="E611" s="369"/>
      <c r="H611" s="372"/>
      <c r="I611" s="372"/>
    </row>
    <row r="612">
      <c r="D612" s="369"/>
      <c r="E612" s="369"/>
      <c r="H612" s="372"/>
      <c r="I612" s="372"/>
    </row>
    <row r="613">
      <c r="D613" s="369"/>
      <c r="E613" s="369"/>
      <c r="H613" s="372"/>
      <c r="I613" s="372"/>
    </row>
    <row r="614">
      <c r="D614" s="369"/>
      <c r="E614" s="369"/>
      <c r="H614" s="372"/>
      <c r="I614" s="372"/>
    </row>
    <row r="615">
      <c r="D615" s="369"/>
      <c r="E615" s="369"/>
      <c r="H615" s="372"/>
      <c r="I615" s="372"/>
    </row>
    <row r="616">
      <c r="D616" s="369"/>
      <c r="E616" s="369"/>
      <c r="H616" s="372"/>
      <c r="I616" s="372"/>
    </row>
    <row r="617">
      <c r="D617" s="369"/>
      <c r="E617" s="369"/>
      <c r="H617" s="372"/>
      <c r="I617" s="372"/>
    </row>
    <row r="618">
      <c r="D618" s="369"/>
      <c r="E618" s="369"/>
      <c r="H618" s="372"/>
      <c r="I618" s="372"/>
    </row>
    <row r="619">
      <c r="D619" s="369"/>
      <c r="E619" s="369"/>
      <c r="H619" s="372"/>
      <c r="I619" s="372"/>
    </row>
    <row r="620">
      <c r="D620" s="369"/>
      <c r="E620" s="369"/>
      <c r="H620" s="372"/>
      <c r="I620" s="372"/>
    </row>
    <row r="621">
      <c r="D621" s="369"/>
      <c r="E621" s="369"/>
      <c r="H621" s="372"/>
      <c r="I621" s="372"/>
    </row>
    <row r="622">
      <c r="D622" s="369"/>
      <c r="E622" s="369"/>
      <c r="H622" s="372"/>
      <c r="I622" s="372"/>
    </row>
    <row r="623">
      <c r="D623" s="369"/>
      <c r="E623" s="369"/>
      <c r="H623" s="372"/>
      <c r="I623" s="372"/>
    </row>
    <row r="624">
      <c r="D624" s="369"/>
      <c r="E624" s="369"/>
      <c r="H624" s="372"/>
      <c r="I624" s="372"/>
    </row>
    <row r="625">
      <c r="D625" s="369"/>
      <c r="E625" s="369"/>
      <c r="H625" s="372"/>
      <c r="I625" s="372"/>
    </row>
    <row r="626">
      <c r="D626" s="369"/>
      <c r="E626" s="369"/>
      <c r="H626" s="372"/>
      <c r="I626" s="372"/>
    </row>
    <row r="627">
      <c r="D627" s="369"/>
      <c r="E627" s="369"/>
      <c r="H627" s="372"/>
      <c r="I627" s="372"/>
    </row>
    <row r="628">
      <c r="D628" s="369"/>
      <c r="E628" s="369"/>
      <c r="H628" s="372"/>
      <c r="I628" s="372"/>
    </row>
    <row r="629">
      <c r="D629" s="369"/>
      <c r="E629" s="369"/>
      <c r="H629" s="372"/>
      <c r="I629" s="372"/>
    </row>
    <row r="630">
      <c r="D630" s="369"/>
      <c r="E630" s="369"/>
      <c r="H630" s="372"/>
      <c r="I630" s="372"/>
    </row>
    <row r="631">
      <c r="D631" s="369"/>
      <c r="E631" s="369"/>
      <c r="H631" s="372"/>
      <c r="I631" s="372"/>
    </row>
    <row r="632">
      <c r="D632" s="369"/>
      <c r="E632" s="369"/>
      <c r="H632" s="372"/>
      <c r="I632" s="372"/>
    </row>
    <row r="633">
      <c r="D633" s="369"/>
      <c r="E633" s="369"/>
      <c r="H633" s="372"/>
      <c r="I633" s="372"/>
    </row>
    <row r="634">
      <c r="D634" s="369"/>
      <c r="E634" s="369"/>
      <c r="H634" s="372"/>
      <c r="I634" s="372"/>
    </row>
    <row r="635">
      <c r="D635" s="369"/>
      <c r="E635" s="369"/>
      <c r="H635" s="372"/>
      <c r="I635" s="372"/>
    </row>
    <row r="636">
      <c r="D636" s="369"/>
      <c r="E636" s="369"/>
      <c r="H636" s="372"/>
      <c r="I636" s="372"/>
    </row>
    <row r="637">
      <c r="D637" s="369"/>
      <c r="E637" s="369"/>
      <c r="H637" s="372"/>
      <c r="I637" s="372"/>
    </row>
    <row r="638">
      <c r="D638" s="369"/>
      <c r="E638" s="369"/>
      <c r="H638" s="372"/>
      <c r="I638" s="372"/>
    </row>
    <row r="639">
      <c r="D639" s="369"/>
      <c r="E639" s="369"/>
      <c r="H639" s="372"/>
      <c r="I639" s="372"/>
    </row>
    <row r="640">
      <c r="D640" s="369"/>
      <c r="E640" s="369"/>
      <c r="H640" s="372"/>
      <c r="I640" s="372"/>
    </row>
    <row r="641">
      <c r="D641" s="369"/>
      <c r="E641" s="369"/>
      <c r="H641" s="372"/>
      <c r="I641" s="372"/>
    </row>
    <row r="642">
      <c r="D642" s="369"/>
      <c r="E642" s="369"/>
      <c r="H642" s="372"/>
      <c r="I642" s="372"/>
    </row>
    <row r="643">
      <c r="D643" s="369"/>
      <c r="E643" s="369"/>
      <c r="H643" s="372"/>
      <c r="I643" s="372"/>
    </row>
    <row r="644">
      <c r="D644" s="369"/>
      <c r="E644" s="369"/>
      <c r="H644" s="372"/>
      <c r="I644" s="372"/>
    </row>
    <row r="645">
      <c r="D645" s="369"/>
      <c r="E645" s="369"/>
      <c r="H645" s="372"/>
      <c r="I645" s="372"/>
    </row>
    <row r="646">
      <c r="D646" s="369"/>
      <c r="E646" s="369"/>
      <c r="H646" s="372"/>
      <c r="I646" s="372"/>
    </row>
    <row r="647">
      <c r="D647" s="369"/>
      <c r="E647" s="369"/>
      <c r="H647" s="372"/>
      <c r="I647" s="372"/>
    </row>
    <row r="648">
      <c r="D648" s="369"/>
      <c r="E648" s="369"/>
      <c r="H648" s="372"/>
      <c r="I648" s="372"/>
    </row>
    <row r="649">
      <c r="D649" s="369"/>
      <c r="E649" s="369"/>
      <c r="H649" s="372"/>
      <c r="I649" s="372"/>
    </row>
    <row r="650">
      <c r="D650" s="369"/>
      <c r="E650" s="369"/>
      <c r="H650" s="372"/>
      <c r="I650" s="372"/>
    </row>
    <row r="651">
      <c r="D651" s="369"/>
      <c r="E651" s="369"/>
      <c r="H651" s="372"/>
      <c r="I651" s="372"/>
    </row>
    <row r="652">
      <c r="D652" s="369"/>
      <c r="E652" s="369"/>
      <c r="H652" s="372"/>
      <c r="I652" s="372"/>
    </row>
    <row r="653">
      <c r="D653" s="369"/>
      <c r="E653" s="369"/>
      <c r="H653" s="372"/>
      <c r="I653" s="372"/>
    </row>
    <row r="654">
      <c r="D654" s="369"/>
      <c r="E654" s="369"/>
      <c r="H654" s="372"/>
      <c r="I654" s="372"/>
    </row>
    <row r="655">
      <c r="D655" s="369"/>
      <c r="E655" s="369"/>
      <c r="H655" s="372"/>
      <c r="I655" s="372"/>
    </row>
    <row r="656">
      <c r="D656" s="369"/>
      <c r="E656" s="369"/>
      <c r="H656" s="372"/>
      <c r="I656" s="372"/>
    </row>
    <row r="657">
      <c r="D657" s="369"/>
      <c r="E657" s="369"/>
      <c r="H657" s="372"/>
      <c r="I657" s="372"/>
    </row>
    <row r="658">
      <c r="D658" s="369"/>
      <c r="E658" s="369"/>
      <c r="H658" s="372"/>
      <c r="I658" s="372"/>
    </row>
    <row r="659">
      <c r="D659" s="369"/>
      <c r="E659" s="369"/>
      <c r="H659" s="372"/>
      <c r="I659" s="372"/>
    </row>
    <row r="660">
      <c r="D660" s="369"/>
      <c r="E660" s="369"/>
      <c r="H660" s="372"/>
      <c r="I660" s="372"/>
    </row>
    <row r="661">
      <c r="D661" s="369"/>
      <c r="E661" s="369"/>
      <c r="H661" s="372"/>
      <c r="I661" s="372"/>
    </row>
    <row r="662">
      <c r="D662" s="369"/>
      <c r="E662" s="369"/>
      <c r="H662" s="372"/>
      <c r="I662" s="372"/>
    </row>
    <row r="663">
      <c r="D663" s="369"/>
      <c r="E663" s="369"/>
      <c r="H663" s="372"/>
      <c r="I663" s="372"/>
    </row>
    <row r="664">
      <c r="D664" s="369"/>
      <c r="E664" s="369"/>
      <c r="H664" s="372"/>
      <c r="I664" s="372"/>
    </row>
    <row r="665">
      <c r="D665" s="369"/>
      <c r="E665" s="369"/>
      <c r="H665" s="372"/>
      <c r="I665" s="372"/>
    </row>
    <row r="666">
      <c r="D666" s="369"/>
      <c r="E666" s="369"/>
      <c r="H666" s="372"/>
      <c r="I666" s="372"/>
    </row>
    <row r="667">
      <c r="D667" s="369"/>
      <c r="E667" s="369"/>
      <c r="H667" s="372"/>
      <c r="I667" s="372"/>
    </row>
    <row r="668">
      <c r="D668" s="369"/>
      <c r="E668" s="369"/>
      <c r="H668" s="372"/>
      <c r="I668" s="372"/>
    </row>
    <row r="669">
      <c r="D669" s="369"/>
      <c r="E669" s="369"/>
      <c r="H669" s="372"/>
      <c r="I669" s="372"/>
    </row>
    <row r="670">
      <c r="D670" s="369"/>
      <c r="E670" s="369"/>
      <c r="H670" s="372"/>
      <c r="I670" s="372"/>
    </row>
    <row r="671">
      <c r="D671" s="369"/>
      <c r="E671" s="369"/>
      <c r="H671" s="372"/>
      <c r="I671" s="372"/>
    </row>
    <row r="672">
      <c r="D672" s="369"/>
      <c r="E672" s="369"/>
      <c r="H672" s="372"/>
      <c r="I672" s="372"/>
    </row>
    <row r="673">
      <c r="D673" s="369"/>
      <c r="E673" s="369"/>
      <c r="H673" s="372"/>
      <c r="I673" s="372"/>
    </row>
    <row r="674">
      <c r="D674" s="369"/>
      <c r="E674" s="369"/>
      <c r="H674" s="372"/>
      <c r="I674" s="372"/>
    </row>
    <row r="675">
      <c r="D675" s="369"/>
      <c r="E675" s="369"/>
      <c r="H675" s="372"/>
      <c r="I675" s="372"/>
    </row>
    <row r="676">
      <c r="D676" s="369"/>
      <c r="E676" s="369"/>
      <c r="H676" s="372"/>
      <c r="I676" s="372"/>
    </row>
    <row r="677">
      <c r="D677" s="369"/>
      <c r="E677" s="369"/>
      <c r="H677" s="372"/>
      <c r="I677" s="372"/>
    </row>
    <row r="678">
      <c r="D678" s="369"/>
      <c r="E678" s="369"/>
      <c r="H678" s="372"/>
      <c r="I678" s="372"/>
    </row>
    <row r="679">
      <c r="D679" s="369"/>
      <c r="E679" s="369"/>
      <c r="H679" s="372"/>
      <c r="I679" s="372"/>
    </row>
    <row r="680">
      <c r="D680" s="369"/>
      <c r="E680" s="369"/>
      <c r="H680" s="372"/>
      <c r="I680" s="372"/>
    </row>
    <row r="681">
      <c r="D681" s="369"/>
      <c r="E681" s="369"/>
      <c r="H681" s="372"/>
      <c r="I681" s="372"/>
    </row>
    <row r="682">
      <c r="D682" s="369"/>
      <c r="E682" s="369"/>
      <c r="H682" s="372"/>
      <c r="I682" s="372"/>
    </row>
    <row r="683">
      <c r="D683" s="369"/>
      <c r="E683" s="369"/>
      <c r="H683" s="372"/>
      <c r="I683" s="372"/>
    </row>
    <row r="684">
      <c r="D684" s="369"/>
      <c r="E684" s="369"/>
      <c r="H684" s="372"/>
      <c r="I684" s="372"/>
    </row>
    <row r="685">
      <c r="D685" s="369"/>
      <c r="E685" s="369"/>
      <c r="H685" s="372"/>
      <c r="I685" s="372"/>
    </row>
    <row r="686">
      <c r="D686" s="369"/>
      <c r="E686" s="369"/>
      <c r="H686" s="372"/>
      <c r="I686" s="372"/>
    </row>
    <row r="687">
      <c r="D687" s="369"/>
      <c r="E687" s="369"/>
      <c r="H687" s="372"/>
      <c r="I687" s="372"/>
    </row>
    <row r="688">
      <c r="D688" s="369"/>
      <c r="E688" s="369"/>
      <c r="H688" s="372"/>
      <c r="I688" s="372"/>
    </row>
    <row r="689">
      <c r="D689" s="369"/>
      <c r="E689" s="369"/>
      <c r="H689" s="372"/>
      <c r="I689" s="372"/>
    </row>
    <row r="690">
      <c r="D690" s="369"/>
      <c r="E690" s="369"/>
      <c r="H690" s="372"/>
      <c r="I690" s="372"/>
    </row>
    <row r="691">
      <c r="D691" s="369"/>
      <c r="E691" s="369"/>
      <c r="H691" s="372"/>
      <c r="I691" s="372"/>
    </row>
    <row r="692">
      <c r="D692" s="369"/>
      <c r="E692" s="369"/>
      <c r="H692" s="372"/>
      <c r="I692" s="372"/>
    </row>
    <row r="693">
      <c r="D693" s="369"/>
      <c r="E693" s="369"/>
      <c r="H693" s="372"/>
      <c r="I693" s="372"/>
    </row>
    <row r="694">
      <c r="D694" s="369"/>
      <c r="E694" s="369"/>
      <c r="H694" s="372"/>
      <c r="I694" s="372"/>
    </row>
    <row r="695">
      <c r="D695" s="369"/>
      <c r="E695" s="369"/>
      <c r="H695" s="372"/>
      <c r="I695" s="372"/>
    </row>
    <row r="696">
      <c r="D696" s="369"/>
      <c r="E696" s="369"/>
      <c r="H696" s="372"/>
      <c r="I696" s="372"/>
    </row>
    <row r="697">
      <c r="D697" s="369"/>
      <c r="E697" s="369"/>
      <c r="H697" s="372"/>
      <c r="I697" s="372"/>
    </row>
    <row r="698">
      <c r="D698" s="369"/>
      <c r="E698" s="369"/>
      <c r="H698" s="372"/>
      <c r="I698" s="372"/>
    </row>
    <row r="699">
      <c r="D699" s="369"/>
      <c r="E699" s="369"/>
      <c r="H699" s="372"/>
      <c r="I699" s="372"/>
    </row>
    <row r="700">
      <c r="D700" s="369"/>
      <c r="E700" s="369"/>
      <c r="H700" s="372"/>
      <c r="I700" s="372"/>
    </row>
    <row r="701">
      <c r="D701" s="369"/>
      <c r="E701" s="369"/>
      <c r="H701" s="372"/>
      <c r="I701" s="372"/>
    </row>
    <row r="702">
      <c r="D702" s="369"/>
      <c r="E702" s="369"/>
      <c r="H702" s="372"/>
      <c r="I702" s="372"/>
    </row>
    <row r="703">
      <c r="D703" s="369"/>
      <c r="E703" s="369"/>
      <c r="H703" s="372"/>
      <c r="I703" s="372"/>
    </row>
    <row r="704">
      <c r="D704" s="369"/>
      <c r="E704" s="369"/>
      <c r="H704" s="372"/>
      <c r="I704" s="372"/>
    </row>
    <row r="705">
      <c r="D705" s="369"/>
      <c r="E705" s="369"/>
      <c r="H705" s="372"/>
      <c r="I705" s="372"/>
    </row>
    <row r="706">
      <c r="D706" s="369"/>
      <c r="E706" s="369"/>
      <c r="H706" s="372"/>
      <c r="I706" s="372"/>
    </row>
    <row r="707">
      <c r="D707" s="369"/>
      <c r="E707" s="369"/>
      <c r="H707" s="372"/>
      <c r="I707" s="372"/>
    </row>
    <row r="708">
      <c r="D708" s="369"/>
      <c r="E708" s="369"/>
      <c r="H708" s="372"/>
      <c r="I708" s="372"/>
    </row>
    <row r="709">
      <c r="D709" s="369"/>
      <c r="E709" s="369"/>
      <c r="H709" s="372"/>
      <c r="I709" s="372"/>
    </row>
    <row r="710">
      <c r="D710" s="369"/>
      <c r="E710" s="369"/>
      <c r="H710" s="372"/>
      <c r="I710" s="372"/>
    </row>
    <row r="711">
      <c r="D711" s="369"/>
      <c r="E711" s="369"/>
      <c r="H711" s="372"/>
      <c r="I711" s="372"/>
    </row>
    <row r="712">
      <c r="D712" s="369"/>
      <c r="E712" s="369"/>
      <c r="H712" s="372"/>
      <c r="I712" s="372"/>
    </row>
    <row r="713">
      <c r="D713" s="369"/>
      <c r="E713" s="369"/>
      <c r="H713" s="372"/>
      <c r="I713" s="372"/>
    </row>
    <row r="714">
      <c r="D714" s="369"/>
      <c r="E714" s="369"/>
      <c r="H714" s="372"/>
      <c r="I714" s="372"/>
    </row>
    <row r="715">
      <c r="D715" s="369"/>
      <c r="E715" s="369"/>
      <c r="H715" s="372"/>
      <c r="I715" s="372"/>
    </row>
    <row r="716">
      <c r="D716" s="369"/>
      <c r="E716" s="369"/>
      <c r="H716" s="372"/>
      <c r="I716" s="372"/>
    </row>
    <row r="717">
      <c r="D717" s="369"/>
      <c r="E717" s="369"/>
      <c r="H717" s="372"/>
      <c r="I717" s="372"/>
    </row>
    <row r="718">
      <c r="D718" s="369"/>
      <c r="E718" s="369"/>
      <c r="H718" s="372"/>
      <c r="I718" s="372"/>
    </row>
    <row r="719">
      <c r="D719" s="369"/>
      <c r="E719" s="369"/>
      <c r="H719" s="372"/>
      <c r="I719" s="372"/>
    </row>
    <row r="720">
      <c r="D720" s="369"/>
      <c r="E720" s="369"/>
      <c r="H720" s="372"/>
      <c r="I720" s="372"/>
    </row>
    <row r="721">
      <c r="D721" s="369"/>
      <c r="E721" s="369"/>
      <c r="H721" s="372"/>
      <c r="I721" s="372"/>
    </row>
    <row r="722">
      <c r="D722" s="369"/>
      <c r="E722" s="369"/>
      <c r="H722" s="372"/>
      <c r="I722" s="372"/>
    </row>
    <row r="723">
      <c r="D723" s="369"/>
      <c r="E723" s="369"/>
      <c r="H723" s="372"/>
      <c r="I723" s="372"/>
    </row>
    <row r="724">
      <c r="D724" s="369"/>
      <c r="E724" s="369"/>
      <c r="H724" s="372"/>
      <c r="I724" s="372"/>
    </row>
    <row r="725">
      <c r="D725" s="369"/>
      <c r="E725" s="369"/>
      <c r="H725" s="372"/>
      <c r="I725" s="372"/>
    </row>
    <row r="726">
      <c r="D726" s="369"/>
      <c r="E726" s="369"/>
      <c r="H726" s="372"/>
      <c r="I726" s="372"/>
    </row>
    <row r="727">
      <c r="D727" s="369"/>
      <c r="E727" s="369"/>
      <c r="H727" s="372"/>
      <c r="I727" s="372"/>
    </row>
    <row r="728">
      <c r="D728" s="369"/>
      <c r="E728" s="369"/>
      <c r="H728" s="372"/>
      <c r="I728" s="372"/>
    </row>
    <row r="729">
      <c r="D729" s="369"/>
      <c r="E729" s="369"/>
      <c r="H729" s="372"/>
      <c r="I729" s="372"/>
    </row>
    <row r="730">
      <c r="D730" s="369"/>
      <c r="E730" s="369"/>
      <c r="H730" s="372"/>
      <c r="I730" s="372"/>
    </row>
    <row r="731">
      <c r="D731" s="369"/>
      <c r="E731" s="369"/>
      <c r="H731" s="372"/>
      <c r="I731" s="372"/>
    </row>
    <row r="732">
      <c r="D732" s="369"/>
      <c r="E732" s="369"/>
      <c r="H732" s="372"/>
      <c r="I732" s="372"/>
    </row>
    <row r="733">
      <c r="D733" s="369"/>
      <c r="E733" s="369"/>
      <c r="H733" s="372"/>
      <c r="I733" s="372"/>
    </row>
    <row r="734">
      <c r="D734" s="369"/>
      <c r="E734" s="369"/>
      <c r="H734" s="372"/>
      <c r="I734" s="372"/>
    </row>
    <row r="735">
      <c r="D735" s="369"/>
      <c r="E735" s="369"/>
      <c r="H735" s="372"/>
      <c r="I735" s="372"/>
    </row>
    <row r="736">
      <c r="D736" s="369"/>
      <c r="E736" s="369"/>
      <c r="H736" s="372"/>
      <c r="I736" s="372"/>
    </row>
    <row r="737">
      <c r="D737" s="369"/>
      <c r="E737" s="369"/>
      <c r="H737" s="372"/>
      <c r="I737" s="372"/>
    </row>
    <row r="738">
      <c r="D738" s="369"/>
      <c r="E738" s="369"/>
      <c r="H738" s="372"/>
      <c r="I738" s="372"/>
    </row>
    <row r="739">
      <c r="D739" s="369"/>
      <c r="E739" s="369"/>
      <c r="H739" s="372"/>
      <c r="I739" s="372"/>
    </row>
    <row r="740">
      <c r="D740" s="369"/>
      <c r="E740" s="369"/>
      <c r="H740" s="372"/>
      <c r="I740" s="372"/>
    </row>
    <row r="741">
      <c r="D741" s="369"/>
      <c r="E741" s="369"/>
      <c r="H741" s="372"/>
      <c r="I741" s="372"/>
    </row>
    <row r="742">
      <c r="D742" s="369"/>
      <c r="E742" s="369"/>
      <c r="H742" s="372"/>
      <c r="I742" s="372"/>
    </row>
    <row r="743">
      <c r="D743" s="369"/>
      <c r="E743" s="369"/>
      <c r="H743" s="372"/>
      <c r="I743" s="372"/>
    </row>
    <row r="744">
      <c r="D744" s="369"/>
      <c r="E744" s="369"/>
      <c r="H744" s="372"/>
      <c r="I744" s="372"/>
    </row>
    <row r="745">
      <c r="D745" s="369"/>
      <c r="E745" s="369"/>
      <c r="H745" s="372"/>
      <c r="I745" s="372"/>
    </row>
    <row r="746">
      <c r="D746" s="369"/>
      <c r="E746" s="369"/>
      <c r="H746" s="372"/>
      <c r="I746" s="372"/>
    </row>
    <row r="747">
      <c r="D747" s="369"/>
      <c r="E747" s="369"/>
      <c r="H747" s="372"/>
      <c r="I747" s="372"/>
    </row>
    <row r="748">
      <c r="D748" s="369"/>
      <c r="E748" s="369"/>
      <c r="H748" s="372"/>
      <c r="I748" s="372"/>
    </row>
    <row r="749">
      <c r="D749" s="369"/>
      <c r="E749" s="369"/>
      <c r="H749" s="372"/>
      <c r="I749" s="372"/>
    </row>
    <row r="750">
      <c r="D750" s="369"/>
      <c r="E750" s="369"/>
      <c r="H750" s="372"/>
      <c r="I750" s="372"/>
    </row>
    <row r="751">
      <c r="D751" s="369"/>
      <c r="E751" s="369"/>
      <c r="H751" s="372"/>
      <c r="I751" s="372"/>
    </row>
    <row r="752">
      <c r="D752" s="369"/>
      <c r="E752" s="369"/>
      <c r="H752" s="372"/>
      <c r="I752" s="372"/>
    </row>
    <row r="753">
      <c r="D753" s="369"/>
      <c r="E753" s="369"/>
      <c r="H753" s="372"/>
      <c r="I753" s="372"/>
    </row>
    <row r="754">
      <c r="D754" s="369"/>
      <c r="E754" s="369"/>
      <c r="H754" s="372"/>
      <c r="I754" s="372"/>
    </row>
    <row r="755">
      <c r="D755" s="369"/>
      <c r="E755" s="369"/>
      <c r="H755" s="372"/>
      <c r="I755" s="372"/>
    </row>
    <row r="756">
      <c r="D756" s="369"/>
      <c r="E756" s="369"/>
      <c r="H756" s="372"/>
      <c r="I756" s="372"/>
    </row>
    <row r="757">
      <c r="D757" s="369"/>
      <c r="E757" s="369"/>
      <c r="H757" s="372"/>
      <c r="I757" s="372"/>
    </row>
    <row r="758">
      <c r="D758" s="369"/>
      <c r="E758" s="369"/>
      <c r="H758" s="372"/>
      <c r="I758" s="372"/>
    </row>
    <row r="759">
      <c r="D759" s="369"/>
      <c r="E759" s="369"/>
      <c r="H759" s="372"/>
      <c r="I759" s="372"/>
    </row>
    <row r="760">
      <c r="D760" s="369"/>
      <c r="E760" s="369"/>
      <c r="H760" s="372"/>
      <c r="I760" s="372"/>
    </row>
    <row r="761">
      <c r="D761" s="369"/>
      <c r="E761" s="369"/>
      <c r="H761" s="372"/>
      <c r="I761" s="372"/>
    </row>
    <row r="762">
      <c r="D762" s="369"/>
      <c r="E762" s="369"/>
      <c r="H762" s="372"/>
      <c r="I762" s="372"/>
    </row>
    <row r="763">
      <c r="D763" s="369"/>
      <c r="E763" s="369"/>
      <c r="H763" s="372"/>
      <c r="I763" s="372"/>
    </row>
    <row r="764">
      <c r="D764" s="369"/>
      <c r="E764" s="369"/>
      <c r="H764" s="372"/>
      <c r="I764" s="372"/>
    </row>
    <row r="765">
      <c r="D765" s="369"/>
      <c r="E765" s="369"/>
      <c r="H765" s="372"/>
      <c r="I765" s="372"/>
    </row>
    <row r="766">
      <c r="D766" s="369"/>
      <c r="E766" s="369"/>
      <c r="H766" s="372"/>
      <c r="I766" s="372"/>
    </row>
    <row r="767">
      <c r="D767" s="369"/>
      <c r="E767" s="369"/>
      <c r="H767" s="372"/>
      <c r="I767" s="372"/>
    </row>
    <row r="768">
      <c r="D768" s="369"/>
      <c r="E768" s="369"/>
      <c r="H768" s="372"/>
      <c r="I768" s="372"/>
    </row>
    <row r="769">
      <c r="D769" s="369"/>
      <c r="E769" s="369"/>
      <c r="H769" s="372"/>
      <c r="I769" s="372"/>
    </row>
    <row r="770">
      <c r="D770" s="369"/>
      <c r="E770" s="369"/>
      <c r="H770" s="372"/>
      <c r="I770" s="372"/>
    </row>
    <row r="771">
      <c r="D771" s="369"/>
      <c r="E771" s="369"/>
      <c r="H771" s="372"/>
      <c r="I771" s="372"/>
    </row>
    <row r="772">
      <c r="D772" s="369"/>
      <c r="E772" s="369"/>
      <c r="H772" s="372"/>
      <c r="I772" s="372"/>
    </row>
    <row r="773">
      <c r="D773" s="369"/>
      <c r="E773" s="369"/>
      <c r="H773" s="372"/>
      <c r="I773" s="372"/>
    </row>
    <row r="774">
      <c r="D774" s="369"/>
      <c r="E774" s="369"/>
      <c r="H774" s="372"/>
      <c r="I774" s="372"/>
    </row>
    <row r="775">
      <c r="D775" s="369"/>
      <c r="E775" s="369"/>
      <c r="H775" s="372"/>
      <c r="I775" s="372"/>
    </row>
    <row r="776">
      <c r="D776" s="369"/>
      <c r="E776" s="369"/>
      <c r="H776" s="372"/>
      <c r="I776" s="372"/>
    </row>
    <row r="777">
      <c r="D777" s="369"/>
      <c r="E777" s="369"/>
      <c r="H777" s="372"/>
      <c r="I777" s="372"/>
    </row>
    <row r="778">
      <c r="D778" s="369"/>
      <c r="E778" s="369"/>
      <c r="H778" s="372"/>
      <c r="I778" s="372"/>
    </row>
    <row r="779">
      <c r="D779" s="369"/>
      <c r="E779" s="369"/>
      <c r="H779" s="372"/>
      <c r="I779" s="372"/>
    </row>
    <row r="780">
      <c r="D780" s="369"/>
      <c r="E780" s="369"/>
      <c r="H780" s="372"/>
      <c r="I780" s="372"/>
    </row>
    <row r="781">
      <c r="D781" s="369"/>
      <c r="E781" s="369"/>
      <c r="H781" s="372"/>
      <c r="I781" s="372"/>
    </row>
    <row r="782">
      <c r="D782" s="369"/>
      <c r="E782" s="369"/>
      <c r="H782" s="372"/>
      <c r="I782" s="372"/>
    </row>
    <row r="783">
      <c r="D783" s="369"/>
      <c r="E783" s="369"/>
      <c r="H783" s="372"/>
      <c r="I783" s="372"/>
    </row>
    <row r="784">
      <c r="D784" s="369"/>
      <c r="E784" s="369"/>
      <c r="H784" s="372"/>
      <c r="I784" s="372"/>
    </row>
    <row r="785">
      <c r="D785" s="369"/>
      <c r="E785" s="369"/>
      <c r="H785" s="372"/>
      <c r="I785" s="372"/>
    </row>
    <row r="786">
      <c r="D786" s="369"/>
      <c r="E786" s="369"/>
      <c r="H786" s="372"/>
      <c r="I786" s="372"/>
    </row>
    <row r="787">
      <c r="D787" s="369"/>
      <c r="E787" s="369"/>
      <c r="H787" s="372"/>
      <c r="I787" s="372"/>
    </row>
    <row r="788">
      <c r="D788" s="369"/>
      <c r="E788" s="369"/>
      <c r="H788" s="372"/>
      <c r="I788" s="372"/>
    </row>
    <row r="789">
      <c r="D789" s="369"/>
      <c r="E789" s="369"/>
      <c r="H789" s="372"/>
      <c r="I789" s="372"/>
    </row>
    <row r="790">
      <c r="D790" s="369"/>
      <c r="E790" s="369"/>
      <c r="H790" s="372"/>
      <c r="I790" s="372"/>
    </row>
    <row r="791">
      <c r="D791" s="369"/>
      <c r="E791" s="369"/>
      <c r="H791" s="372"/>
      <c r="I791" s="372"/>
    </row>
    <row r="792">
      <c r="D792" s="369"/>
      <c r="E792" s="369"/>
      <c r="H792" s="372"/>
      <c r="I792" s="372"/>
    </row>
    <row r="793">
      <c r="D793" s="369"/>
      <c r="E793" s="369"/>
      <c r="H793" s="372"/>
      <c r="I793" s="372"/>
    </row>
    <row r="794">
      <c r="D794" s="369"/>
      <c r="E794" s="369"/>
      <c r="H794" s="372"/>
      <c r="I794" s="372"/>
    </row>
    <row r="795">
      <c r="D795" s="369"/>
      <c r="E795" s="369"/>
      <c r="H795" s="372"/>
      <c r="I795" s="372"/>
    </row>
    <row r="796">
      <c r="D796" s="369"/>
      <c r="E796" s="369"/>
      <c r="H796" s="372"/>
      <c r="I796" s="372"/>
    </row>
    <row r="797">
      <c r="D797" s="369"/>
      <c r="E797" s="369"/>
      <c r="H797" s="372"/>
      <c r="I797" s="372"/>
    </row>
    <row r="798">
      <c r="D798" s="369"/>
      <c r="E798" s="369"/>
      <c r="H798" s="372"/>
      <c r="I798" s="372"/>
    </row>
    <row r="799">
      <c r="D799" s="369"/>
      <c r="E799" s="369"/>
      <c r="H799" s="372"/>
      <c r="I799" s="372"/>
    </row>
    <row r="800">
      <c r="D800" s="369"/>
      <c r="E800" s="369"/>
      <c r="H800" s="372"/>
      <c r="I800" s="372"/>
    </row>
    <row r="801">
      <c r="D801" s="369"/>
      <c r="E801" s="369"/>
      <c r="H801" s="372"/>
      <c r="I801" s="372"/>
    </row>
    <row r="802">
      <c r="D802" s="369"/>
      <c r="E802" s="369"/>
      <c r="H802" s="372"/>
      <c r="I802" s="372"/>
    </row>
    <row r="803">
      <c r="D803" s="369"/>
      <c r="E803" s="369"/>
      <c r="H803" s="372"/>
      <c r="I803" s="372"/>
    </row>
    <row r="804">
      <c r="D804" s="369"/>
      <c r="E804" s="369"/>
      <c r="H804" s="372"/>
      <c r="I804" s="372"/>
    </row>
    <row r="805">
      <c r="D805" s="369"/>
      <c r="E805" s="369"/>
      <c r="H805" s="372"/>
      <c r="I805" s="372"/>
    </row>
    <row r="806">
      <c r="D806" s="369"/>
      <c r="E806" s="369"/>
      <c r="H806" s="372"/>
      <c r="I806" s="372"/>
    </row>
    <row r="807">
      <c r="D807" s="369"/>
      <c r="E807" s="369"/>
      <c r="H807" s="372"/>
      <c r="I807" s="372"/>
    </row>
    <row r="808">
      <c r="D808" s="369"/>
      <c r="E808" s="369"/>
      <c r="H808" s="372"/>
      <c r="I808" s="372"/>
    </row>
    <row r="809">
      <c r="D809" s="369"/>
      <c r="E809" s="369"/>
      <c r="H809" s="372"/>
      <c r="I809" s="372"/>
    </row>
    <row r="810">
      <c r="D810" s="369"/>
      <c r="E810" s="369"/>
      <c r="H810" s="372"/>
      <c r="I810" s="372"/>
    </row>
    <row r="811">
      <c r="D811" s="369"/>
      <c r="E811" s="369"/>
      <c r="H811" s="372"/>
      <c r="I811" s="372"/>
    </row>
    <row r="812">
      <c r="D812" s="369"/>
      <c r="E812" s="369"/>
      <c r="H812" s="372"/>
      <c r="I812" s="372"/>
    </row>
    <row r="813">
      <c r="D813" s="369"/>
      <c r="E813" s="369"/>
      <c r="H813" s="372"/>
      <c r="I813" s="372"/>
    </row>
    <row r="814">
      <c r="D814" s="369"/>
      <c r="E814" s="369"/>
      <c r="H814" s="372"/>
      <c r="I814" s="372"/>
    </row>
    <row r="815">
      <c r="D815" s="369"/>
      <c r="E815" s="369"/>
      <c r="H815" s="372"/>
      <c r="I815" s="372"/>
    </row>
    <row r="816">
      <c r="D816" s="369"/>
      <c r="E816" s="369"/>
      <c r="H816" s="372"/>
      <c r="I816" s="372"/>
    </row>
    <row r="817">
      <c r="D817" s="369"/>
      <c r="E817" s="369"/>
      <c r="H817" s="372"/>
      <c r="I817" s="372"/>
    </row>
    <row r="818">
      <c r="D818" s="369"/>
      <c r="E818" s="369"/>
      <c r="H818" s="372"/>
      <c r="I818" s="372"/>
    </row>
    <row r="819">
      <c r="D819" s="369"/>
      <c r="E819" s="369"/>
      <c r="H819" s="372"/>
      <c r="I819" s="372"/>
    </row>
    <row r="820">
      <c r="D820" s="369"/>
      <c r="E820" s="369"/>
      <c r="H820" s="372"/>
      <c r="I820" s="372"/>
    </row>
    <row r="821">
      <c r="D821" s="369"/>
      <c r="E821" s="369"/>
      <c r="H821" s="372"/>
      <c r="I821" s="372"/>
    </row>
    <row r="822">
      <c r="D822" s="369"/>
      <c r="E822" s="369"/>
      <c r="H822" s="372"/>
      <c r="I822" s="372"/>
    </row>
    <row r="823">
      <c r="D823" s="369"/>
      <c r="E823" s="369"/>
      <c r="H823" s="372"/>
      <c r="I823" s="372"/>
    </row>
    <row r="824">
      <c r="D824" s="369"/>
      <c r="E824" s="369"/>
      <c r="H824" s="372"/>
      <c r="I824" s="372"/>
    </row>
    <row r="825">
      <c r="D825" s="369"/>
      <c r="E825" s="369"/>
      <c r="H825" s="372"/>
      <c r="I825" s="372"/>
    </row>
    <row r="826">
      <c r="D826" s="369"/>
      <c r="E826" s="369"/>
      <c r="H826" s="372"/>
      <c r="I826" s="372"/>
    </row>
    <row r="827">
      <c r="D827" s="369"/>
      <c r="E827" s="369"/>
      <c r="H827" s="372"/>
      <c r="I827" s="372"/>
    </row>
    <row r="828">
      <c r="D828" s="369"/>
      <c r="E828" s="369"/>
      <c r="H828" s="372"/>
      <c r="I828" s="372"/>
    </row>
    <row r="829">
      <c r="D829" s="369"/>
      <c r="E829" s="369"/>
      <c r="H829" s="372"/>
      <c r="I829" s="372"/>
    </row>
    <row r="830">
      <c r="D830" s="369"/>
      <c r="E830" s="369"/>
      <c r="H830" s="372"/>
      <c r="I830" s="372"/>
    </row>
    <row r="831">
      <c r="D831" s="369"/>
      <c r="E831" s="369"/>
      <c r="H831" s="372"/>
      <c r="I831" s="372"/>
    </row>
    <row r="832">
      <c r="D832" s="369"/>
      <c r="E832" s="369"/>
      <c r="H832" s="372"/>
      <c r="I832" s="372"/>
    </row>
    <row r="833">
      <c r="D833" s="369"/>
      <c r="E833" s="369"/>
      <c r="H833" s="372"/>
      <c r="I833" s="372"/>
    </row>
    <row r="834">
      <c r="D834" s="369"/>
      <c r="E834" s="369"/>
      <c r="H834" s="372"/>
      <c r="I834" s="372"/>
    </row>
    <row r="835">
      <c r="D835" s="369"/>
      <c r="E835" s="369"/>
      <c r="H835" s="372"/>
      <c r="I835" s="372"/>
    </row>
    <row r="836">
      <c r="D836" s="369"/>
      <c r="E836" s="369"/>
      <c r="H836" s="372"/>
      <c r="I836" s="372"/>
    </row>
    <row r="837">
      <c r="D837" s="369"/>
      <c r="E837" s="369"/>
      <c r="H837" s="372"/>
      <c r="I837" s="372"/>
    </row>
    <row r="838">
      <c r="D838" s="369"/>
      <c r="E838" s="369"/>
      <c r="H838" s="372"/>
      <c r="I838" s="372"/>
    </row>
    <row r="839">
      <c r="D839" s="369"/>
      <c r="E839" s="369"/>
      <c r="H839" s="372"/>
      <c r="I839" s="372"/>
    </row>
    <row r="840">
      <c r="D840" s="369"/>
      <c r="E840" s="369"/>
      <c r="H840" s="372"/>
      <c r="I840" s="372"/>
    </row>
    <row r="841">
      <c r="D841" s="369"/>
      <c r="E841" s="369"/>
      <c r="H841" s="372"/>
      <c r="I841" s="372"/>
    </row>
    <row r="842">
      <c r="D842" s="369"/>
      <c r="E842" s="369"/>
      <c r="H842" s="372"/>
      <c r="I842" s="372"/>
    </row>
    <row r="843">
      <c r="D843" s="369"/>
      <c r="E843" s="369"/>
      <c r="H843" s="372"/>
      <c r="I843" s="372"/>
    </row>
    <row r="844">
      <c r="D844" s="369"/>
      <c r="E844" s="369"/>
      <c r="H844" s="372"/>
      <c r="I844" s="372"/>
    </row>
    <row r="845">
      <c r="D845" s="369"/>
      <c r="E845" s="369"/>
      <c r="H845" s="372"/>
      <c r="I845" s="372"/>
    </row>
    <row r="846">
      <c r="D846" s="369"/>
      <c r="E846" s="369"/>
      <c r="H846" s="372"/>
      <c r="I846" s="372"/>
    </row>
    <row r="847">
      <c r="D847" s="369"/>
      <c r="E847" s="369"/>
      <c r="H847" s="372"/>
      <c r="I847" s="372"/>
    </row>
    <row r="848">
      <c r="D848" s="369"/>
      <c r="E848" s="369"/>
      <c r="H848" s="372"/>
      <c r="I848" s="372"/>
    </row>
    <row r="849">
      <c r="D849" s="369"/>
      <c r="E849" s="369"/>
      <c r="H849" s="372"/>
      <c r="I849" s="372"/>
    </row>
    <row r="850">
      <c r="D850" s="369"/>
      <c r="E850" s="369"/>
      <c r="H850" s="372"/>
      <c r="I850" s="372"/>
    </row>
    <row r="851">
      <c r="D851" s="369"/>
      <c r="E851" s="369"/>
      <c r="H851" s="372"/>
      <c r="I851" s="372"/>
    </row>
    <row r="852">
      <c r="D852" s="369"/>
      <c r="E852" s="369"/>
      <c r="H852" s="372"/>
      <c r="I852" s="372"/>
    </row>
    <row r="853">
      <c r="D853" s="369"/>
      <c r="E853" s="369"/>
      <c r="H853" s="372"/>
      <c r="I853" s="372"/>
    </row>
    <row r="854">
      <c r="D854" s="369"/>
      <c r="E854" s="369"/>
      <c r="H854" s="372"/>
      <c r="I854" s="372"/>
    </row>
    <row r="855">
      <c r="D855" s="369"/>
      <c r="E855" s="369"/>
      <c r="H855" s="372"/>
      <c r="I855" s="372"/>
    </row>
    <row r="856">
      <c r="D856" s="369"/>
      <c r="E856" s="369"/>
      <c r="H856" s="372"/>
      <c r="I856" s="372"/>
    </row>
    <row r="857">
      <c r="D857" s="369"/>
      <c r="E857" s="369"/>
      <c r="H857" s="372"/>
      <c r="I857" s="372"/>
    </row>
    <row r="858">
      <c r="D858" s="369"/>
      <c r="E858" s="369"/>
      <c r="H858" s="372"/>
      <c r="I858" s="372"/>
    </row>
    <row r="859">
      <c r="D859" s="369"/>
      <c r="E859" s="369"/>
      <c r="H859" s="372"/>
      <c r="I859" s="372"/>
    </row>
    <row r="860">
      <c r="D860" s="369"/>
      <c r="E860" s="369"/>
      <c r="H860" s="372"/>
      <c r="I860" s="372"/>
    </row>
    <row r="861">
      <c r="D861" s="369"/>
      <c r="E861" s="369"/>
      <c r="H861" s="372"/>
      <c r="I861" s="372"/>
    </row>
    <row r="862">
      <c r="D862" s="369"/>
      <c r="E862" s="369"/>
      <c r="H862" s="372"/>
      <c r="I862" s="372"/>
    </row>
    <row r="863">
      <c r="D863" s="369"/>
      <c r="E863" s="369"/>
      <c r="H863" s="372"/>
      <c r="I863" s="372"/>
    </row>
    <row r="864">
      <c r="D864" s="369"/>
      <c r="E864" s="369"/>
      <c r="H864" s="372"/>
      <c r="I864" s="372"/>
    </row>
    <row r="865">
      <c r="D865" s="369"/>
      <c r="E865" s="369"/>
      <c r="H865" s="372"/>
      <c r="I865" s="372"/>
    </row>
    <row r="866">
      <c r="D866" s="369"/>
      <c r="E866" s="369"/>
      <c r="H866" s="372"/>
      <c r="I866" s="372"/>
    </row>
    <row r="867">
      <c r="D867" s="369"/>
      <c r="E867" s="369"/>
      <c r="H867" s="372"/>
      <c r="I867" s="372"/>
    </row>
    <row r="868">
      <c r="D868" s="369"/>
      <c r="E868" s="369"/>
      <c r="H868" s="372"/>
      <c r="I868" s="372"/>
    </row>
    <row r="869">
      <c r="D869" s="369"/>
      <c r="E869" s="369"/>
      <c r="H869" s="372"/>
      <c r="I869" s="372"/>
    </row>
    <row r="870">
      <c r="D870" s="369"/>
      <c r="E870" s="369"/>
      <c r="H870" s="372"/>
      <c r="I870" s="372"/>
    </row>
    <row r="871">
      <c r="D871" s="369"/>
      <c r="E871" s="369"/>
      <c r="H871" s="372"/>
      <c r="I871" s="372"/>
    </row>
    <row r="872">
      <c r="D872" s="369"/>
      <c r="E872" s="369"/>
      <c r="H872" s="372"/>
      <c r="I872" s="372"/>
    </row>
    <row r="873">
      <c r="D873" s="369"/>
      <c r="E873" s="369"/>
      <c r="H873" s="372"/>
      <c r="I873" s="372"/>
    </row>
    <row r="874">
      <c r="D874" s="369"/>
      <c r="E874" s="369"/>
      <c r="H874" s="372"/>
      <c r="I874" s="372"/>
    </row>
    <row r="875">
      <c r="D875" s="369"/>
      <c r="E875" s="369"/>
      <c r="H875" s="372"/>
      <c r="I875" s="372"/>
    </row>
    <row r="876">
      <c r="D876" s="369"/>
      <c r="E876" s="369"/>
      <c r="H876" s="372"/>
      <c r="I876" s="372"/>
    </row>
    <row r="877">
      <c r="D877" s="369"/>
      <c r="E877" s="369"/>
      <c r="H877" s="372"/>
      <c r="I877" s="372"/>
    </row>
    <row r="878">
      <c r="D878" s="369"/>
      <c r="E878" s="369"/>
      <c r="H878" s="372"/>
      <c r="I878" s="372"/>
    </row>
    <row r="879">
      <c r="D879" s="369"/>
      <c r="E879" s="369"/>
      <c r="H879" s="372"/>
      <c r="I879" s="372"/>
    </row>
    <row r="880">
      <c r="D880" s="369"/>
      <c r="E880" s="369"/>
      <c r="H880" s="372"/>
      <c r="I880" s="372"/>
    </row>
    <row r="881">
      <c r="D881" s="369"/>
      <c r="E881" s="369"/>
      <c r="H881" s="372"/>
      <c r="I881" s="372"/>
    </row>
    <row r="882">
      <c r="D882" s="369"/>
      <c r="E882" s="369"/>
      <c r="H882" s="372"/>
      <c r="I882" s="372"/>
    </row>
    <row r="883">
      <c r="D883" s="369"/>
      <c r="E883" s="369"/>
      <c r="H883" s="372"/>
      <c r="I883" s="372"/>
    </row>
    <row r="884">
      <c r="D884" s="369"/>
      <c r="E884" s="369"/>
      <c r="H884" s="372"/>
      <c r="I884" s="372"/>
    </row>
    <row r="885">
      <c r="D885" s="369"/>
      <c r="E885" s="369"/>
      <c r="H885" s="372"/>
      <c r="I885" s="372"/>
    </row>
    <row r="886">
      <c r="D886" s="369"/>
      <c r="E886" s="369"/>
      <c r="H886" s="372"/>
      <c r="I886" s="372"/>
    </row>
    <row r="887">
      <c r="D887" s="369"/>
      <c r="E887" s="369"/>
      <c r="H887" s="372"/>
      <c r="I887" s="372"/>
    </row>
    <row r="888">
      <c r="D888" s="369"/>
      <c r="E888" s="369"/>
      <c r="H888" s="372"/>
      <c r="I888" s="372"/>
    </row>
    <row r="889">
      <c r="D889" s="369"/>
      <c r="E889" s="369"/>
      <c r="H889" s="372"/>
      <c r="I889" s="372"/>
    </row>
    <row r="890">
      <c r="D890" s="369"/>
      <c r="E890" s="369"/>
      <c r="H890" s="372"/>
      <c r="I890" s="372"/>
    </row>
    <row r="891">
      <c r="D891" s="369"/>
      <c r="E891" s="369"/>
      <c r="H891" s="372"/>
      <c r="I891" s="372"/>
    </row>
    <row r="892">
      <c r="D892" s="369"/>
      <c r="E892" s="369"/>
      <c r="H892" s="372"/>
      <c r="I892" s="372"/>
    </row>
    <row r="893">
      <c r="D893" s="369"/>
      <c r="E893" s="369"/>
      <c r="H893" s="372"/>
      <c r="I893" s="372"/>
    </row>
    <row r="894">
      <c r="D894" s="369"/>
      <c r="E894" s="369"/>
      <c r="H894" s="372"/>
      <c r="I894" s="372"/>
    </row>
    <row r="895">
      <c r="D895" s="369"/>
      <c r="E895" s="369"/>
      <c r="H895" s="372"/>
      <c r="I895" s="372"/>
    </row>
    <row r="896">
      <c r="D896" s="369"/>
      <c r="E896" s="369"/>
      <c r="H896" s="372"/>
      <c r="I896" s="372"/>
    </row>
    <row r="897">
      <c r="D897" s="369"/>
      <c r="E897" s="369"/>
      <c r="H897" s="372"/>
      <c r="I897" s="372"/>
    </row>
    <row r="898">
      <c r="D898" s="369"/>
      <c r="E898" s="369"/>
      <c r="H898" s="372"/>
      <c r="I898" s="372"/>
    </row>
    <row r="899">
      <c r="D899" s="369"/>
      <c r="E899" s="369"/>
      <c r="H899" s="372"/>
      <c r="I899" s="372"/>
    </row>
    <row r="900">
      <c r="D900" s="369"/>
      <c r="E900" s="369"/>
      <c r="H900" s="372"/>
      <c r="I900" s="372"/>
    </row>
    <row r="901">
      <c r="D901" s="369"/>
      <c r="E901" s="369"/>
      <c r="H901" s="372"/>
      <c r="I901" s="372"/>
    </row>
    <row r="902">
      <c r="D902" s="369"/>
      <c r="E902" s="369"/>
      <c r="H902" s="372"/>
      <c r="I902" s="372"/>
    </row>
    <row r="903">
      <c r="D903" s="369"/>
      <c r="E903" s="369"/>
      <c r="H903" s="372"/>
      <c r="I903" s="372"/>
    </row>
    <row r="904">
      <c r="D904" s="369"/>
      <c r="E904" s="369"/>
      <c r="H904" s="372"/>
      <c r="I904" s="372"/>
    </row>
    <row r="905">
      <c r="D905" s="369"/>
      <c r="E905" s="369"/>
      <c r="H905" s="372"/>
      <c r="I905" s="372"/>
    </row>
    <row r="906">
      <c r="D906" s="369"/>
      <c r="E906" s="369"/>
      <c r="H906" s="372"/>
      <c r="I906" s="372"/>
    </row>
    <row r="907">
      <c r="D907" s="369"/>
      <c r="E907" s="369"/>
      <c r="H907" s="372"/>
      <c r="I907" s="372"/>
    </row>
    <row r="908">
      <c r="D908" s="369"/>
      <c r="E908" s="369"/>
      <c r="H908" s="372"/>
      <c r="I908" s="372"/>
    </row>
    <row r="909">
      <c r="D909" s="369"/>
      <c r="E909" s="369"/>
      <c r="H909" s="372"/>
      <c r="I909" s="372"/>
    </row>
    <row r="910">
      <c r="D910" s="369"/>
      <c r="E910" s="369"/>
      <c r="H910" s="372"/>
      <c r="I910" s="372"/>
    </row>
    <row r="911">
      <c r="D911" s="369"/>
      <c r="E911" s="369"/>
      <c r="H911" s="372"/>
      <c r="I911" s="372"/>
    </row>
    <row r="912">
      <c r="D912" s="369"/>
      <c r="E912" s="369"/>
      <c r="H912" s="372"/>
      <c r="I912" s="372"/>
    </row>
    <row r="913">
      <c r="D913" s="369"/>
      <c r="E913" s="369"/>
      <c r="H913" s="372"/>
      <c r="I913" s="372"/>
    </row>
    <row r="914">
      <c r="D914" s="369"/>
      <c r="E914" s="369"/>
      <c r="H914" s="372"/>
      <c r="I914" s="372"/>
    </row>
    <row r="915">
      <c r="D915" s="369"/>
      <c r="E915" s="369"/>
      <c r="H915" s="372"/>
      <c r="I915" s="372"/>
    </row>
    <row r="916">
      <c r="D916" s="369"/>
      <c r="E916" s="369"/>
      <c r="H916" s="372"/>
      <c r="I916" s="372"/>
    </row>
    <row r="917">
      <c r="D917" s="369"/>
      <c r="E917" s="369"/>
      <c r="H917" s="372"/>
      <c r="I917" s="372"/>
    </row>
    <row r="918">
      <c r="D918" s="369"/>
      <c r="E918" s="369"/>
      <c r="H918" s="372"/>
      <c r="I918" s="372"/>
    </row>
    <row r="919">
      <c r="D919" s="369"/>
      <c r="E919" s="369"/>
      <c r="H919" s="372"/>
      <c r="I919" s="372"/>
    </row>
    <row r="920">
      <c r="D920" s="369"/>
      <c r="E920" s="369"/>
      <c r="H920" s="372"/>
      <c r="I920" s="372"/>
    </row>
    <row r="921">
      <c r="D921" s="369"/>
      <c r="E921" s="369"/>
      <c r="H921" s="372"/>
      <c r="I921" s="372"/>
    </row>
    <row r="922">
      <c r="D922" s="369"/>
      <c r="E922" s="369"/>
      <c r="H922" s="372"/>
      <c r="I922" s="372"/>
    </row>
    <row r="923">
      <c r="D923" s="369"/>
      <c r="E923" s="369"/>
      <c r="H923" s="372"/>
      <c r="I923" s="372"/>
    </row>
    <row r="924">
      <c r="D924" s="369"/>
      <c r="E924" s="369"/>
      <c r="H924" s="372"/>
      <c r="I924" s="372"/>
    </row>
    <row r="925">
      <c r="D925" s="369"/>
      <c r="E925" s="369"/>
      <c r="H925" s="372"/>
      <c r="I925" s="372"/>
    </row>
    <row r="926">
      <c r="D926" s="369"/>
      <c r="E926" s="369"/>
      <c r="H926" s="372"/>
      <c r="I926" s="372"/>
    </row>
    <row r="927">
      <c r="D927" s="369"/>
      <c r="E927" s="369"/>
      <c r="H927" s="372"/>
      <c r="I927" s="372"/>
    </row>
    <row r="928">
      <c r="D928" s="369"/>
      <c r="E928" s="369"/>
      <c r="H928" s="372"/>
      <c r="I928" s="372"/>
    </row>
    <row r="929">
      <c r="D929" s="369"/>
      <c r="E929" s="369"/>
      <c r="H929" s="372"/>
      <c r="I929" s="372"/>
    </row>
    <row r="930">
      <c r="D930" s="369"/>
      <c r="E930" s="369"/>
      <c r="H930" s="372"/>
      <c r="I930" s="372"/>
    </row>
    <row r="931">
      <c r="D931" s="369"/>
      <c r="E931" s="369"/>
      <c r="H931" s="372"/>
      <c r="I931" s="372"/>
    </row>
    <row r="932">
      <c r="D932" s="369"/>
      <c r="E932" s="369"/>
      <c r="H932" s="372"/>
      <c r="I932" s="372"/>
    </row>
    <row r="933">
      <c r="D933" s="369"/>
      <c r="E933" s="369"/>
      <c r="H933" s="372"/>
      <c r="I933" s="372"/>
    </row>
    <row r="934">
      <c r="D934" s="369"/>
      <c r="E934" s="369"/>
      <c r="H934" s="372"/>
      <c r="I934" s="372"/>
    </row>
    <row r="935">
      <c r="D935" s="369"/>
      <c r="E935" s="369"/>
      <c r="H935" s="372"/>
      <c r="I935" s="372"/>
    </row>
    <row r="936">
      <c r="D936" s="369"/>
      <c r="E936" s="369"/>
      <c r="H936" s="372"/>
      <c r="I936" s="372"/>
    </row>
    <row r="937">
      <c r="D937" s="369"/>
      <c r="E937" s="369"/>
      <c r="H937" s="372"/>
      <c r="I937" s="372"/>
    </row>
    <row r="938">
      <c r="D938" s="369"/>
      <c r="E938" s="369"/>
      <c r="H938" s="372"/>
      <c r="I938" s="372"/>
    </row>
    <row r="939">
      <c r="D939" s="369"/>
      <c r="E939" s="369"/>
      <c r="H939" s="372"/>
      <c r="I939" s="372"/>
    </row>
    <row r="940">
      <c r="D940" s="369"/>
      <c r="E940" s="369"/>
      <c r="H940" s="372"/>
      <c r="I940" s="372"/>
    </row>
    <row r="941">
      <c r="D941" s="369"/>
      <c r="E941" s="369"/>
      <c r="H941" s="372"/>
      <c r="I941" s="372"/>
    </row>
    <row r="942">
      <c r="D942" s="369"/>
      <c r="E942" s="369"/>
      <c r="H942" s="372"/>
      <c r="I942" s="372"/>
    </row>
    <row r="943">
      <c r="D943" s="369"/>
      <c r="E943" s="369"/>
      <c r="H943" s="372"/>
      <c r="I943" s="372"/>
    </row>
    <row r="944">
      <c r="D944" s="369"/>
      <c r="E944" s="369"/>
      <c r="H944" s="372"/>
      <c r="I944" s="372"/>
    </row>
    <row r="945">
      <c r="D945" s="369"/>
      <c r="E945" s="369"/>
      <c r="H945" s="372"/>
      <c r="I945" s="372"/>
    </row>
    <row r="946">
      <c r="D946" s="369"/>
      <c r="E946" s="369"/>
      <c r="H946" s="372"/>
      <c r="I946" s="372"/>
    </row>
    <row r="947">
      <c r="D947" s="369"/>
      <c r="E947" s="369"/>
      <c r="H947" s="372"/>
      <c r="I947" s="372"/>
    </row>
    <row r="948">
      <c r="D948" s="369"/>
      <c r="E948" s="369"/>
      <c r="H948" s="372"/>
      <c r="I948" s="372"/>
    </row>
    <row r="949">
      <c r="D949" s="369"/>
      <c r="E949" s="369"/>
      <c r="H949" s="372"/>
      <c r="I949" s="372"/>
    </row>
    <row r="950">
      <c r="D950" s="369"/>
      <c r="E950" s="369"/>
      <c r="H950" s="372"/>
      <c r="I950" s="372"/>
    </row>
    <row r="951">
      <c r="D951" s="369"/>
      <c r="E951" s="369"/>
      <c r="H951" s="372"/>
      <c r="I951" s="372"/>
    </row>
    <row r="952">
      <c r="D952" s="369"/>
      <c r="E952" s="369"/>
      <c r="H952" s="372"/>
      <c r="I952" s="372"/>
    </row>
    <row r="953">
      <c r="D953" s="369"/>
      <c r="E953" s="369"/>
      <c r="H953" s="372"/>
      <c r="I953" s="372"/>
    </row>
    <row r="954">
      <c r="D954" s="369"/>
      <c r="E954" s="369"/>
      <c r="H954" s="372"/>
      <c r="I954" s="372"/>
    </row>
    <row r="955">
      <c r="D955" s="369"/>
      <c r="E955" s="369"/>
      <c r="H955" s="372"/>
      <c r="I955" s="372"/>
    </row>
    <row r="956">
      <c r="D956" s="369"/>
      <c r="E956" s="369"/>
      <c r="H956" s="372"/>
      <c r="I956" s="372"/>
    </row>
    <row r="957">
      <c r="D957" s="369"/>
      <c r="E957" s="369"/>
      <c r="H957" s="372"/>
      <c r="I957" s="372"/>
    </row>
    <row r="958">
      <c r="D958" s="369"/>
      <c r="E958" s="369"/>
      <c r="H958" s="372"/>
      <c r="I958" s="372"/>
    </row>
    <row r="959">
      <c r="D959" s="369"/>
      <c r="E959" s="369"/>
      <c r="H959" s="372"/>
      <c r="I959" s="372"/>
    </row>
    <row r="960">
      <c r="D960" s="369"/>
      <c r="E960" s="369"/>
      <c r="H960" s="372"/>
      <c r="I960" s="372"/>
    </row>
    <row r="961">
      <c r="D961" s="369"/>
      <c r="E961" s="369"/>
      <c r="H961" s="372"/>
      <c r="I961" s="372"/>
    </row>
    <row r="962">
      <c r="D962" s="369"/>
      <c r="E962" s="369"/>
      <c r="H962" s="372"/>
      <c r="I962" s="372"/>
    </row>
    <row r="963">
      <c r="D963" s="369"/>
      <c r="E963" s="369"/>
      <c r="H963" s="372"/>
      <c r="I963" s="372"/>
    </row>
    <row r="964">
      <c r="D964" s="369"/>
      <c r="E964" s="369"/>
      <c r="H964" s="372"/>
      <c r="I964" s="372"/>
    </row>
    <row r="965">
      <c r="D965" s="369"/>
      <c r="E965" s="369"/>
      <c r="H965" s="372"/>
      <c r="I965" s="372"/>
    </row>
    <row r="966">
      <c r="D966" s="369"/>
      <c r="E966" s="369"/>
      <c r="H966" s="372"/>
      <c r="I966" s="372"/>
    </row>
    <row r="967">
      <c r="D967" s="369"/>
      <c r="E967" s="369"/>
      <c r="H967" s="372"/>
      <c r="I967" s="372"/>
    </row>
    <row r="968">
      <c r="D968" s="369"/>
      <c r="E968" s="369"/>
      <c r="H968" s="372"/>
      <c r="I968" s="372"/>
    </row>
    <row r="969">
      <c r="D969" s="369"/>
      <c r="E969" s="369"/>
      <c r="H969" s="372"/>
      <c r="I969" s="372"/>
    </row>
    <row r="970">
      <c r="D970" s="369"/>
      <c r="E970" s="369"/>
      <c r="H970" s="372"/>
      <c r="I970" s="372"/>
    </row>
    <row r="971">
      <c r="D971" s="369"/>
      <c r="E971" s="369"/>
      <c r="H971" s="372"/>
      <c r="I971" s="372"/>
    </row>
    <row r="972">
      <c r="D972" s="369"/>
      <c r="E972" s="369"/>
      <c r="H972" s="372"/>
      <c r="I972" s="372"/>
    </row>
    <row r="973">
      <c r="D973" s="369"/>
      <c r="E973" s="369"/>
      <c r="H973" s="372"/>
      <c r="I973" s="372"/>
    </row>
    <row r="974">
      <c r="D974" s="369"/>
      <c r="E974" s="369"/>
      <c r="H974" s="372"/>
      <c r="I974" s="372"/>
    </row>
    <row r="975">
      <c r="D975" s="369"/>
      <c r="E975" s="369"/>
      <c r="H975" s="372"/>
      <c r="I975" s="372"/>
    </row>
    <row r="976">
      <c r="D976" s="369"/>
      <c r="E976" s="369"/>
      <c r="H976" s="372"/>
      <c r="I976" s="372"/>
    </row>
    <row r="977">
      <c r="D977" s="369"/>
      <c r="E977" s="369"/>
      <c r="H977" s="372"/>
      <c r="I977" s="372"/>
    </row>
    <row r="978">
      <c r="D978" s="369"/>
      <c r="E978" s="369"/>
      <c r="H978" s="372"/>
      <c r="I978" s="372"/>
    </row>
    <row r="979">
      <c r="D979" s="369"/>
      <c r="E979" s="369"/>
      <c r="H979" s="372"/>
      <c r="I979" s="372"/>
    </row>
    <row r="980">
      <c r="D980" s="369"/>
      <c r="E980" s="369"/>
      <c r="H980" s="372"/>
      <c r="I980" s="372"/>
    </row>
    <row r="981">
      <c r="D981" s="369"/>
      <c r="E981" s="369"/>
      <c r="H981" s="372"/>
      <c r="I981" s="372"/>
    </row>
    <row r="982">
      <c r="D982" s="369"/>
      <c r="E982" s="369"/>
      <c r="H982" s="372"/>
      <c r="I982" s="372"/>
    </row>
    <row r="983">
      <c r="D983" s="369"/>
      <c r="E983" s="369"/>
      <c r="H983" s="372"/>
      <c r="I983" s="372"/>
    </row>
    <row r="984">
      <c r="D984" s="369"/>
      <c r="E984" s="369"/>
      <c r="H984" s="372"/>
      <c r="I984" s="372"/>
    </row>
    <row r="985">
      <c r="D985" s="369"/>
      <c r="E985" s="369"/>
      <c r="H985" s="372"/>
      <c r="I985" s="372"/>
    </row>
    <row r="986">
      <c r="D986" s="369"/>
      <c r="E986" s="369"/>
      <c r="H986" s="372"/>
      <c r="I986" s="372"/>
    </row>
    <row r="987">
      <c r="D987" s="369"/>
      <c r="E987" s="369"/>
      <c r="H987" s="372"/>
      <c r="I987" s="372"/>
    </row>
    <row r="988">
      <c r="D988" s="369"/>
      <c r="E988" s="369"/>
      <c r="H988" s="372"/>
      <c r="I988" s="372"/>
    </row>
    <row r="989">
      <c r="D989" s="369"/>
      <c r="E989" s="369"/>
      <c r="H989" s="372"/>
      <c r="I989" s="372"/>
    </row>
    <row r="990">
      <c r="D990" s="369"/>
      <c r="E990" s="369"/>
      <c r="H990" s="372"/>
      <c r="I990" s="372"/>
    </row>
    <row r="991">
      <c r="D991" s="369"/>
      <c r="E991" s="369"/>
      <c r="H991" s="372"/>
      <c r="I991" s="372"/>
    </row>
    <row r="992">
      <c r="D992" s="369"/>
      <c r="E992" s="369"/>
      <c r="H992" s="372"/>
      <c r="I992" s="372"/>
    </row>
    <row r="993">
      <c r="D993" s="369"/>
      <c r="E993" s="369"/>
      <c r="H993" s="372"/>
      <c r="I993" s="372"/>
    </row>
    <row r="994">
      <c r="D994" s="369"/>
      <c r="E994" s="369"/>
      <c r="H994" s="372"/>
      <c r="I994" s="372"/>
    </row>
    <row r="995">
      <c r="D995" s="369"/>
      <c r="E995" s="369"/>
      <c r="H995" s="372"/>
      <c r="I995" s="372"/>
    </row>
    <row r="996">
      <c r="D996" s="369"/>
      <c r="E996" s="369"/>
      <c r="H996" s="372"/>
      <c r="I996" s="372"/>
    </row>
    <row r="997">
      <c r="D997" s="369"/>
      <c r="E997" s="369"/>
      <c r="H997" s="372"/>
      <c r="I997" s="372"/>
    </row>
    <row r="998">
      <c r="D998" s="369"/>
      <c r="E998" s="369"/>
      <c r="H998" s="372"/>
      <c r="I998" s="372"/>
    </row>
    <row r="999">
      <c r="D999" s="369"/>
      <c r="E999" s="369"/>
      <c r="H999" s="372"/>
      <c r="I999" s="372"/>
    </row>
    <row r="1000">
      <c r="D1000" s="369"/>
      <c r="E1000" s="369"/>
      <c r="H1000" s="372"/>
      <c r="I1000" s="372"/>
    </row>
    <row r="1001">
      <c r="D1001" s="369"/>
      <c r="E1001" s="369"/>
      <c r="H1001" s="372"/>
      <c r="I1001" s="372"/>
    </row>
    <row r="1002">
      <c r="D1002" s="369"/>
      <c r="E1002" s="369"/>
      <c r="H1002" s="372"/>
      <c r="I1002" s="372"/>
    </row>
    <row r="1003">
      <c r="D1003" s="369"/>
      <c r="E1003" s="369"/>
      <c r="H1003" s="372"/>
      <c r="I1003" s="372"/>
    </row>
    <row r="1004">
      <c r="D1004" s="369"/>
      <c r="E1004" s="369"/>
      <c r="H1004" s="372"/>
      <c r="I1004" s="372"/>
    </row>
    <row r="1005">
      <c r="D1005" s="369"/>
      <c r="E1005" s="369"/>
      <c r="H1005" s="372"/>
      <c r="I1005" s="372"/>
    </row>
    <row r="1006">
      <c r="D1006" s="369"/>
      <c r="E1006" s="369"/>
      <c r="H1006" s="372"/>
      <c r="I1006" s="372"/>
    </row>
    <row r="1007">
      <c r="D1007" s="369"/>
      <c r="E1007" s="369"/>
      <c r="H1007" s="372"/>
      <c r="I1007" s="372"/>
    </row>
    <row r="1008">
      <c r="D1008" s="369"/>
      <c r="E1008" s="369"/>
      <c r="H1008" s="372"/>
      <c r="I1008" s="372"/>
    </row>
    <row r="1009">
      <c r="D1009" s="369"/>
      <c r="E1009" s="369"/>
      <c r="H1009" s="372"/>
      <c r="I1009" s="372"/>
    </row>
    <row r="1010">
      <c r="D1010" s="369"/>
      <c r="E1010" s="369"/>
      <c r="H1010" s="372"/>
      <c r="I1010" s="372"/>
    </row>
    <row r="1011">
      <c r="D1011" s="369"/>
      <c r="E1011" s="369"/>
      <c r="H1011" s="372"/>
      <c r="I1011" s="372"/>
    </row>
    <row r="1012">
      <c r="D1012" s="369"/>
      <c r="E1012" s="369"/>
      <c r="H1012" s="372"/>
      <c r="I1012" s="372"/>
    </row>
    <row r="1013">
      <c r="D1013" s="369"/>
      <c r="E1013" s="369"/>
      <c r="H1013" s="372"/>
      <c r="I1013" s="37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86"/>
    <col customWidth="1" min="2" max="2" width="29.14"/>
    <col customWidth="1" min="3" max="3" width="27.57"/>
    <col customWidth="1" hidden="1" min="4" max="4" width="14.0"/>
    <col customWidth="1" hidden="1" min="5" max="5" width="5.71"/>
    <col customWidth="1" hidden="1" min="6" max="6" width="8.0"/>
    <col customWidth="1" min="7" max="7" width="22.86"/>
    <col customWidth="1" min="8" max="8" width="5.71"/>
    <col customWidth="1" hidden="1" min="9" max="14" width="27.29"/>
    <col customWidth="1" min="15" max="15" width="27.29"/>
    <col customWidth="1" min="16" max="17" width="16.86"/>
    <col customWidth="1" min="18" max="18" width="2.0"/>
    <col customWidth="1" min="19" max="19" width="15.71"/>
    <col customWidth="1" min="20" max="21" width="8.71"/>
    <col customWidth="1" min="22" max="22" width="16.43"/>
    <col customWidth="1" min="23" max="28" width="8.71"/>
  </cols>
  <sheetData>
    <row r="1" ht="57.75" customHeight="1">
      <c r="A1" s="424"/>
      <c r="V1" s="132" t="s">
        <v>830</v>
      </c>
    </row>
    <row r="2" ht="35.25" customHeight="1">
      <c r="A2" s="124" t="s">
        <v>831</v>
      </c>
      <c r="B2" s="125" t="s">
        <v>16</v>
      </c>
      <c r="C2" s="35"/>
      <c r="D2" s="126" t="s">
        <v>832</v>
      </c>
      <c r="E2" s="126"/>
      <c r="F2" s="126" t="s">
        <v>833</v>
      </c>
      <c r="G2" s="126" t="s">
        <v>395</v>
      </c>
      <c r="H2" s="126"/>
      <c r="I2" s="126" t="s">
        <v>834</v>
      </c>
      <c r="J2" s="126"/>
      <c r="K2" s="126"/>
      <c r="L2" s="126" t="s">
        <v>835</v>
      </c>
      <c r="M2" s="425" t="s">
        <v>836</v>
      </c>
      <c r="N2" s="425" t="s">
        <v>837</v>
      </c>
      <c r="O2" s="426" t="s">
        <v>838</v>
      </c>
      <c r="P2" s="427"/>
      <c r="Q2" s="128" t="s">
        <v>263</v>
      </c>
      <c r="R2" s="126"/>
      <c r="S2" s="129" t="s">
        <v>24</v>
      </c>
      <c r="T2" s="428" t="s">
        <v>25</v>
      </c>
      <c r="U2" s="429" t="s">
        <v>26</v>
      </c>
    </row>
    <row r="3">
      <c r="A3" s="153" t="s">
        <v>839</v>
      </c>
      <c r="B3" s="138" t="s">
        <v>840</v>
      </c>
      <c r="C3" s="35"/>
      <c r="D3" s="138" t="s">
        <v>841</v>
      </c>
      <c r="E3" s="34"/>
      <c r="F3" s="35"/>
      <c r="G3" s="135">
        <v>200.0</v>
      </c>
      <c r="H3" s="35"/>
      <c r="I3" s="138" t="s">
        <v>842</v>
      </c>
      <c r="J3" s="34"/>
      <c r="K3" s="35"/>
      <c r="L3" s="430">
        <v>54036.0</v>
      </c>
      <c r="M3" s="35"/>
      <c r="N3" s="301">
        <f t="shared" ref="N3:N17" si="1">L3/G3</f>
        <v>270.18</v>
      </c>
      <c r="O3" s="431">
        <f t="shared" ref="O3:O17" si="2">N3*1.21</f>
        <v>326.9178</v>
      </c>
      <c r="P3" s="432">
        <f t="shared" ref="P3:P49" si="3">O3/1.21</f>
        <v>270.18</v>
      </c>
      <c r="Q3" s="433">
        <f t="shared" ref="Q3:Q49" si="4">O3/(1-0.45)</f>
        <v>594.396</v>
      </c>
      <c r="R3" s="141"/>
      <c r="S3" s="142">
        <f t="shared" ref="S3:S49" si="5">O3/(1-0.5)</f>
        <v>653.8356</v>
      </c>
      <c r="T3" s="434"/>
      <c r="U3" s="435">
        <f t="shared" ref="U3:U49" si="6">G3-T3</f>
        <v>200</v>
      </c>
      <c r="V3" s="389">
        <f t="shared" ref="V3:V14" si="7">ROUNDUP(Q3,-2)</f>
        <v>600</v>
      </c>
    </row>
    <row r="4">
      <c r="A4" s="153" t="s">
        <v>843</v>
      </c>
      <c r="B4" s="138" t="s">
        <v>844</v>
      </c>
      <c r="C4" s="35"/>
      <c r="D4" s="138" t="s">
        <v>845</v>
      </c>
      <c r="E4" s="34"/>
      <c r="F4" s="35"/>
      <c r="G4" s="135">
        <v>200.0</v>
      </c>
      <c r="H4" s="35"/>
      <c r="I4" s="138" t="s">
        <v>846</v>
      </c>
      <c r="J4" s="34"/>
      <c r="K4" s="35"/>
      <c r="L4" s="430">
        <v>62568.0</v>
      </c>
      <c r="M4" s="35"/>
      <c r="N4" s="301">
        <f t="shared" si="1"/>
        <v>312.84</v>
      </c>
      <c r="O4" s="431">
        <f t="shared" si="2"/>
        <v>378.5364</v>
      </c>
      <c r="P4" s="432">
        <f t="shared" si="3"/>
        <v>312.84</v>
      </c>
      <c r="Q4" s="433">
        <f t="shared" si="4"/>
        <v>688.248</v>
      </c>
      <c r="R4" s="141"/>
      <c r="S4" s="142">
        <f t="shared" si="5"/>
        <v>757.0728</v>
      </c>
      <c r="T4" s="434"/>
      <c r="U4" s="435">
        <f t="shared" si="6"/>
        <v>200</v>
      </c>
      <c r="V4" s="389">
        <f t="shared" si="7"/>
        <v>700</v>
      </c>
    </row>
    <row r="5">
      <c r="A5" s="153" t="s">
        <v>847</v>
      </c>
      <c r="B5" s="436" t="s">
        <v>848</v>
      </c>
      <c r="C5" s="35"/>
      <c r="D5" s="138" t="s">
        <v>849</v>
      </c>
      <c r="E5" s="34"/>
      <c r="F5" s="35"/>
      <c r="G5" s="135">
        <v>100.0</v>
      </c>
      <c r="H5" s="35"/>
      <c r="I5" s="138" t="s">
        <v>850</v>
      </c>
      <c r="J5" s="34"/>
      <c r="K5" s="35"/>
      <c r="L5" s="430">
        <v>41238.0</v>
      </c>
      <c r="M5" s="35"/>
      <c r="N5" s="301">
        <f t="shared" si="1"/>
        <v>412.38</v>
      </c>
      <c r="O5" s="431">
        <f t="shared" si="2"/>
        <v>498.9798</v>
      </c>
      <c r="P5" s="432">
        <f t="shared" si="3"/>
        <v>412.38</v>
      </c>
      <c r="Q5" s="433">
        <f t="shared" si="4"/>
        <v>907.236</v>
      </c>
      <c r="R5" s="141"/>
      <c r="S5" s="142">
        <f t="shared" si="5"/>
        <v>997.9596</v>
      </c>
      <c r="T5" s="434"/>
      <c r="U5" s="435">
        <f t="shared" si="6"/>
        <v>100</v>
      </c>
      <c r="V5" s="389">
        <f t="shared" si="7"/>
        <v>1000</v>
      </c>
    </row>
    <row r="6">
      <c r="A6" s="153" t="s">
        <v>851</v>
      </c>
      <c r="B6" s="138" t="s">
        <v>852</v>
      </c>
      <c r="C6" s="35"/>
      <c r="D6" s="138" t="s">
        <v>853</v>
      </c>
      <c r="E6" s="34"/>
      <c r="F6" s="35"/>
      <c r="G6" s="135">
        <v>100.0</v>
      </c>
      <c r="H6" s="35"/>
      <c r="I6" s="138" t="s">
        <v>854</v>
      </c>
      <c r="J6" s="34"/>
      <c r="K6" s="35"/>
      <c r="L6" s="430">
        <v>44082.0</v>
      </c>
      <c r="M6" s="35"/>
      <c r="N6" s="301">
        <f t="shared" si="1"/>
        <v>440.82</v>
      </c>
      <c r="O6" s="431">
        <f t="shared" si="2"/>
        <v>533.3922</v>
      </c>
      <c r="P6" s="432">
        <f t="shared" si="3"/>
        <v>440.82</v>
      </c>
      <c r="Q6" s="433">
        <f t="shared" si="4"/>
        <v>969.804</v>
      </c>
      <c r="R6" s="141"/>
      <c r="S6" s="142">
        <f t="shared" si="5"/>
        <v>1066.7844</v>
      </c>
      <c r="T6" s="434"/>
      <c r="U6" s="435">
        <f t="shared" si="6"/>
        <v>100</v>
      </c>
      <c r="V6" s="389">
        <f t="shared" si="7"/>
        <v>1000</v>
      </c>
    </row>
    <row r="7">
      <c r="A7" s="153" t="s">
        <v>855</v>
      </c>
      <c r="B7" s="138" t="s">
        <v>856</v>
      </c>
      <c r="C7" s="35"/>
      <c r="D7" s="138" t="s">
        <v>857</v>
      </c>
      <c r="E7" s="34"/>
      <c r="F7" s="35"/>
      <c r="G7" s="135">
        <v>100.0</v>
      </c>
      <c r="H7" s="35"/>
      <c r="I7" s="138" t="s">
        <v>858</v>
      </c>
      <c r="J7" s="34"/>
      <c r="K7" s="35"/>
      <c r="L7" s="430">
        <v>55458.0</v>
      </c>
      <c r="M7" s="35"/>
      <c r="N7" s="301">
        <f t="shared" si="1"/>
        <v>554.58</v>
      </c>
      <c r="O7" s="431">
        <f t="shared" si="2"/>
        <v>671.0418</v>
      </c>
      <c r="P7" s="432">
        <f t="shared" si="3"/>
        <v>554.58</v>
      </c>
      <c r="Q7" s="433">
        <f t="shared" si="4"/>
        <v>1220.076</v>
      </c>
      <c r="R7" s="141"/>
      <c r="S7" s="142">
        <f t="shared" si="5"/>
        <v>1342.0836</v>
      </c>
      <c r="T7" s="434"/>
      <c r="U7" s="435">
        <f t="shared" si="6"/>
        <v>100</v>
      </c>
      <c r="V7" s="389">
        <f t="shared" si="7"/>
        <v>1300</v>
      </c>
    </row>
    <row r="8">
      <c r="A8" s="153" t="s">
        <v>859</v>
      </c>
      <c r="B8" s="437" t="s">
        <v>860</v>
      </c>
      <c r="C8" s="35"/>
      <c r="D8" s="138" t="s">
        <v>861</v>
      </c>
      <c r="E8" s="34"/>
      <c r="F8" s="35"/>
      <c r="G8" s="135">
        <v>10.0</v>
      </c>
      <c r="H8" s="35"/>
      <c r="I8" s="138" t="s">
        <v>862</v>
      </c>
      <c r="J8" s="34"/>
      <c r="K8" s="35"/>
      <c r="L8" s="430">
        <v>5190.3</v>
      </c>
      <c r="M8" s="35"/>
      <c r="N8" s="301">
        <f t="shared" si="1"/>
        <v>519.03</v>
      </c>
      <c r="O8" s="431">
        <f t="shared" si="2"/>
        <v>628.0263</v>
      </c>
      <c r="P8" s="432">
        <f t="shared" si="3"/>
        <v>519.03</v>
      </c>
      <c r="Q8" s="433">
        <f t="shared" si="4"/>
        <v>1141.866</v>
      </c>
      <c r="R8" s="141"/>
      <c r="S8" s="142">
        <f t="shared" si="5"/>
        <v>1256.0526</v>
      </c>
      <c r="T8" s="434"/>
      <c r="U8" s="435">
        <f t="shared" si="6"/>
        <v>10</v>
      </c>
      <c r="V8" s="389">
        <f t="shared" si="7"/>
        <v>1200</v>
      </c>
    </row>
    <row r="9">
      <c r="A9" s="153" t="s">
        <v>863</v>
      </c>
      <c r="B9" s="437" t="s">
        <v>864</v>
      </c>
      <c r="C9" s="35"/>
      <c r="D9" s="138" t="s">
        <v>865</v>
      </c>
      <c r="E9" s="34"/>
      <c r="F9" s="35"/>
      <c r="G9" s="135">
        <v>10.0</v>
      </c>
      <c r="H9" s="35"/>
      <c r="I9" s="138" t="s">
        <v>866</v>
      </c>
      <c r="J9" s="34"/>
      <c r="K9" s="35"/>
      <c r="L9" s="430">
        <v>5190.3</v>
      </c>
      <c r="M9" s="35"/>
      <c r="N9" s="301">
        <f t="shared" si="1"/>
        <v>519.03</v>
      </c>
      <c r="O9" s="431">
        <f t="shared" si="2"/>
        <v>628.0263</v>
      </c>
      <c r="P9" s="432">
        <f t="shared" si="3"/>
        <v>519.03</v>
      </c>
      <c r="Q9" s="433">
        <f t="shared" si="4"/>
        <v>1141.866</v>
      </c>
      <c r="R9" s="141"/>
      <c r="S9" s="142">
        <f t="shared" si="5"/>
        <v>1256.0526</v>
      </c>
      <c r="T9" s="434"/>
      <c r="U9" s="435">
        <f t="shared" si="6"/>
        <v>10</v>
      </c>
      <c r="V9" s="389">
        <f t="shared" si="7"/>
        <v>1200</v>
      </c>
    </row>
    <row r="10">
      <c r="A10" s="153" t="s">
        <v>867</v>
      </c>
      <c r="B10" s="437" t="s">
        <v>868</v>
      </c>
      <c r="C10" s="35"/>
      <c r="D10" s="138" t="s">
        <v>869</v>
      </c>
      <c r="E10" s="34"/>
      <c r="F10" s="35"/>
      <c r="G10" s="135">
        <v>10.0</v>
      </c>
      <c r="H10" s="35"/>
      <c r="I10" s="138" t="s">
        <v>870</v>
      </c>
      <c r="J10" s="34"/>
      <c r="K10" s="35"/>
      <c r="L10" s="430">
        <v>8816.4</v>
      </c>
      <c r="M10" s="35"/>
      <c r="N10" s="301">
        <f t="shared" si="1"/>
        <v>881.64</v>
      </c>
      <c r="O10" s="431">
        <f t="shared" si="2"/>
        <v>1066.7844</v>
      </c>
      <c r="P10" s="432">
        <f t="shared" si="3"/>
        <v>881.64</v>
      </c>
      <c r="Q10" s="433">
        <f t="shared" si="4"/>
        <v>1939.608</v>
      </c>
      <c r="R10" s="141"/>
      <c r="S10" s="142">
        <f t="shared" si="5"/>
        <v>2133.5688</v>
      </c>
      <c r="T10" s="434"/>
      <c r="U10" s="435">
        <f t="shared" si="6"/>
        <v>10</v>
      </c>
      <c r="V10" s="389">
        <f t="shared" si="7"/>
        <v>2000</v>
      </c>
    </row>
    <row r="11">
      <c r="A11" s="153" t="s">
        <v>871</v>
      </c>
      <c r="B11" s="437" t="s">
        <v>872</v>
      </c>
      <c r="C11" s="35"/>
      <c r="D11" s="138" t="s">
        <v>873</v>
      </c>
      <c r="E11" s="34"/>
      <c r="F11" s="35"/>
      <c r="G11" s="135">
        <v>10.0</v>
      </c>
      <c r="H11" s="35"/>
      <c r="I11" s="138" t="s">
        <v>874</v>
      </c>
      <c r="J11" s="34"/>
      <c r="K11" s="35"/>
      <c r="L11" s="430">
        <v>8816.4</v>
      </c>
      <c r="M11" s="35"/>
      <c r="N11" s="301">
        <f t="shared" si="1"/>
        <v>881.64</v>
      </c>
      <c r="O11" s="431">
        <f t="shared" si="2"/>
        <v>1066.7844</v>
      </c>
      <c r="P11" s="432">
        <f t="shared" si="3"/>
        <v>881.64</v>
      </c>
      <c r="Q11" s="433">
        <f t="shared" si="4"/>
        <v>1939.608</v>
      </c>
      <c r="R11" s="141"/>
      <c r="S11" s="142">
        <f t="shared" si="5"/>
        <v>2133.5688</v>
      </c>
      <c r="T11" s="434"/>
      <c r="U11" s="435">
        <f t="shared" si="6"/>
        <v>10</v>
      </c>
      <c r="V11" s="389">
        <f t="shared" si="7"/>
        <v>2000</v>
      </c>
    </row>
    <row r="12">
      <c r="A12" s="153" t="s">
        <v>875</v>
      </c>
      <c r="B12" s="437" t="s">
        <v>876</v>
      </c>
      <c r="C12" s="35"/>
      <c r="D12" s="138" t="s">
        <v>877</v>
      </c>
      <c r="E12" s="34"/>
      <c r="F12" s="35"/>
      <c r="G12" s="135">
        <v>10.0</v>
      </c>
      <c r="H12" s="35"/>
      <c r="I12" s="138" t="s">
        <v>878</v>
      </c>
      <c r="J12" s="34"/>
      <c r="K12" s="35"/>
      <c r="L12" s="430">
        <v>13295.7</v>
      </c>
      <c r="M12" s="35"/>
      <c r="N12" s="301">
        <f t="shared" si="1"/>
        <v>1329.57</v>
      </c>
      <c r="O12" s="431">
        <f t="shared" si="2"/>
        <v>1608.7797</v>
      </c>
      <c r="P12" s="432">
        <f t="shared" si="3"/>
        <v>1329.57</v>
      </c>
      <c r="Q12" s="433">
        <f t="shared" si="4"/>
        <v>2925.054</v>
      </c>
      <c r="R12" s="141"/>
      <c r="S12" s="142">
        <f t="shared" si="5"/>
        <v>3217.5594</v>
      </c>
      <c r="T12" s="434"/>
      <c r="U12" s="435">
        <f t="shared" si="6"/>
        <v>10</v>
      </c>
      <c r="V12" s="389">
        <f t="shared" si="7"/>
        <v>3000</v>
      </c>
    </row>
    <row r="13">
      <c r="A13" s="153" t="s">
        <v>879</v>
      </c>
      <c r="B13" s="437" t="s">
        <v>880</v>
      </c>
      <c r="C13" s="35"/>
      <c r="D13" s="138" t="s">
        <v>881</v>
      </c>
      <c r="E13" s="34"/>
      <c r="F13" s="35"/>
      <c r="G13" s="135">
        <v>10.0</v>
      </c>
      <c r="H13" s="35"/>
      <c r="I13" s="138" t="s">
        <v>882</v>
      </c>
      <c r="J13" s="34"/>
      <c r="K13" s="35"/>
      <c r="L13" s="430">
        <v>13295.7</v>
      </c>
      <c r="M13" s="35"/>
      <c r="N13" s="301">
        <f t="shared" si="1"/>
        <v>1329.57</v>
      </c>
      <c r="O13" s="431">
        <f t="shared" si="2"/>
        <v>1608.7797</v>
      </c>
      <c r="P13" s="432">
        <f t="shared" si="3"/>
        <v>1329.57</v>
      </c>
      <c r="Q13" s="433">
        <f t="shared" si="4"/>
        <v>2925.054</v>
      </c>
      <c r="R13" s="141"/>
      <c r="S13" s="142">
        <f t="shared" si="5"/>
        <v>3217.5594</v>
      </c>
      <c r="T13" s="434"/>
      <c r="U13" s="435">
        <f t="shared" si="6"/>
        <v>10</v>
      </c>
      <c r="V13" s="389">
        <f t="shared" si="7"/>
        <v>3000</v>
      </c>
    </row>
    <row r="14">
      <c r="A14" s="153" t="s">
        <v>883</v>
      </c>
      <c r="B14" s="437" t="s">
        <v>884</v>
      </c>
      <c r="C14" s="35"/>
      <c r="D14" s="138" t="s">
        <v>885</v>
      </c>
      <c r="E14" s="34"/>
      <c r="F14" s="35"/>
      <c r="G14" s="135">
        <v>10.0</v>
      </c>
      <c r="H14" s="35"/>
      <c r="I14" s="138" t="s">
        <v>886</v>
      </c>
      <c r="J14" s="34"/>
      <c r="K14" s="35"/>
      <c r="L14" s="430">
        <v>16566.3</v>
      </c>
      <c r="M14" s="35"/>
      <c r="N14" s="301">
        <f t="shared" si="1"/>
        <v>1656.63</v>
      </c>
      <c r="O14" s="431">
        <f t="shared" si="2"/>
        <v>2004.5223</v>
      </c>
      <c r="P14" s="432">
        <f t="shared" si="3"/>
        <v>1656.63</v>
      </c>
      <c r="Q14" s="433">
        <f t="shared" si="4"/>
        <v>3644.586</v>
      </c>
      <c r="R14" s="141"/>
      <c r="S14" s="142">
        <f t="shared" si="5"/>
        <v>4009.0446</v>
      </c>
      <c r="T14" s="434"/>
      <c r="U14" s="435">
        <f t="shared" si="6"/>
        <v>10</v>
      </c>
      <c r="V14" s="389">
        <f t="shared" si="7"/>
        <v>3700</v>
      </c>
    </row>
    <row r="15">
      <c r="A15" s="153" t="s">
        <v>887</v>
      </c>
      <c r="B15" s="437" t="s">
        <v>888</v>
      </c>
      <c r="C15" s="35"/>
      <c r="D15" s="138" t="s">
        <v>889</v>
      </c>
      <c r="E15" s="34"/>
      <c r="F15" s="35"/>
      <c r="G15" s="135">
        <v>10.0</v>
      </c>
      <c r="H15" s="35"/>
      <c r="I15" s="138" t="s">
        <v>890</v>
      </c>
      <c r="J15" s="34"/>
      <c r="K15" s="35"/>
      <c r="L15" s="430">
        <v>16566.3</v>
      </c>
      <c r="M15" s="35"/>
      <c r="N15" s="301">
        <f t="shared" si="1"/>
        <v>1656.63</v>
      </c>
      <c r="O15" s="431">
        <f t="shared" si="2"/>
        <v>2004.5223</v>
      </c>
      <c r="P15" s="432">
        <f t="shared" si="3"/>
        <v>1656.63</v>
      </c>
      <c r="Q15" s="433">
        <f t="shared" si="4"/>
        <v>3644.586</v>
      </c>
      <c r="R15" s="141"/>
      <c r="S15" s="142">
        <f t="shared" si="5"/>
        <v>4009.0446</v>
      </c>
      <c r="T15" s="434"/>
      <c r="U15" s="435">
        <f t="shared" si="6"/>
        <v>10</v>
      </c>
      <c r="V15" s="389">
        <f t="shared" ref="V15:V16" si="8">ROUNDUP(Q16,-2)</f>
        <v>6400</v>
      </c>
    </row>
    <row r="16">
      <c r="A16" s="153" t="s">
        <v>891</v>
      </c>
      <c r="B16" s="437" t="s">
        <v>892</v>
      </c>
      <c r="C16" s="35"/>
      <c r="D16" s="138" t="s">
        <v>893</v>
      </c>
      <c r="E16" s="34"/>
      <c r="F16" s="35"/>
      <c r="G16" s="135">
        <v>10.0</v>
      </c>
      <c r="H16" s="35"/>
      <c r="I16" s="138" t="s">
        <v>894</v>
      </c>
      <c r="J16" s="34"/>
      <c r="K16" s="35"/>
      <c r="L16" s="430">
        <v>28795.5</v>
      </c>
      <c r="M16" s="35"/>
      <c r="N16" s="301">
        <f t="shared" si="1"/>
        <v>2879.55</v>
      </c>
      <c r="O16" s="431">
        <f t="shared" si="2"/>
        <v>3484.2555</v>
      </c>
      <c r="P16" s="432">
        <f t="shared" si="3"/>
        <v>2879.55</v>
      </c>
      <c r="Q16" s="433">
        <f t="shared" si="4"/>
        <v>6335.01</v>
      </c>
      <c r="R16" s="141"/>
      <c r="S16" s="142">
        <f t="shared" si="5"/>
        <v>6968.511</v>
      </c>
      <c r="T16" s="434"/>
      <c r="U16" s="435">
        <f t="shared" si="6"/>
        <v>10</v>
      </c>
      <c r="V16" s="389">
        <f t="shared" si="8"/>
        <v>6400</v>
      </c>
      <c r="W16" s="389">
        <f>ROUNDUP(R16,-2)</f>
        <v>0</v>
      </c>
    </row>
    <row r="17">
      <c r="A17" s="153" t="s">
        <v>895</v>
      </c>
      <c r="B17" s="437" t="s">
        <v>896</v>
      </c>
      <c r="C17" s="35"/>
      <c r="D17" s="138" t="s">
        <v>897</v>
      </c>
      <c r="E17" s="34"/>
      <c r="F17" s="35"/>
      <c r="G17" s="135">
        <v>10.0</v>
      </c>
      <c r="H17" s="35"/>
      <c r="I17" s="138" t="s">
        <v>898</v>
      </c>
      <c r="J17" s="34"/>
      <c r="K17" s="35"/>
      <c r="L17" s="430">
        <v>28795.5</v>
      </c>
      <c r="M17" s="35"/>
      <c r="N17" s="301">
        <f t="shared" si="1"/>
        <v>2879.55</v>
      </c>
      <c r="O17" s="431">
        <f t="shared" si="2"/>
        <v>3484.2555</v>
      </c>
      <c r="P17" s="432">
        <f t="shared" si="3"/>
        <v>2879.55</v>
      </c>
      <c r="Q17" s="433">
        <f t="shared" si="4"/>
        <v>6335.01</v>
      </c>
      <c r="R17" s="141"/>
      <c r="S17" s="142">
        <f t="shared" si="5"/>
        <v>6968.511</v>
      </c>
      <c r="T17" s="434"/>
      <c r="U17" s="435">
        <f t="shared" si="6"/>
        <v>10</v>
      </c>
      <c r="V17" s="389">
        <f t="shared" ref="V17:W17" si="9">ROUNDUP(Q17,-2)</f>
        <v>6400</v>
      </c>
      <c r="W17" s="389">
        <f t="shared" si="9"/>
        <v>0</v>
      </c>
    </row>
    <row r="18" ht="15.75" customHeight="1">
      <c r="A18" s="153" t="s">
        <v>899</v>
      </c>
      <c r="B18" s="138" t="s">
        <v>900</v>
      </c>
      <c r="C18" s="35"/>
      <c r="D18" s="438"/>
      <c r="F18" s="138">
        <v>30.0</v>
      </c>
      <c r="G18" s="439">
        <v>50.0</v>
      </c>
      <c r="O18" s="431">
        <v>1677.6</v>
      </c>
      <c r="P18" s="432">
        <f t="shared" si="3"/>
        <v>1386.446281</v>
      </c>
      <c r="Q18" s="433">
        <f t="shared" si="4"/>
        <v>3050.181818</v>
      </c>
      <c r="S18" s="142">
        <f t="shared" si="5"/>
        <v>3355.2</v>
      </c>
      <c r="T18" s="434"/>
      <c r="U18" s="440">
        <f t="shared" si="6"/>
        <v>50</v>
      </c>
      <c r="V18" s="389">
        <f t="shared" ref="V18:W18" si="10">ROUNDUP(Q18,-2)</f>
        <v>3100</v>
      </c>
      <c r="W18" s="389">
        <f t="shared" si="10"/>
        <v>0</v>
      </c>
    </row>
    <row r="19" ht="15.75" customHeight="1">
      <c r="A19" s="441" t="s">
        <v>901</v>
      </c>
      <c r="B19" s="442" t="s">
        <v>902</v>
      </c>
      <c r="C19" s="35"/>
      <c r="D19" s="443"/>
      <c r="F19" s="138">
        <v>40.0</v>
      </c>
      <c r="G19" s="444">
        <v>40.0</v>
      </c>
      <c r="H19" s="445"/>
      <c r="I19" s="3"/>
      <c r="J19" s="438"/>
      <c r="K19" s="3"/>
      <c r="L19" s="438"/>
      <c r="M19" s="3"/>
      <c r="O19" s="446">
        <v>1806.65</v>
      </c>
      <c r="P19" s="432">
        <f t="shared" si="3"/>
        <v>1493.099174</v>
      </c>
      <c r="Q19" s="433">
        <f t="shared" si="4"/>
        <v>3284.818182</v>
      </c>
      <c r="S19" s="142">
        <f t="shared" si="5"/>
        <v>3613.3</v>
      </c>
      <c r="T19" s="434"/>
      <c r="U19" s="440">
        <f t="shared" si="6"/>
        <v>40</v>
      </c>
      <c r="V19" s="389">
        <f t="shared" ref="V19:W19" si="11">ROUNDUP(Q19,-2)</f>
        <v>3300</v>
      </c>
      <c r="W19" s="389">
        <f t="shared" si="11"/>
        <v>0</v>
      </c>
    </row>
    <row r="20" ht="15.75" customHeight="1">
      <c r="A20" s="153" t="s">
        <v>903</v>
      </c>
      <c r="B20" s="442" t="s">
        <v>904</v>
      </c>
      <c r="C20" s="35"/>
      <c r="D20" s="443"/>
      <c r="F20" s="138">
        <v>30.0</v>
      </c>
      <c r="G20" s="444">
        <v>30.0</v>
      </c>
      <c r="H20" s="447"/>
      <c r="J20" s="443"/>
      <c r="L20" s="443"/>
      <c r="O20" s="446">
        <v>2778.8</v>
      </c>
      <c r="P20" s="432">
        <f t="shared" si="3"/>
        <v>2296.528926</v>
      </c>
      <c r="Q20" s="433">
        <f t="shared" si="4"/>
        <v>5052.363636</v>
      </c>
      <c r="S20" s="142">
        <f t="shared" si="5"/>
        <v>5557.6</v>
      </c>
      <c r="T20" s="434"/>
      <c r="U20" s="440">
        <f t="shared" si="6"/>
        <v>30</v>
      </c>
    </row>
    <row r="21" ht="15.75" customHeight="1">
      <c r="A21" s="153" t="s">
        <v>905</v>
      </c>
      <c r="B21" s="442" t="s">
        <v>906</v>
      </c>
      <c r="C21" s="35"/>
      <c r="D21" s="443"/>
      <c r="F21" s="138">
        <v>30.0</v>
      </c>
      <c r="G21" s="444">
        <v>30.0</v>
      </c>
      <c r="H21" s="447"/>
      <c r="J21" s="443"/>
      <c r="L21" s="443"/>
      <c r="O21" s="446">
        <v>2778.8</v>
      </c>
      <c r="P21" s="432">
        <f t="shared" si="3"/>
        <v>2296.528926</v>
      </c>
      <c r="Q21" s="433">
        <f t="shared" si="4"/>
        <v>5052.363636</v>
      </c>
      <c r="S21" s="142">
        <f t="shared" si="5"/>
        <v>5557.6</v>
      </c>
      <c r="T21" s="434"/>
      <c r="U21" s="440">
        <f t="shared" si="6"/>
        <v>30</v>
      </c>
    </row>
    <row r="22" ht="15.75" customHeight="1">
      <c r="A22" s="153" t="s">
        <v>907</v>
      </c>
      <c r="B22" s="442" t="s">
        <v>908</v>
      </c>
      <c r="C22" s="35"/>
      <c r="D22" s="443"/>
      <c r="F22" s="138">
        <v>20.0</v>
      </c>
      <c r="G22" s="444">
        <v>20.0</v>
      </c>
      <c r="H22" s="447"/>
      <c r="J22" s="443"/>
      <c r="L22" s="443"/>
      <c r="O22" s="446">
        <v>3492.85</v>
      </c>
      <c r="P22" s="432">
        <f t="shared" si="3"/>
        <v>2886.652893</v>
      </c>
      <c r="Q22" s="433">
        <f t="shared" si="4"/>
        <v>6350.636364</v>
      </c>
      <c r="S22" s="142">
        <f t="shared" si="5"/>
        <v>6985.7</v>
      </c>
      <c r="T22" s="434"/>
      <c r="U22" s="440">
        <f t="shared" si="6"/>
        <v>20</v>
      </c>
    </row>
    <row r="23" ht="15.75" customHeight="1">
      <c r="A23" s="153" t="s">
        <v>909</v>
      </c>
      <c r="B23" s="442" t="s">
        <v>910</v>
      </c>
      <c r="C23" s="35"/>
      <c r="D23" s="443"/>
      <c r="F23" s="138">
        <v>20.0</v>
      </c>
      <c r="G23" s="444">
        <v>20.0</v>
      </c>
      <c r="H23" s="447"/>
      <c r="J23" s="443"/>
      <c r="L23" s="443"/>
      <c r="O23" s="446">
        <v>3492.85</v>
      </c>
      <c r="P23" s="432">
        <f t="shared" si="3"/>
        <v>2886.652893</v>
      </c>
      <c r="Q23" s="433">
        <f t="shared" si="4"/>
        <v>6350.636364</v>
      </c>
      <c r="S23" s="142">
        <f t="shared" si="5"/>
        <v>6985.7</v>
      </c>
      <c r="T23" s="434"/>
      <c r="U23" s="440">
        <f t="shared" si="6"/>
        <v>20</v>
      </c>
    </row>
    <row r="24" ht="17.25" customHeight="1">
      <c r="A24" s="153" t="s">
        <v>911</v>
      </c>
      <c r="B24" s="442" t="s">
        <v>912</v>
      </c>
      <c r="C24" s="35"/>
      <c r="D24" s="443"/>
      <c r="F24" s="138">
        <v>10.0</v>
      </c>
      <c r="G24" s="444">
        <v>10.0</v>
      </c>
      <c r="H24" s="447"/>
      <c r="J24" s="443"/>
      <c r="L24" s="443"/>
      <c r="O24" s="446">
        <v>5669.44</v>
      </c>
      <c r="P24" s="432">
        <f t="shared" si="3"/>
        <v>4685.487603</v>
      </c>
      <c r="Q24" s="433">
        <f t="shared" si="4"/>
        <v>10308.07273</v>
      </c>
      <c r="S24" s="142">
        <f t="shared" si="5"/>
        <v>11338.88</v>
      </c>
      <c r="T24" s="448">
        <v>1.0</v>
      </c>
      <c r="U24" s="440">
        <f t="shared" si="6"/>
        <v>9</v>
      </c>
    </row>
    <row r="25" ht="15.75" customHeight="1">
      <c r="A25" s="153" t="s">
        <v>913</v>
      </c>
      <c r="B25" s="442" t="s">
        <v>914</v>
      </c>
      <c r="C25" s="35"/>
      <c r="D25" s="443"/>
      <c r="F25" s="138">
        <v>40.0</v>
      </c>
      <c r="G25" s="444">
        <v>40.0</v>
      </c>
      <c r="H25" s="447"/>
      <c r="J25" s="443"/>
      <c r="L25" s="443"/>
      <c r="O25" s="446">
        <v>1978.74</v>
      </c>
      <c r="P25" s="432">
        <f t="shared" si="3"/>
        <v>1635.322314</v>
      </c>
      <c r="Q25" s="433">
        <f t="shared" si="4"/>
        <v>3597.709091</v>
      </c>
      <c r="S25" s="142">
        <f t="shared" si="5"/>
        <v>3957.48</v>
      </c>
      <c r="T25" s="434"/>
      <c r="U25" s="440">
        <f t="shared" si="6"/>
        <v>40</v>
      </c>
    </row>
    <row r="26" ht="15.75" customHeight="1">
      <c r="A26" s="153" t="s">
        <v>915</v>
      </c>
      <c r="B26" s="442" t="s">
        <v>916</v>
      </c>
      <c r="C26" s="35"/>
      <c r="D26" s="443"/>
      <c r="F26" s="138">
        <v>20.0</v>
      </c>
      <c r="G26" s="444">
        <v>20.0</v>
      </c>
      <c r="H26" s="447"/>
      <c r="J26" s="443"/>
      <c r="L26" s="443"/>
      <c r="O26" s="446">
        <v>4525.23</v>
      </c>
      <c r="P26" s="432">
        <f t="shared" si="3"/>
        <v>3739.859504</v>
      </c>
      <c r="Q26" s="433">
        <f t="shared" si="4"/>
        <v>8227.690909</v>
      </c>
      <c r="S26" s="142">
        <f t="shared" si="5"/>
        <v>9050.46</v>
      </c>
      <c r="T26" s="434"/>
      <c r="U26" s="440">
        <f t="shared" si="6"/>
        <v>20</v>
      </c>
    </row>
    <row r="27" ht="15.75" customHeight="1">
      <c r="A27" s="153" t="s">
        <v>917</v>
      </c>
      <c r="B27" s="442" t="s">
        <v>918</v>
      </c>
      <c r="C27" s="35"/>
      <c r="D27" s="443"/>
      <c r="F27" s="138">
        <v>20.0</v>
      </c>
      <c r="G27" s="444">
        <v>20.0</v>
      </c>
      <c r="H27" s="447"/>
      <c r="J27" s="443"/>
      <c r="L27" s="443"/>
      <c r="O27" s="446">
        <v>4525.23</v>
      </c>
      <c r="P27" s="432">
        <f t="shared" si="3"/>
        <v>3739.859504</v>
      </c>
      <c r="Q27" s="433">
        <f t="shared" si="4"/>
        <v>8227.690909</v>
      </c>
      <c r="S27" s="142">
        <f t="shared" si="5"/>
        <v>9050.46</v>
      </c>
      <c r="T27" s="434"/>
      <c r="U27" s="440">
        <f t="shared" si="6"/>
        <v>20</v>
      </c>
    </row>
    <row r="28" ht="15.75" customHeight="1">
      <c r="A28" s="153" t="s">
        <v>919</v>
      </c>
      <c r="B28" s="442" t="s">
        <v>920</v>
      </c>
      <c r="C28" s="35"/>
      <c r="D28" s="443"/>
      <c r="F28" s="138">
        <v>10.0</v>
      </c>
      <c r="G28" s="444">
        <v>10.0</v>
      </c>
      <c r="H28" s="447"/>
      <c r="J28" s="443"/>
      <c r="L28" s="443"/>
      <c r="O28" s="446">
        <v>6728.62</v>
      </c>
      <c r="P28" s="432">
        <f t="shared" si="3"/>
        <v>5560.842975</v>
      </c>
      <c r="Q28" s="433">
        <f t="shared" si="4"/>
        <v>12233.85455</v>
      </c>
      <c r="S28" s="142">
        <f t="shared" si="5"/>
        <v>13457.24</v>
      </c>
      <c r="T28" s="434"/>
      <c r="U28" s="440">
        <f t="shared" si="6"/>
        <v>10</v>
      </c>
    </row>
    <row r="29">
      <c r="A29" s="441" t="s">
        <v>921</v>
      </c>
      <c r="B29" s="449" t="s">
        <v>922</v>
      </c>
      <c r="C29" s="15"/>
      <c r="D29" s="450"/>
      <c r="E29" s="450"/>
      <c r="F29" s="450"/>
      <c r="G29" s="451">
        <v>10.0</v>
      </c>
      <c r="H29" s="452"/>
      <c r="I29" s="452"/>
      <c r="J29" s="452"/>
      <c r="K29" s="452"/>
      <c r="L29" s="452"/>
      <c r="M29" s="452"/>
      <c r="N29" s="452"/>
      <c r="O29" s="446">
        <v>6727.62</v>
      </c>
      <c r="P29" s="432">
        <f t="shared" si="3"/>
        <v>5560.016529</v>
      </c>
      <c r="Q29" s="433">
        <f t="shared" si="4"/>
        <v>12232.03636</v>
      </c>
      <c r="R29" s="452"/>
      <c r="S29" s="142">
        <f t="shared" si="5"/>
        <v>13455.24</v>
      </c>
      <c r="T29" s="453">
        <v>4.0</v>
      </c>
      <c r="U29" s="454">
        <f t="shared" si="6"/>
        <v>6</v>
      </c>
      <c r="V29" s="450"/>
      <c r="W29" s="450"/>
      <c r="X29" s="450"/>
      <c r="Y29" s="450"/>
      <c r="Z29" s="450"/>
      <c r="AA29" s="450"/>
      <c r="AB29" s="450"/>
    </row>
    <row r="30" ht="15.75" customHeight="1">
      <c r="A30" s="153" t="s">
        <v>923</v>
      </c>
      <c r="B30" s="138" t="s">
        <v>924</v>
      </c>
      <c r="C30" s="35"/>
      <c r="D30" s="443"/>
      <c r="F30" s="138">
        <v>5.0</v>
      </c>
      <c r="G30" s="444">
        <v>5.0</v>
      </c>
      <c r="H30" s="447"/>
      <c r="J30" s="443"/>
      <c r="L30" s="443"/>
      <c r="O30" s="446">
        <v>1075.38</v>
      </c>
      <c r="P30" s="432">
        <f t="shared" si="3"/>
        <v>888.7438017</v>
      </c>
      <c r="Q30" s="433">
        <f t="shared" si="4"/>
        <v>1955.236364</v>
      </c>
      <c r="S30" s="142">
        <f t="shared" si="5"/>
        <v>2150.76</v>
      </c>
      <c r="T30" s="434"/>
      <c r="U30" s="440">
        <f t="shared" si="6"/>
        <v>5</v>
      </c>
    </row>
    <row r="31" ht="15.75" customHeight="1">
      <c r="A31" s="153" t="s">
        <v>925</v>
      </c>
      <c r="B31" s="138" t="s">
        <v>926</v>
      </c>
      <c r="C31" s="35"/>
      <c r="D31" s="443"/>
      <c r="F31" s="138">
        <v>5.0</v>
      </c>
      <c r="G31" s="444">
        <v>5.0</v>
      </c>
      <c r="H31" s="455"/>
      <c r="J31" s="443"/>
      <c r="L31" s="443"/>
      <c r="O31" s="446">
        <v>1505.54</v>
      </c>
      <c r="P31" s="432">
        <f t="shared" si="3"/>
        <v>1244.247934</v>
      </c>
      <c r="Q31" s="433">
        <f t="shared" si="4"/>
        <v>2737.345455</v>
      </c>
      <c r="S31" s="142">
        <f t="shared" si="5"/>
        <v>3011.08</v>
      </c>
      <c r="T31" s="434"/>
      <c r="U31" s="440">
        <f t="shared" si="6"/>
        <v>5</v>
      </c>
    </row>
    <row r="32" ht="15.75" customHeight="1">
      <c r="A32" s="153" t="s">
        <v>927</v>
      </c>
      <c r="B32" s="138" t="s">
        <v>928</v>
      </c>
      <c r="C32" s="35"/>
      <c r="D32" s="443"/>
      <c r="F32" s="138">
        <v>5.0</v>
      </c>
      <c r="G32" s="444">
        <v>5.0</v>
      </c>
      <c r="H32" s="455"/>
      <c r="J32" s="443"/>
      <c r="L32" s="443"/>
      <c r="O32" s="446">
        <v>1720.62</v>
      </c>
      <c r="P32" s="432">
        <f t="shared" si="3"/>
        <v>1422</v>
      </c>
      <c r="Q32" s="433">
        <f t="shared" si="4"/>
        <v>3128.4</v>
      </c>
      <c r="S32" s="142">
        <f t="shared" si="5"/>
        <v>3441.24</v>
      </c>
      <c r="T32" s="434"/>
      <c r="U32" s="440">
        <f t="shared" si="6"/>
        <v>5</v>
      </c>
    </row>
    <row r="33" ht="15.75" customHeight="1">
      <c r="A33" s="153" t="s">
        <v>929</v>
      </c>
      <c r="B33" s="138" t="s">
        <v>930</v>
      </c>
      <c r="C33" s="35"/>
      <c r="D33" s="443"/>
      <c r="F33" s="456">
        <v>5.0</v>
      </c>
      <c r="G33" s="444">
        <v>5.0</v>
      </c>
      <c r="H33" s="447">
        <v>20.0</v>
      </c>
      <c r="J33" s="443" t="s">
        <v>931</v>
      </c>
      <c r="L33" s="456" t="s">
        <v>932</v>
      </c>
      <c r="O33" s="446">
        <v>2331.44</v>
      </c>
      <c r="P33" s="432">
        <f t="shared" si="3"/>
        <v>1926.809917</v>
      </c>
      <c r="Q33" s="433">
        <f t="shared" si="4"/>
        <v>4238.981818</v>
      </c>
      <c r="S33" s="142">
        <f t="shared" si="5"/>
        <v>4662.88</v>
      </c>
      <c r="T33" s="434"/>
      <c r="U33" s="440">
        <f t="shared" si="6"/>
        <v>5</v>
      </c>
    </row>
    <row r="34" ht="15.75" customHeight="1">
      <c r="A34" s="153">
        <v>1512.0</v>
      </c>
      <c r="B34" s="138" t="s">
        <v>933</v>
      </c>
      <c r="C34" s="35"/>
      <c r="D34" s="443"/>
      <c r="E34" s="443"/>
      <c r="F34" s="456">
        <v>200.0</v>
      </c>
      <c r="G34" s="444">
        <v>200.0</v>
      </c>
      <c r="H34" s="447"/>
      <c r="J34" s="443"/>
      <c r="L34" s="456"/>
      <c r="O34" s="446">
        <v>215.07</v>
      </c>
      <c r="P34" s="432">
        <f t="shared" si="3"/>
        <v>177.7438017</v>
      </c>
      <c r="Q34" s="433">
        <f t="shared" si="4"/>
        <v>391.0363636</v>
      </c>
      <c r="S34" s="142">
        <f t="shared" si="5"/>
        <v>430.14</v>
      </c>
      <c r="T34" s="434"/>
      <c r="U34" s="440">
        <f t="shared" si="6"/>
        <v>200</v>
      </c>
    </row>
    <row r="35" ht="15.75" customHeight="1">
      <c r="A35" s="153">
        <v>1514.0</v>
      </c>
      <c r="B35" s="138" t="s">
        <v>934</v>
      </c>
      <c r="C35" s="35"/>
      <c r="D35" s="443"/>
      <c r="F35" s="176">
        <v>100.0</v>
      </c>
      <c r="G35" s="444">
        <v>100.0</v>
      </c>
      <c r="O35" s="446">
        <v>223.68</v>
      </c>
      <c r="P35" s="432">
        <f t="shared" si="3"/>
        <v>184.8595041</v>
      </c>
      <c r="Q35" s="433">
        <f t="shared" si="4"/>
        <v>406.6909091</v>
      </c>
      <c r="S35" s="142">
        <f t="shared" si="5"/>
        <v>447.36</v>
      </c>
      <c r="T35" s="434"/>
      <c r="U35" s="440">
        <f t="shared" si="6"/>
        <v>100</v>
      </c>
    </row>
    <row r="36" ht="15.75" customHeight="1">
      <c r="A36" s="153">
        <v>2103.0</v>
      </c>
      <c r="B36" s="457" t="s">
        <v>935</v>
      </c>
      <c r="C36" s="35"/>
      <c r="D36" s="443"/>
      <c r="F36" s="176">
        <v>1.0</v>
      </c>
      <c r="G36" s="439">
        <v>100.0</v>
      </c>
      <c r="O36" s="446">
        <v>266.78</v>
      </c>
      <c r="P36" s="432">
        <f t="shared" si="3"/>
        <v>220.4793388</v>
      </c>
      <c r="Q36" s="433">
        <f t="shared" si="4"/>
        <v>485.0545455</v>
      </c>
      <c r="S36" s="142">
        <f t="shared" si="5"/>
        <v>533.56</v>
      </c>
      <c r="T36" s="434"/>
      <c r="U36" s="440">
        <f t="shared" si="6"/>
        <v>100</v>
      </c>
    </row>
    <row r="37" ht="15.75" customHeight="1">
      <c r="A37" s="153">
        <v>2106.0</v>
      </c>
      <c r="B37" s="457" t="s">
        <v>936</v>
      </c>
      <c r="C37" s="35"/>
      <c r="D37" s="443"/>
      <c r="F37" s="176">
        <v>1.0</v>
      </c>
      <c r="G37" s="439">
        <v>100.0</v>
      </c>
      <c r="O37" s="446">
        <v>316.33</v>
      </c>
      <c r="P37" s="432">
        <f t="shared" si="3"/>
        <v>261.4297521</v>
      </c>
      <c r="Q37" s="433">
        <f t="shared" si="4"/>
        <v>575.1454545</v>
      </c>
      <c r="S37" s="142">
        <f t="shared" si="5"/>
        <v>632.66</v>
      </c>
      <c r="T37" s="434"/>
      <c r="U37" s="440">
        <f t="shared" si="6"/>
        <v>100</v>
      </c>
    </row>
    <row r="38" ht="15.75" customHeight="1">
      <c r="A38" s="153">
        <v>2107.0</v>
      </c>
      <c r="B38" s="457" t="s">
        <v>937</v>
      </c>
      <c r="C38" s="35"/>
      <c r="D38" s="443"/>
      <c r="F38" s="176">
        <v>1.0</v>
      </c>
      <c r="G38" s="439">
        <v>100.0</v>
      </c>
      <c r="O38" s="446">
        <v>339.73</v>
      </c>
      <c r="P38" s="432">
        <f t="shared" si="3"/>
        <v>280.768595</v>
      </c>
      <c r="Q38" s="433">
        <f t="shared" si="4"/>
        <v>617.6909091</v>
      </c>
      <c r="S38" s="142">
        <f t="shared" si="5"/>
        <v>679.46</v>
      </c>
      <c r="T38" s="434"/>
      <c r="U38" s="440">
        <f t="shared" si="6"/>
        <v>100</v>
      </c>
    </row>
    <row r="39" ht="15.75" customHeight="1">
      <c r="A39" s="153">
        <v>2109.0</v>
      </c>
      <c r="B39" s="457" t="s">
        <v>938</v>
      </c>
      <c r="C39" s="35"/>
      <c r="D39" s="443"/>
      <c r="F39" s="176">
        <v>1.0</v>
      </c>
      <c r="G39" s="439">
        <v>100.0</v>
      </c>
      <c r="O39" s="446">
        <v>594.73</v>
      </c>
      <c r="P39" s="432">
        <f t="shared" si="3"/>
        <v>491.5123967</v>
      </c>
      <c r="Q39" s="433">
        <f t="shared" si="4"/>
        <v>1081.327273</v>
      </c>
      <c r="S39" s="142">
        <f t="shared" si="5"/>
        <v>1189.46</v>
      </c>
      <c r="T39" s="434"/>
      <c r="U39" s="440">
        <f t="shared" si="6"/>
        <v>100</v>
      </c>
    </row>
    <row r="40" ht="15.75" customHeight="1">
      <c r="A40" s="153" t="s">
        <v>939</v>
      </c>
      <c r="B40" s="458" t="s">
        <v>940</v>
      </c>
      <c r="C40" s="35"/>
      <c r="D40" s="443"/>
      <c r="F40" s="176">
        <v>100.0</v>
      </c>
      <c r="G40" s="444">
        <v>100.0</v>
      </c>
      <c r="O40" s="446">
        <v>395.74</v>
      </c>
      <c r="P40" s="432">
        <f t="shared" si="3"/>
        <v>327.0578512</v>
      </c>
      <c r="Q40" s="433">
        <f t="shared" si="4"/>
        <v>719.5272727</v>
      </c>
      <c r="S40" s="142">
        <f t="shared" si="5"/>
        <v>791.48</v>
      </c>
      <c r="T40" s="434"/>
      <c r="U40" s="440">
        <f t="shared" si="6"/>
        <v>100</v>
      </c>
    </row>
    <row r="41" ht="15.75" customHeight="1">
      <c r="A41" s="153" t="s">
        <v>941</v>
      </c>
      <c r="B41" s="458" t="s">
        <v>942</v>
      </c>
      <c r="C41" s="35"/>
      <c r="D41" s="443"/>
      <c r="F41" s="176">
        <v>100.0</v>
      </c>
      <c r="G41" s="444">
        <v>100.0</v>
      </c>
      <c r="O41" s="446">
        <v>404.34</v>
      </c>
      <c r="P41" s="432">
        <f t="shared" si="3"/>
        <v>334.1652893</v>
      </c>
      <c r="Q41" s="433">
        <f t="shared" si="4"/>
        <v>735.1636364</v>
      </c>
      <c r="S41" s="142">
        <f t="shared" si="5"/>
        <v>808.68</v>
      </c>
      <c r="T41" s="434"/>
      <c r="U41" s="440">
        <f t="shared" si="6"/>
        <v>100</v>
      </c>
    </row>
    <row r="42" ht="15.75" customHeight="1">
      <c r="A42" s="153" t="s">
        <v>943</v>
      </c>
      <c r="B42" s="458" t="s">
        <v>944</v>
      </c>
      <c r="C42" s="35"/>
      <c r="D42" s="443"/>
      <c r="F42" s="176">
        <v>100.0</v>
      </c>
      <c r="G42" s="444">
        <v>100.0</v>
      </c>
      <c r="O42" s="446">
        <v>412.94</v>
      </c>
      <c r="P42" s="432">
        <f t="shared" si="3"/>
        <v>341.2727273</v>
      </c>
      <c r="Q42" s="433">
        <f t="shared" si="4"/>
        <v>750.8</v>
      </c>
      <c r="S42" s="142">
        <f t="shared" si="5"/>
        <v>825.88</v>
      </c>
      <c r="T42" s="434"/>
      <c r="U42" s="440">
        <f t="shared" si="6"/>
        <v>100</v>
      </c>
    </row>
    <row r="43" ht="15.75" customHeight="1">
      <c r="A43" s="153" t="s">
        <v>945</v>
      </c>
      <c r="B43" s="458" t="s">
        <v>946</v>
      </c>
      <c r="C43" s="35"/>
      <c r="D43" s="443"/>
      <c r="F43" s="176">
        <v>100.0</v>
      </c>
      <c r="G43" s="444">
        <v>100.0</v>
      </c>
      <c r="O43" s="446">
        <v>447.36</v>
      </c>
      <c r="P43" s="432">
        <f t="shared" si="3"/>
        <v>369.7190083</v>
      </c>
      <c r="Q43" s="433">
        <f t="shared" si="4"/>
        <v>813.3818182</v>
      </c>
      <c r="S43" s="142">
        <f t="shared" si="5"/>
        <v>894.72</v>
      </c>
      <c r="T43" s="434"/>
      <c r="U43" s="440">
        <f t="shared" si="6"/>
        <v>100</v>
      </c>
    </row>
    <row r="44" ht="15.75" customHeight="1">
      <c r="A44" s="153" t="s">
        <v>947</v>
      </c>
      <c r="B44" s="458" t="s">
        <v>948</v>
      </c>
      <c r="C44" s="35"/>
      <c r="D44" s="443"/>
      <c r="F44" s="176">
        <v>50.0</v>
      </c>
      <c r="G44" s="444">
        <v>50.0</v>
      </c>
      <c r="O44" s="446">
        <v>653.83</v>
      </c>
      <c r="P44" s="432">
        <f t="shared" si="3"/>
        <v>540.3553719</v>
      </c>
      <c r="Q44" s="433">
        <f t="shared" si="4"/>
        <v>1188.781818</v>
      </c>
      <c r="S44" s="142">
        <f t="shared" si="5"/>
        <v>1307.66</v>
      </c>
      <c r="T44" s="448">
        <v>1.0</v>
      </c>
      <c r="U44" s="440">
        <f t="shared" si="6"/>
        <v>49</v>
      </c>
    </row>
    <row r="45" ht="15.75" customHeight="1">
      <c r="A45" s="153" t="s">
        <v>949</v>
      </c>
      <c r="B45" s="458" t="s">
        <v>950</v>
      </c>
      <c r="C45" s="35"/>
      <c r="D45" s="443"/>
      <c r="F45" s="176">
        <v>50.0</v>
      </c>
      <c r="G45" s="444">
        <v>50.0</v>
      </c>
      <c r="O45" s="446">
        <v>739.86</v>
      </c>
      <c r="P45" s="432">
        <f t="shared" si="3"/>
        <v>611.4545455</v>
      </c>
      <c r="Q45" s="433">
        <f t="shared" si="4"/>
        <v>1345.2</v>
      </c>
      <c r="S45" s="142">
        <f t="shared" si="5"/>
        <v>1479.72</v>
      </c>
      <c r="T45" s="434"/>
      <c r="U45" s="440">
        <f t="shared" si="6"/>
        <v>50</v>
      </c>
    </row>
    <row r="46" ht="15.75" customHeight="1">
      <c r="A46" s="153" t="s">
        <v>951</v>
      </c>
      <c r="B46" s="458" t="s">
        <v>952</v>
      </c>
      <c r="C46" s="35"/>
      <c r="D46" s="443"/>
      <c r="F46" s="176">
        <v>25.0</v>
      </c>
      <c r="G46" s="444">
        <v>25.0</v>
      </c>
      <c r="O46" s="446">
        <v>1230.24</v>
      </c>
      <c r="P46" s="432">
        <f t="shared" si="3"/>
        <v>1016.727273</v>
      </c>
      <c r="Q46" s="433">
        <f t="shared" si="4"/>
        <v>2236.8</v>
      </c>
      <c r="S46" s="142">
        <f t="shared" si="5"/>
        <v>2460.48</v>
      </c>
      <c r="T46" s="434"/>
      <c r="U46" s="440">
        <f t="shared" si="6"/>
        <v>25</v>
      </c>
    </row>
    <row r="47" ht="15.75" customHeight="1">
      <c r="A47" s="153" t="s">
        <v>953</v>
      </c>
      <c r="B47" s="458" t="s">
        <v>954</v>
      </c>
      <c r="C47" s="35"/>
      <c r="D47" s="443"/>
      <c r="F47" s="176">
        <v>25.0</v>
      </c>
      <c r="G47" s="444">
        <v>25.0</v>
      </c>
      <c r="O47" s="446">
        <v>2176.58</v>
      </c>
      <c r="P47" s="432">
        <f t="shared" si="3"/>
        <v>1798.826446</v>
      </c>
      <c r="Q47" s="433">
        <f t="shared" si="4"/>
        <v>3957.418182</v>
      </c>
      <c r="S47" s="142">
        <f t="shared" si="5"/>
        <v>4353.16</v>
      </c>
      <c r="T47" s="434"/>
      <c r="U47" s="440">
        <f t="shared" si="6"/>
        <v>25</v>
      </c>
    </row>
    <row r="48" ht="15.75" customHeight="1">
      <c r="A48" s="153" t="s">
        <v>955</v>
      </c>
      <c r="B48" s="458" t="s">
        <v>956</v>
      </c>
      <c r="C48" s="35"/>
      <c r="D48" s="443"/>
      <c r="F48" s="176">
        <v>25.0</v>
      </c>
      <c r="G48" s="444">
        <v>25.0</v>
      </c>
      <c r="O48" s="446">
        <v>2684.16</v>
      </c>
      <c r="P48" s="432">
        <f t="shared" si="3"/>
        <v>2218.31405</v>
      </c>
      <c r="Q48" s="433">
        <f t="shared" si="4"/>
        <v>4880.290909</v>
      </c>
      <c r="S48" s="142">
        <f t="shared" si="5"/>
        <v>5368.32</v>
      </c>
      <c r="T48" s="434"/>
      <c r="U48" s="440">
        <f t="shared" si="6"/>
        <v>25</v>
      </c>
    </row>
    <row r="49" ht="15.75" customHeight="1">
      <c r="A49" s="153" t="s">
        <v>957</v>
      </c>
      <c r="B49" s="458" t="s">
        <v>958</v>
      </c>
      <c r="C49" s="35"/>
      <c r="D49" s="443"/>
      <c r="F49" s="176">
        <v>25.0</v>
      </c>
      <c r="G49" s="444">
        <v>25.0</v>
      </c>
      <c r="O49" s="446">
        <v>3140.13</v>
      </c>
      <c r="P49" s="432">
        <f t="shared" si="3"/>
        <v>2595.14876</v>
      </c>
      <c r="Q49" s="433">
        <f t="shared" si="4"/>
        <v>5709.327273</v>
      </c>
      <c r="S49" s="142">
        <f t="shared" si="5"/>
        <v>6280.26</v>
      </c>
      <c r="T49" s="434"/>
      <c r="U49" s="440">
        <f t="shared" si="6"/>
        <v>25</v>
      </c>
    </row>
    <row r="50">
      <c r="P50" s="459"/>
    </row>
    <row r="51" ht="15.75" customHeight="1">
      <c r="P51" s="459"/>
    </row>
    <row r="52" ht="15.75" customHeight="1">
      <c r="P52" s="459"/>
    </row>
    <row r="53" ht="15.75" customHeight="1">
      <c r="P53" s="459"/>
    </row>
    <row r="54" ht="15.75" customHeight="1">
      <c r="P54" s="459"/>
    </row>
    <row r="55" ht="15.75" customHeight="1">
      <c r="P55" s="459"/>
    </row>
    <row r="56" ht="15.75" customHeight="1">
      <c r="P56" s="459"/>
    </row>
    <row r="57" ht="15.75" customHeight="1">
      <c r="P57" s="459"/>
    </row>
    <row r="58" ht="15.75" customHeight="1">
      <c r="P58" s="459"/>
    </row>
    <row r="59" ht="15.75" customHeight="1">
      <c r="P59" s="459"/>
    </row>
    <row r="60" ht="15.75" customHeight="1">
      <c r="P60" s="459"/>
    </row>
    <row r="61" ht="15.75" customHeight="1">
      <c r="P61" s="459"/>
    </row>
    <row r="62" ht="15.75" customHeight="1">
      <c r="P62" s="459"/>
    </row>
    <row r="63" ht="15.75" customHeight="1">
      <c r="P63" s="459"/>
    </row>
    <row r="64" ht="15.75" customHeight="1">
      <c r="P64" s="459"/>
    </row>
    <row r="65" ht="15.75" customHeight="1">
      <c r="P65" s="459"/>
    </row>
    <row r="66" ht="15.75" customHeight="1">
      <c r="P66" s="459"/>
    </row>
    <row r="67" ht="15.75" customHeight="1">
      <c r="P67" s="459"/>
    </row>
    <row r="68" ht="15.75" customHeight="1">
      <c r="P68" s="459"/>
    </row>
    <row r="69" ht="15.75" customHeight="1">
      <c r="P69" s="459"/>
    </row>
    <row r="70" ht="15.75" customHeight="1">
      <c r="P70" s="459"/>
    </row>
    <row r="71" ht="15.75" customHeight="1">
      <c r="P71" s="459"/>
    </row>
    <row r="72" ht="15.75" customHeight="1">
      <c r="P72" s="459"/>
    </row>
    <row r="73" ht="15.75" customHeight="1">
      <c r="P73" s="459"/>
    </row>
    <row r="74" ht="15.75" customHeight="1">
      <c r="P74" s="459"/>
    </row>
    <row r="75" ht="15.75" customHeight="1">
      <c r="P75" s="459"/>
    </row>
    <row r="76" ht="15.75" customHeight="1">
      <c r="P76" s="459"/>
    </row>
    <row r="77" ht="15.75" customHeight="1">
      <c r="P77" s="459"/>
    </row>
    <row r="78" ht="15.75" customHeight="1">
      <c r="P78" s="459"/>
    </row>
    <row r="79" ht="15.75" customHeight="1">
      <c r="P79" s="459"/>
    </row>
    <row r="80" ht="15.75" customHeight="1">
      <c r="P80" s="459"/>
    </row>
    <row r="81" ht="15.75" customHeight="1">
      <c r="P81" s="459"/>
    </row>
    <row r="82" ht="15.75" customHeight="1">
      <c r="P82" s="459"/>
    </row>
    <row r="83" ht="15.75" customHeight="1">
      <c r="P83" s="459"/>
    </row>
    <row r="84" ht="15.75" customHeight="1">
      <c r="P84" s="459"/>
    </row>
    <row r="85" ht="15.75" customHeight="1">
      <c r="P85" s="459"/>
    </row>
    <row r="86" ht="15.75" customHeight="1">
      <c r="P86" s="459"/>
    </row>
    <row r="87" ht="15.75" customHeight="1">
      <c r="P87" s="459"/>
    </row>
    <row r="88" ht="15.75" customHeight="1">
      <c r="P88" s="459"/>
    </row>
    <row r="89" ht="15.75" customHeight="1">
      <c r="P89" s="459"/>
    </row>
    <row r="90" ht="15.75" customHeight="1">
      <c r="P90" s="459"/>
    </row>
    <row r="91" ht="15.75" customHeight="1">
      <c r="P91" s="459"/>
    </row>
    <row r="92" ht="15.75" customHeight="1">
      <c r="P92" s="459"/>
    </row>
    <row r="93" ht="15.75" customHeight="1">
      <c r="P93" s="459"/>
    </row>
    <row r="94" ht="15.75" customHeight="1">
      <c r="P94" s="459"/>
    </row>
    <row r="95" ht="15.75" customHeight="1">
      <c r="P95" s="459"/>
    </row>
    <row r="96" ht="15.75" customHeight="1">
      <c r="P96" s="459"/>
    </row>
    <row r="97" ht="15.75" customHeight="1">
      <c r="P97" s="459"/>
    </row>
    <row r="98" ht="15.75" customHeight="1">
      <c r="P98" s="459"/>
    </row>
    <row r="99" ht="15.75" customHeight="1">
      <c r="P99" s="459"/>
    </row>
    <row r="100" ht="15.75" customHeight="1">
      <c r="P100" s="459"/>
    </row>
    <row r="101" ht="15.75" customHeight="1">
      <c r="P101" s="459"/>
    </row>
    <row r="102" ht="15.75" customHeight="1">
      <c r="P102" s="459"/>
    </row>
    <row r="103" ht="15.75" customHeight="1">
      <c r="P103" s="459"/>
    </row>
    <row r="104" ht="15.75" customHeight="1">
      <c r="P104" s="459"/>
    </row>
    <row r="105" ht="15.75" customHeight="1">
      <c r="P105" s="459"/>
    </row>
    <row r="106" ht="15.75" customHeight="1">
      <c r="P106" s="459"/>
    </row>
    <row r="107" ht="15.75" customHeight="1">
      <c r="P107" s="459"/>
    </row>
    <row r="108" ht="15.75" customHeight="1">
      <c r="P108" s="459"/>
    </row>
    <row r="109" ht="15.75" customHeight="1">
      <c r="P109" s="459"/>
    </row>
    <row r="110" ht="15.75" customHeight="1">
      <c r="P110" s="459"/>
    </row>
    <row r="111" ht="15.75" customHeight="1">
      <c r="P111" s="459"/>
    </row>
    <row r="112" ht="15.75" customHeight="1">
      <c r="P112" s="459"/>
    </row>
    <row r="113" ht="15.75" customHeight="1">
      <c r="P113" s="459"/>
    </row>
    <row r="114" ht="15.75" customHeight="1">
      <c r="P114" s="459"/>
    </row>
    <row r="115" ht="15.75" customHeight="1">
      <c r="P115" s="459"/>
    </row>
    <row r="116" ht="15.75" customHeight="1">
      <c r="P116" s="459"/>
    </row>
    <row r="117" ht="15.75" customHeight="1">
      <c r="P117" s="459"/>
    </row>
    <row r="118" ht="15.75" customHeight="1">
      <c r="P118" s="459"/>
    </row>
    <row r="119" ht="15.75" customHeight="1">
      <c r="P119" s="459"/>
    </row>
    <row r="120" ht="15.75" customHeight="1">
      <c r="P120" s="459"/>
    </row>
    <row r="121" ht="15.75" customHeight="1">
      <c r="P121" s="459"/>
    </row>
    <row r="122" ht="15.75" customHeight="1">
      <c r="P122" s="459"/>
    </row>
    <row r="123" ht="15.75" customHeight="1">
      <c r="P123" s="459"/>
    </row>
    <row r="124" ht="15.75" customHeight="1">
      <c r="P124" s="459"/>
    </row>
    <row r="125" ht="15.75" customHeight="1">
      <c r="P125" s="459"/>
    </row>
    <row r="126" ht="15.75" customHeight="1">
      <c r="P126" s="459"/>
    </row>
    <row r="127" ht="15.75" customHeight="1">
      <c r="P127" s="459"/>
    </row>
    <row r="128" ht="15.75" customHeight="1">
      <c r="P128" s="459"/>
    </row>
    <row r="129" ht="15.75" customHeight="1">
      <c r="P129" s="459"/>
    </row>
    <row r="130" ht="15.75" customHeight="1">
      <c r="P130" s="459"/>
    </row>
    <row r="131" ht="15.75" customHeight="1">
      <c r="P131" s="459"/>
    </row>
    <row r="132" ht="15.75" customHeight="1">
      <c r="P132" s="459"/>
    </row>
    <row r="133" ht="15.75" customHeight="1">
      <c r="P133" s="459"/>
    </row>
    <row r="134" ht="15.75" customHeight="1">
      <c r="P134" s="459"/>
    </row>
    <row r="135" ht="15.75" customHeight="1">
      <c r="P135" s="459"/>
    </row>
    <row r="136" ht="15.75" customHeight="1">
      <c r="P136" s="459"/>
    </row>
    <row r="137" ht="15.75" customHeight="1">
      <c r="P137" s="459"/>
    </row>
    <row r="138" ht="15.75" customHeight="1">
      <c r="P138" s="459"/>
    </row>
    <row r="139" ht="15.75" customHeight="1">
      <c r="P139" s="459"/>
    </row>
    <row r="140" ht="15.75" customHeight="1">
      <c r="P140" s="459"/>
    </row>
    <row r="141" ht="15.75" customHeight="1">
      <c r="P141" s="459"/>
    </row>
    <row r="142" ht="15.75" customHeight="1">
      <c r="P142" s="459"/>
    </row>
    <row r="143" ht="15.75" customHeight="1">
      <c r="P143" s="459"/>
    </row>
    <row r="144" ht="15.75" customHeight="1">
      <c r="P144" s="459"/>
    </row>
    <row r="145" ht="15.75" customHeight="1">
      <c r="P145" s="459"/>
    </row>
    <row r="146" ht="15.75" customHeight="1">
      <c r="P146" s="459"/>
    </row>
    <row r="147" ht="15.75" customHeight="1">
      <c r="P147" s="459"/>
    </row>
    <row r="148" ht="15.75" customHeight="1">
      <c r="P148" s="459"/>
    </row>
    <row r="149" ht="15.75" customHeight="1">
      <c r="P149" s="459"/>
    </row>
    <row r="150" ht="15.75" customHeight="1">
      <c r="P150" s="459"/>
    </row>
    <row r="151" ht="15.75" customHeight="1">
      <c r="P151" s="459"/>
    </row>
    <row r="152" ht="15.75" customHeight="1">
      <c r="P152" s="459"/>
    </row>
    <row r="153" ht="15.75" customHeight="1">
      <c r="P153" s="459"/>
    </row>
    <row r="154" ht="15.75" customHeight="1">
      <c r="P154" s="459"/>
    </row>
    <row r="155" ht="15.75" customHeight="1">
      <c r="P155" s="459"/>
    </row>
    <row r="156" ht="15.75" customHeight="1">
      <c r="P156" s="459"/>
    </row>
    <row r="157" ht="15.75" customHeight="1">
      <c r="P157" s="459"/>
    </row>
    <row r="158" ht="15.75" customHeight="1">
      <c r="P158" s="459"/>
    </row>
    <row r="159" ht="15.75" customHeight="1">
      <c r="P159" s="459"/>
    </row>
    <row r="160" ht="15.75" customHeight="1">
      <c r="P160" s="459"/>
    </row>
    <row r="161" ht="15.75" customHeight="1">
      <c r="P161" s="459"/>
    </row>
    <row r="162" ht="15.75" customHeight="1">
      <c r="P162" s="459"/>
    </row>
    <row r="163" ht="15.75" customHeight="1">
      <c r="P163" s="459"/>
    </row>
    <row r="164" ht="15.75" customHeight="1">
      <c r="P164" s="459"/>
    </row>
    <row r="165" ht="15.75" customHeight="1">
      <c r="P165" s="459"/>
    </row>
    <row r="166" ht="15.75" customHeight="1">
      <c r="P166" s="459"/>
    </row>
    <row r="167" ht="15.75" customHeight="1">
      <c r="P167" s="459"/>
    </row>
    <row r="168" ht="15.75" customHeight="1">
      <c r="P168" s="459"/>
    </row>
    <row r="169" ht="15.75" customHeight="1">
      <c r="P169" s="459"/>
    </row>
    <row r="170" ht="15.75" customHeight="1">
      <c r="P170" s="459"/>
    </row>
    <row r="171" ht="15.75" customHeight="1">
      <c r="P171" s="459"/>
    </row>
    <row r="172" ht="15.75" customHeight="1">
      <c r="P172" s="459"/>
    </row>
    <row r="173" ht="15.75" customHeight="1">
      <c r="P173" s="459"/>
    </row>
    <row r="174" ht="15.75" customHeight="1">
      <c r="P174" s="459"/>
    </row>
    <row r="175" ht="15.75" customHeight="1">
      <c r="P175" s="459"/>
    </row>
    <row r="176" ht="15.75" customHeight="1">
      <c r="P176" s="459"/>
    </row>
    <row r="177" ht="15.75" customHeight="1">
      <c r="P177" s="459"/>
    </row>
    <row r="178" ht="15.75" customHeight="1">
      <c r="P178" s="459"/>
    </row>
    <row r="179" ht="15.75" customHeight="1">
      <c r="P179" s="459"/>
    </row>
    <row r="180" ht="15.75" customHeight="1">
      <c r="P180" s="459"/>
    </row>
    <row r="181" ht="15.75" customHeight="1">
      <c r="P181" s="459"/>
    </row>
    <row r="182" ht="15.75" customHeight="1">
      <c r="P182" s="459"/>
    </row>
    <row r="183" ht="15.75" customHeight="1">
      <c r="P183" s="459"/>
    </row>
    <row r="184" ht="15.75" customHeight="1">
      <c r="P184" s="459"/>
    </row>
    <row r="185" ht="15.75" customHeight="1">
      <c r="P185" s="459"/>
    </row>
    <row r="186" ht="15.75" customHeight="1">
      <c r="P186" s="459"/>
    </row>
    <row r="187" ht="15.75" customHeight="1">
      <c r="P187" s="459"/>
    </row>
    <row r="188" ht="15.75" customHeight="1">
      <c r="P188" s="459"/>
    </row>
    <row r="189" ht="15.75" customHeight="1">
      <c r="P189" s="459"/>
    </row>
    <row r="190" ht="15.75" customHeight="1">
      <c r="P190" s="459"/>
    </row>
    <row r="191" ht="15.75" customHeight="1">
      <c r="P191" s="459"/>
    </row>
    <row r="192" ht="15.75" customHeight="1">
      <c r="P192" s="459"/>
    </row>
    <row r="193" ht="15.75" customHeight="1">
      <c r="P193" s="459"/>
    </row>
    <row r="194" ht="15.75" customHeight="1">
      <c r="P194" s="459"/>
    </row>
    <row r="195" ht="15.75" customHeight="1">
      <c r="P195" s="459"/>
    </row>
    <row r="196" ht="15.75" customHeight="1">
      <c r="P196" s="459"/>
    </row>
    <row r="197" ht="15.75" customHeight="1">
      <c r="P197" s="459"/>
    </row>
    <row r="198" ht="15.75" customHeight="1">
      <c r="P198" s="459"/>
    </row>
    <row r="199" ht="15.75" customHeight="1">
      <c r="P199" s="459"/>
    </row>
    <row r="200" ht="15.75" customHeight="1">
      <c r="P200" s="459"/>
    </row>
    <row r="201" ht="15.75" customHeight="1">
      <c r="P201" s="459"/>
    </row>
    <row r="202" ht="15.75" customHeight="1">
      <c r="P202" s="459"/>
    </row>
    <row r="203" ht="15.75" customHeight="1">
      <c r="P203" s="459"/>
    </row>
    <row r="204" ht="15.75" customHeight="1">
      <c r="P204" s="459"/>
    </row>
    <row r="205" ht="15.75" customHeight="1">
      <c r="P205" s="459"/>
    </row>
    <row r="206" ht="15.75" customHeight="1">
      <c r="P206" s="459"/>
    </row>
    <row r="207" ht="15.75" customHeight="1">
      <c r="P207" s="459"/>
    </row>
    <row r="208" ht="15.75" customHeight="1">
      <c r="P208" s="459"/>
    </row>
    <row r="209" ht="15.75" customHeight="1">
      <c r="P209" s="459"/>
    </row>
    <row r="210" ht="15.75" customHeight="1">
      <c r="P210" s="459"/>
    </row>
    <row r="211" ht="15.75" customHeight="1">
      <c r="P211" s="459"/>
    </row>
    <row r="212" ht="15.75" customHeight="1">
      <c r="P212" s="459"/>
    </row>
    <row r="213" ht="15.75" customHeight="1">
      <c r="P213" s="459"/>
    </row>
    <row r="214" ht="15.75" customHeight="1">
      <c r="P214" s="459"/>
    </row>
    <row r="215" ht="15.75" customHeight="1">
      <c r="P215" s="459"/>
    </row>
    <row r="216" ht="15.75" customHeight="1">
      <c r="P216" s="459"/>
    </row>
    <row r="217" ht="15.75" customHeight="1">
      <c r="P217" s="459"/>
    </row>
    <row r="218" ht="15.75" customHeight="1">
      <c r="P218" s="459"/>
    </row>
    <row r="219" ht="15.75" customHeight="1">
      <c r="P219" s="459"/>
    </row>
    <row r="220" ht="15.75" customHeight="1">
      <c r="P220" s="459"/>
    </row>
    <row r="221" ht="15.75" customHeight="1">
      <c r="P221" s="459"/>
    </row>
    <row r="222" ht="15.75" customHeight="1">
      <c r="P222" s="459"/>
    </row>
    <row r="223" ht="15.75" customHeight="1">
      <c r="P223" s="459"/>
    </row>
    <row r="224" ht="15.75" customHeight="1">
      <c r="P224" s="459"/>
    </row>
    <row r="225" ht="15.75" customHeight="1">
      <c r="P225" s="459"/>
    </row>
    <row r="226" ht="15.75" customHeight="1">
      <c r="P226" s="459"/>
    </row>
    <row r="227" ht="15.75" customHeight="1">
      <c r="P227" s="459"/>
    </row>
    <row r="228" ht="15.75" customHeight="1">
      <c r="P228" s="459"/>
    </row>
    <row r="229" ht="15.75" customHeight="1">
      <c r="P229" s="459"/>
    </row>
    <row r="230" ht="15.75" customHeight="1">
      <c r="P230" s="459"/>
    </row>
    <row r="231" ht="15.75" customHeight="1">
      <c r="P231" s="459"/>
    </row>
    <row r="232" ht="15.75" customHeight="1">
      <c r="P232" s="459"/>
    </row>
    <row r="233" ht="15.75" customHeight="1">
      <c r="P233" s="459"/>
    </row>
    <row r="234" ht="15.75" customHeight="1">
      <c r="P234" s="459"/>
    </row>
    <row r="235" ht="15.75" customHeight="1">
      <c r="P235" s="459"/>
    </row>
    <row r="236" ht="15.75" customHeight="1">
      <c r="P236" s="459"/>
    </row>
    <row r="237" ht="15.75" customHeight="1">
      <c r="P237" s="459"/>
    </row>
    <row r="238" ht="15.75" customHeight="1">
      <c r="P238" s="459"/>
    </row>
    <row r="239" ht="15.75" customHeight="1">
      <c r="P239" s="459"/>
    </row>
    <row r="240" ht="15.75" customHeight="1">
      <c r="P240" s="459"/>
    </row>
    <row r="241" ht="15.75" customHeight="1">
      <c r="P241" s="459"/>
    </row>
    <row r="242" ht="15.75" customHeight="1">
      <c r="P242" s="459"/>
    </row>
    <row r="243" ht="15.75" customHeight="1">
      <c r="P243" s="459"/>
    </row>
    <row r="244" ht="15.75" customHeight="1">
      <c r="P244" s="459"/>
    </row>
    <row r="245" ht="15.75" customHeight="1">
      <c r="P245" s="459"/>
    </row>
    <row r="246" ht="15.75" customHeight="1">
      <c r="P246" s="459"/>
    </row>
    <row r="247" ht="15.75" customHeight="1">
      <c r="P247" s="459"/>
    </row>
    <row r="248" ht="15.75" customHeight="1">
      <c r="P248" s="459"/>
    </row>
    <row r="249" ht="15.75" customHeight="1">
      <c r="P249" s="459"/>
    </row>
    <row r="250" ht="15.75" customHeight="1">
      <c r="P250" s="459"/>
    </row>
    <row r="251" ht="15.75" customHeight="1">
      <c r="P251" s="459"/>
    </row>
    <row r="252" ht="15.75" customHeight="1">
      <c r="P252" s="459"/>
    </row>
    <row r="253" ht="15.75" customHeight="1">
      <c r="P253" s="459"/>
    </row>
    <row r="254" ht="15.75" customHeight="1">
      <c r="P254" s="459"/>
    </row>
    <row r="255" ht="15.75" customHeight="1">
      <c r="P255" s="459"/>
    </row>
    <row r="256" ht="15.75" customHeight="1">
      <c r="P256" s="459"/>
    </row>
    <row r="257" ht="15.75" customHeight="1">
      <c r="P257" s="459"/>
    </row>
    <row r="258" ht="15.75" customHeight="1">
      <c r="P258" s="459"/>
    </row>
    <row r="259" ht="15.75" customHeight="1">
      <c r="P259" s="459"/>
    </row>
    <row r="260" ht="15.75" customHeight="1">
      <c r="P260" s="459"/>
    </row>
    <row r="261" ht="15.75" customHeight="1">
      <c r="P261" s="459"/>
    </row>
    <row r="262" ht="15.75" customHeight="1">
      <c r="P262" s="459"/>
    </row>
    <row r="263" ht="15.75" customHeight="1">
      <c r="P263" s="459"/>
    </row>
    <row r="264" ht="15.75" customHeight="1">
      <c r="P264" s="459"/>
    </row>
    <row r="265" ht="15.75" customHeight="1">
      <c r="P265" s="459"/>
    </row>
    <row r="266" ht="15.75" customHeight="1">
      <c r="P266" s="459"/>
    </row>
    <row r="267" ht="15.75" customHeight="1">
      <c r="P267" s="459"/>
    </row>
    <row r="268" ht="15.75" customHeight="1">
      <c r="P268" s="459"/>
    </row>
    <row r="269" ht="15.75" customHeight="1">
      <c r="P269" s="459"/>
    </row>
    <row r="270" ht="15.75" customHeight="1">
      <c r="P270" s="459"/>
    </row>
    <row r="271" ht="15.75" customHeight="1">
      <c r="P271" s="459"/>
    </row>
    <row r="272" ht="15.75" customHeight="1">
      <c r="P272" s="459"/>
    </row>
    <row r="273" ht="15.75" customHeight="1">
      <c r="P273" s="459"/>
    </row>
    <row r="274" ht="15.75" customHeight="1">
      <c r="P274" s="459"/>
    </row>
    <row r="275" ht="15.75" customHeight="1">
      <c r="P275" s="459"/>
    </row>
    <row r="276" ht="15.75" customHeight="1">
      <c r="P276" s="459"/>
    </row>
    <row r="277" ht="15.75" customHeight="1">
      <c r="P277" s="459"/>
    </row>
    <row r="278" ht="15.75" customHeight="1">
      <c r="P278" s="459"/>
    </row>
    <row r="279" ht="15.75" customHeight="1">
      <c r="P279" s="459"/>
    </row>
    <row r="280" ht="15.75" customHeight="1">
      <c r="P280" s="459"/>
    </row>
    <row r="281" ht="15.75" customHeight="1">
      <c r="P281" s="459"/>
    </row>
    <row r="282" ht="15.75" customHeight="1">
      <c r="P282" s="459"/>
    </row>
    <row r="283" ht="15.75" customHeight="1">
      <c r="P283" s="459"/>
    </row>
    <row r="284" ht="15.75" customHeight="1">
      <c r="P284" s="459"/>
    </row>
    <row r="285" ht="15.75" customHeight="1">
      <c r="P285" s="459"/>
    </row>
    <row r="286" ht="15.75" customHeight="1">
      <c r="P286" s="459"/>
    </row>
    <row r="287" ht="15.75" customHeight="1">
      <c r="P287" s="459"/>
    </row>
    <row r="288" ht="15.75" customHeight="1">
      <c r="P288" s="459"/>
    </row>
    <row r="289" ht="15.75" customHeight="1">
      <c r="P289" s="459"/>
    </row>
    <row r="290" ht="15.75" customHeight="1">
      <c r="P290" s="459"/>
    </row>
    <row r="291" ht="15.75" customHeight="1">
      <c r="P291" s="459"/>
    </row>
    <row r="292" ht="15.75" customHeight="1">
      <c r="P292" s="459"/>
    </row>
    <row r="293" ht="15.75" customHeight="1">
      <c r="P293" s="459"/>
    </row>
    <row r="294" ht="15.75" customHeight="1">
      <c r="P294" s="459"/>
    </row>
    <row r="295" ht="15.75" customHeight="1">
      <c r="P295" s="459"/>
    </row>
    <row r="296" ht="15.75" customHeight="1">
      <c r="P296" s="459"/>
    </row>
    <row r="297" ht="15.75" customHeight="1">
      <c r="P297" s="459"/>
    </row>
    <row r="298" ht="15.75" customHeight="1">
      <c r="P298" s="459"/>
    </row>
    <row r="299" ht="15.75" customHeight="1">
      <c r="P299" s="459"/>
    </row>
    <row r="300" ht="15.75" customHeight="1">
      <c r="P300" s="459"/>
    </row>
    <row r="301" ht="15.75" customHeight="1">
      <c r="P301" s="459"/>
    </row>
    <row r="302" ht="15.75" customHeight="1">
      <c r="P302" s="459"/>
    </row>
    <row r="303" ht="15.75" customHeight="1">
      <c r="P303" s="459"/>
    </row>
    <row r="304" ht="15.75" customHeight="1">
      <c r="P304" s="459"/>
    </row>
    <row r="305" ht="15.75" customHeight="1">
      <c r="P305" s="459"/>
    </row>
    <row r="306" ht="15.75" customHeight="1">
      <c r="P306" s="459"/>
    </row>
    <row r="307" ht="15.75" customHeight="1">
      <c r="P307" s="459"/>
    </row>
    <row r="308" ht="15.75" customHeight="1">
      <c r="P308" s="459"/>
    </row>
    <row r="309" ht="15.75" customHeight="1">
      <c r="P309" s="459"/>
    </row>
    <row r="310" ht="15.75" customHeight="1">
      <c r="P310" s="459"/>
    </row>
    <row r="311" ht="15.75" customHeight="1">
      <c r="P311" s="459"/>
    </row>
    <row r="312" ht="15.75" customHeight="1">
      <c r="P312" s="459"/>
    </row>
    <row r="313" ht="15.75" customHeight="1">
      <c r="P313" s="459"/>
    </row>
    <row r="314" ht="15.75" customHeight="1">
      <c r="P314" s="459"/>
    </row>
    <row r="315" ht="15.75" customHeight="1">
      <c r="P315" s="459"/>
    </row>
    <row r="316" ht="15.75" customHeight="1">
      <c r="P316" s="459"/>
    </row>
    <row r="317" ht="15.75" customHeight="1">
      <c r="P317" s="459"/>
    </row>
    <row r="318" ht="15.75" customHeight="1">
      <c r="P318" s="459"/>
    </row>
    <row r="319" ht="15.75" customHeight="1">
      <c r="P319" s="459"/>
    </row>
    <row r="320" ht="15.75" customHeight="1">
      <c r="P320" s="459"/>
    </row>
    <row r="321" ht="15.75" customHeight="1">
      <c r="P321" s="459"/>
    </row>
    <row r="322" ht="15.75" customHeight="1">
      <c r="P322" s="459"/>
    </row>
    <row r="323" ht="15.75" customHeight="1">
      <c r="P323" s="459"/>
    </row>
    <row r="324" ht="15.75" customHeight="1">
      <c r="P324" s="459"/>
    </row>
    <row r="325" ht="15.75" customHeight="1">
      <c r="P325" s="459"/>
    </row>
    <row r="326" ht="15.75" customHeight="1">
      <c r="P326" s="459"/>
    </row>
    <row r="327" ht="15.75" customHeight="1">
      <c r="P327" s="459"/>
    </row>
    <row r="328" ht="15.75" customHeight="1">
      <c r="P328" s="459"/>
    </row>
    <row r="329" ht="15.75" customHeight="1">
      <c r="P329" s="459"/>
    </row>
    <row r="330" ht="15.75" customHeight="1">
      <c r="P330" s="459"/>
    </row>
    <row r="331" ht="15.75" customHeight="1">
      <c r="P331" s="459"/>
    </row>
    <row r="332" ht="15.75" customHeight="1">
      <c r="P332" s="459"/>
    </row>
    <row r="333" ht="15.75" customHeight="1">
      <c r="P333" s="459"/>
    </row>
    <row r="334" ht="15.75" customHeight="1">
      <c r="P334" s="459"/>
    </row>
    <row r="335" ht="15.75" customHeight="1">
      <c r="P335" s="459"/>
    </row>
    <row r="336" ht="15.75" customHeight="1">
      <c r="P336" s="459"/>
    </row>
    <row r="337" ht="15.75" customHeight="1">
      <c r="P337" s="459"/>
    </row>
    <row r="338" ht="15.75" customHeight="1">
      <c r="P338" s="459"/>
    </row>
    <row r="339" ht="15.75" customHeight="1">
      <c r="P339" s="459"/>
    </row>
    <row r="340" ht="15.75" customHeight="1">
      <c r="P340" s="459"/>
    </row>
    <row r="341" ht="15.75" customHeight="1">
      <c r="P341" s="459"/>
    </row>
    <row r="342" ht="15.75" customHeight="1">
      <c r="P342" s="459"/>
    </row>
    <row r="343" ht="15.75" customHeight="1">
      <c r="P343" s="459"/>
    </row>
    <row r="344" ht="15.75" customHeight="1">
      <c r="P344" s="459"/>
    </row>
    <row r="345" ht="15.75" customHeight="1">
      <c r="P345" s="459"/>
    </row>
    <row r="346" ht="15.75" customHeight="1">
      <c r="P346" s="459"/>
    </row>
    <row r="347" ht="15.75" customHeight="1">
      <c r="P347" s="459"/>
    </row>
    <row r="348" ht="15.75" customHeight="1">
      <c r="P348" s="459"/>
    </row>
    <row r="349" ht="15.75" customHeight="1">
      <c r="P349" s="459"/>
    </row>
    <row r="350" ht="15.75" customHeight="1">
      <c r="P350" s="459"/>
    </row>
    <row r="351" ht="15.75" customHeight="1">
      <c r="P351" s="459"/>
    </row>
    <row r="352" ht="15.75" customHeight="1">
      <c r="P352" s="459"/>
    </row>
    <row r="353" ht="15.75" customHeight="1">
      <c r="P353" s="459"/>
    </row>
    <row r="354" ht="15.75" customHeight="1">
      <c r="P354" s="459"/>
    </row>
    <row r="355" ht="15.75" customHeight="1">
      <c r="P355" s="459"/>
    </row>
    <row r="356" ht="15.75" customHeight="1">
      <c r="P356" s="459"/>
    </row>
    <row r="357" ht="15.75" customHeight="1">
      <c r="P357" s="459"/>
    </row>
    <row r="358" ht="15.75" customHeight="1">
      <c r="P358" s="459"/>
    </row>
    <row r="359" ht="15.75" customHeight="1">
      <c r="P359" s="459"/>
    </row>
    <row r="360" ht="15.75" customHeight="1">
      <c r="P360" s="459"/>
    </row>
    <row r="361" ht="15.75" customHeight="1">
      <c r="P361" s="459"/>
    </row>
    <row r="362" ht="15.75" customHeight="1">
      <c r="P362" s="459"/>
    </row>
    <row r="363" ht="15.75" customHeight="1">
      <c r="P363" s="459"/>
    </row>
    <row r="364" ht="15.75" customHeight="1">
      <c r="P364" s="459"/>
    </row>
    <row r="365" ht="15.75" customHeight="1">
      <c r="P365" s="459"/>
    </row>
    <row r="366" ht="15.75" customHeight="1">
      <c r="P366" s="459"/>
    </row>
    <row r="367" ht="15.75" customHeight="1">
      <c r="P367" s="459"/>
    </row>
    <row r="368" ht="15.75" customHeight="1">
      <c r="P368" s="459"/>
    </row>
    <row r="369" ht="15.75" customHeight="1">
      <c r="P369" s="459"/>
    </row>
    <row r="370" ht="15.75" customHeight="1">
      <c r="P370" s="459"/>
    </row>
    <row r="371" ht="15.75" customHeight="1">
      <c r="P371" s="459"/>
    </row>
    <row r="372" ht="15.75" customHeight="1">
      <c r="P372" s="459"/>
    </row>
    <row r="373" ht="15.75" customHeight="1">
      <c r="P373" s="459"/>
    </row>
    <row r="374" ht="15.75" customHeight="1">
      <c r="P374" s="459"/>
    </row>
    <row r="375" ht="15.75" customHeight="1">
      <c r="P375" s="459"/>
    </row>
    <row r="376" ht="15.75" customHeight="1">
      <c r="P376" s="459"/>
    </row>
    <row r="377" ht="15.75" customHeight="1">
      <c r="P377" s="459"/>
    </row>
    <row r="378" ht="15.75" customHeight="1">
      <c r="P378" s="459"/>
    </row>
    <row r="379" ht="15.75" customHeight="1">
      <c r="P379" s="459"/>
    </row>
    <row r="380" ht="15.75" customHeight="1">
      <c r="P380" s="459"/>
    </row>
    <row r="381" ht="15.75" customHeight="1">
      <c r="P381" s="459"/>
    </row>
    <row r="382" ht="15.75" customHeight="1">
      <c r="P382" s="459"/>
    </row>
    <row r="383" ht="15.75" customHeight="1">
      <c r="P383" s="459"/>
    </row>
    <row r="384" ht="15.75" customHeight="1">
      <c r="P384" s="459"/>
    </row>
    <row r="385" ht="15.75" customHeight="1">
      <c r="P385" s="459"/>
    </row>
    <row r="386" ht="15.75" customHeight="1">
      <c r="P386" s="459"/>
    </row>
    <row r="387" ht="15.75" customHeight="1">
      <c r="P387" s="459"/>
    </row>
    <row r="388" ht="15.75" customHeight="1">
      <c r="P388" s="459"/>
    </row>
    <row r="389" ht="15.75" customHeight="1">
      <c r="P389" s="459"/>
    </row>
    <row r="390" ht="15.75" customHeight="1">
      <c r="P390" s="459"/>
    </row>
    <row r="391" ht="15.75" customHeight="1">
      <c r="P391" s="459"/>
    </row>
    <row r="392" ht="15.75" customHeight="1">
      <c r="P392" s="459"/>
    </row>
    <row r="393" ht="15.75" customHeight="1">
      <c r="P393" s="459"/>
    </row>
    <row r="394" ht="15.75" customHeight="1">
      <c r="P394" s="459"/>
    </row>
    <row r="395" ht="15.75" customHeight="1">
      <c r="P395" s="459"/>
    </row>
    <row r="396" ht="15.75" customHeight="1">
      <c r="P396" s="459"/>
    </row>
    <row r="397" ht="15.75" customHeight="1">
      <c r="P397" s="459"/>
    </row>
    <row r="398" ht="15.75" customHeight="1">
      <c r="P398" s="459"/>
    </row>
    <row r="399" ht="15.75" customHeight="1">
      <c r="P399" s="459"/>
    </row>
    <row r="400" ht="15.75" customHeight="1">
      <c r="P400" s="459"/>
    </row>
    <row r="401" ht="15.75" customHeight="1">
      <c r="P401" s="459"/>
    </row>
    <row r="402" ht="15.75" customHeight="1">
      <c r="P402" s="459"/>
    </row>
    <row r="403" ht="15.75" customHeight="1">
      <c r="P403" s="459"/>
    </row>
    <row r="404" ht="15.75" customHeight="1">
      <c r="P404" s="459"/>
    </row>
    <row r="405" ht="15.75" customHeight="1">
      <c r="P405" s="459"/>
    </row>
    <row r="406" ht="15.75" customHeight="1">
      <c r="P406" s="459"/>
    </row>
    <row r="407" ht="15.75" customHeight="1">
      <c r="P407" s="459"/>
    </row>
    <row r="408" ht="15.75" customHeight="1">
      <c r="P408" s="459"/>
    </row>
    <row r="409" ht="15.75" customHeight="1">
      <c r="P409" s="459"/>
    </row>
    <row r="410" ht="15.75" customHeight="1">
      <c r="P410" s="459"/>
    </row>
    <row r="411" ht="15.75" customHeight="1">
      <c r="P411" s="459"/>
    </row>
    <row r="412" ht="15.75" customHeight="1">
      <c r="P412" s="459"/>
    </row>
    <row r="413" ht="15.75" customHeight="1">
      <c r="P413" s="459"/>
    </row>
    <row r="414" ht="15.75" customHeight="1">
      <c r="P414" s="459"/>
    </row>
    <row r="415" ht="15.75" customHeight="1">
      <c r="P415" s="459"/>
    </row>
    <row r="416" ht="15.75" customHeight="1">
      <c r="P416" s="459"/>
    </row>
    <row r="417" ht="15.75" customHeight="1">
      <c r="P417" s="459"/>
    </row>
    <row r="418" ht="15.75" customHeight="1">
      <c r="P418" s="459"/>
    </row>
    <row r="419" ht="15.75" customHeight="1">
      <c r="P419" s="459"/>
    </row>
    <row r="420" ht="15.75" customHeight="1">
      <c r="P420" s="459"/>
    </row>
    <row r="421" ht="15.75" customHeight="1">
      <c r="P421" s="459"/>
    </row>
    <row r="422" ht="15.75" customHeight="1">
      <c r="P422" s="459"/>
    </row>
    <row r="423" ht="15.75" customHeight="1">
      <c r="P423" s="459"/>
    </row>
    <row r="424" ht="15.75" customHeight="1">
      <c r="P424" s="459"/>
    </row>
    <row r="425" ht="15.75" customHeight="1">
      <c r="P425" s="459"/>
    </row>
    <row r="426" ht="15.75" customHeight="1">
      <c r="P426" s="459"/>
    </row>
    <row r="427" ht="15.75" customHeight="1">
      <c r="P427" s="459"/>
    </row>
    <row r="428" ht="15.75" customHeight="1">
      <c r="P428" s="459"/>
    </row>
    <row r="429" ht="15.75" customHeight="1">
      <c r="P429" s="459"/>
    </row>
    <row r="430" ht="15.75" customHeight="1">
      <c r="P430" s="459"/>
    </row>
    <row r="431" ht="15.75" customHeight="1">
      <c r="P431" s="459"/>
    </row>
    <row r="432" ht="15.75" customHeight="1">
      <c r="P432" s="459"/>
    </row>
    <row r="433" ht="15.75" customHeight="1">
      <c r="P433" s="459"/>
    </row>
    <row r="434" ht="15.75" customHeight="1">
      <c r="P434" s="459"/>
    </row>
    <row r="435" ht="15.75" customHeight="1">
      <c r="P435" s="459"/>
    </row>
    <row r="436" ht="15.75" customHeight="1">
      <c r="P436" s="459"/>
    </row>
    <row r="437" ht="15.75" customHeight="1">
      <c r="P437" s="459"/>
    </row>
    <row r="438" ht="15.75" customHeight="1">
      <c r="P438" s="459"/>
    </row>
    <row r="439" ht="15.75" customHeight="1">
      <c r="P439" s="459"/>
    </row>
    <row r="440" ht="15.75" customHeight="1">
      <c r="P440" s="459"/>
    </row>
    <row r="441" ht="15.75" customHeight="1">
      <c r="P441" s="459"/>
    </row>
    <row r="442" ht="15.75" customHeight="1">
      <c r="P442" s="459"/>
    </row>
    <row r="443" ht="15.75" customHeight="1">
      <c r="P443" s="459"/>
    </row>
    <row r="444" ht="15.75" customHeight="1">
      <c r="P444" s="459"/>
    </row>
    <row r="445" ht="15.75" customHeight="1">
      <c r="P445" s="459"/>
    </row>
    <row r="446" ht="15.75" customHeight="1">
      <c r="P446" s="459"/>
    </row>
    <row r="447" ht="15.75" customHeight="1">
      <c r="P447" s="459"/>
    </row>
    <row r="448" ht="15.75" customHeight="1">
      <c r="P448" s="459"/>
    </row>
    <row r="449" ht="15.75" customHeight="1">
      <c r="P449" s="459"/>
    </row>
    <row r="450" ht="15.75" customHeight="1">
      <c r="P450" s="459"/>
    </row>
    <row r="451" ht="15.75" customHeight="1">
      <c r="P451" s="459"/>
    </row>
    <row r="452" ht="15.75" customHeight="1">
      <c r="P452" s="459"/>
    </row>
    <row r="453" ht="15.75" customHeight="1">
      <c r="P453" s="459"/>
    </row>
    <row r="454" ht="15.75" customHeight="1">
      <c r="P454" s="459"/>
    </row>
    <row r="455" ht="15.75" customHeight="1">
      <c r="P455" s="459"/>
    </row>
    <row r="456" ht="15.75" customHeight="1">
      <c r="P456" s="459"/>
    </row>
    <row r="457" ht="15.75" customHeight="1">
      <c r="P457" s="459"/>
    </row>
    <row r="458" ht="15.75" customHeight="1">
      <c r="P458" s="459"/>
    </row>
    <row r="459" ht="15.75" customHeight="1">
      <c r="P459" s="459"/>
    </row>
    <row r="460" ht="15.75" customHeight="1">
      <c r="P460" s="459"/>
    </row>
    <row r="461" ht="15.75" customHeight="1">
      <c r="P461" s="459"/>
    </row>
    <row r="462" ht="15.75" customHeight="1">
      <c r="P462" s="459"/>
    </row>
    <row r="463" ht="15.75" customHeight="1">
      <c r="P463" s="459"/>
    </row>
    <row r="464" ht="15.75" customHeight="1">
      <c r="P464" s="459"/>
    </row>
    <row r="465" ht="15.75" customHeight="1">
      <c r="P465" s="459"/>
    </row>
    <row r="466" ht="15.75" customHeight="1">
      <c r="P466" s="459"/>
    </row>
    <row r="467" ht="15.75" customHeight="1">
      <c r="P467" s="459"/>
    </row>
    <row r="468" ht="15.75" customHeight="1">
      <c r="P468" s="459"/>
    </row>
    <row r="469" ht="15.75" customHeight="1">
      <c r="P469" s="459"/>
    </row>
    <row r="470" ht="15.75" customHeight="1">
      <c r="P470" s="459"/>
    </row>
    <row r="471" ht="15.75" customHeight="1">
      <c r="P471" s="459"/>
    </row>
    <row r="472" ht="15.75" customHeight="1">
      <c r="P472" s="459"/>
    </row>
    <row r="473" ht="15.75" customHeight="1">
      <c r="P473" s="459"/>
    </row>
    <row r="474" ht="15.75" customHeight="1">
      <c r="P474" s="459"/>
    </row>
    <row r="475" ht="15.75" customHeight="1">
      <c r="P475" s="459"/>
    </row>
    <row r="476" ht="15.75" customHeight="1">
      <c r="P476" s="459"/>
    </row>
    <row r="477" ht="15.75" customHeight="1">
      <c r="P477" s="459"/>
    </row>
    <row r="478" ht="15.75" customHeight="1">
      <c r="P478" s="459"/>
    </row>
    <row r="479" ht="15.75" customHeight="1">
      <c r="P479" s="459"/>
    </row>
    <row r="480" ht="15.75" customHeight="1">
      <c r="P480" s="459"/>
    </row>
    <row r="481" ht="15.75" customHeight="1">
      <c r="P481" s="459"/>
    </row>
    <row r="482" ht="15.75" customHeight="1">
      <c r="P482" s="459"/>
    </row>
    <row r="483" ht="15.75" customHeight="1">
      <c r="P483" s="459"/>
    </row>
    <row r="484" ht="15.75" customHeight="1">
      <c r="P484" s="459"/>
    </row>
    <row r="485" ht="15.75" customHeight="1">
      <c r="P485" s="459"/>
    </row>
    <row r="486" ht="15.75" customHeight="1">
      <c r="P486" s="459"/>
    </row>
    <row r="487" ht="15.75" customHeight="1">
      <c r="P487" s="459"/>
    </row>
    <row r="488" ht="15.75" customHeight="1">
      <c r="P488" s="459"/>
    </row>
    <row r="489" ht="15.75" customHeight="1">
      <c r="P489" s="459"/>
    </row>
    <row r="490" ht="15.75" customHeight="1">
      <c r="P490" s="459"/>
    </row>
    <row r="491" ht="15.75" customHeight="1">
      <c r="P491" s="459"/>
    </row>
    <row r="492" ht="15.75" customHeight="1">
      <c r="P492" s="459"/>
    </row>
    <row r="493" ht="15.75" customHeight="1">
      <c r="P493" s="459"/>
    </row>
    <row r="494" ht="15.75" customHeight="1">
      <c r="P494" s="459"/>
    </row>
    <row r="495" ht="15.75" customHeight="1">
      <c r="P495" s="459"/>
    </row>
    <row r="496" ht="15.75" customHeight="1">
      <c r="P496" s="459"/>
    </row>
    <row r="497" ht="15.75" customHeight="1">
      <c r="P497" s="459"/>
    </row>
    <row r="498" ht="15.75" customHeight="1">
      <c r="P498" s="459"/>
    </row>
    <row r="499" ht="15.75" customHeight="1">
      <c r="P499" s="459"/>
    </row>
    <row r="500" ht="15.75" customHeight="1">
      <c r="P500" s="459"/>
    </row>
    <row r="501" ht="15.75" customHeight="1">
      <c r="P501" s="459"/>
    </row>
    <row r="502" ht="15.75" customHeight="1">
      <c r="P502" s="459"/>
    </row>
    <row r="503" ht="15.75" customHeight="1">
      <c r="P503" s="459"/>
    </row>
    <row r="504" ht="15.75" customHeight="1">
      <c r="P504" s="459"/>
    </row>
    <row r="505" ht="15.75" customHeight="1">
      <c r="P505" s="459"/>
    </row>
    <row r="506" ht="15.75" customHeight="1">
      <c r="P506" s="459"/>
    </row>
    <row r="507" ht="15.75" customHeight="1">
      <c r="P507" s="459"/>
    </row>
    <row r="508" ht="15.75" customHeight="1">
      <c r="P508" s="459"/>
    </row>
    <row r="509" ht="15.75" customHeight="1">
      <c r="P509" s="459"/>
    </row>
    <row r="510" ht="15.75" customHeight="1">
      <c r="P510" s="459"/>
    </row>
    <row r="511" ht="15.75" customHeight="1">
      <c r="P511" s="459"/>
    </row>
    <row r="512" ht="15.75" customHeight="1">
      <c r="P512" s="459"/>
    </row>
    <row r="513" ht="15.75" customHeight="1">
      <c r="P513" s="459"/>
    </row>
    <row r="514" ht="15.75" customHeight="1">
      <c r="P514" s="459"/>
    </row>
    <row r="515" ht="15.75" customHeight="1">
      <c r="P515" s="459"/>
    </row>
    <row r="516" ht="15.75" customHeight="1">
      <c r="P516" s="459"/>
    </row>
    <row r="517" ht="15.75" customHeight="1">
      <c r="P517" s="459"/>
    </row>
    <row r="518" ht="15.75" customHeight="1">
      <c r="P518" s="459"/>
    </row>
    <row r="519" ht="15.75" customHeight="1">
      <c r="P519" s="459"/>
    </row>
    <row r="520" ht="15.75" customHeight="1">
      <c r="P520" s="459"/>
    </row>
    <row r="521" ht="15.75" customHeight="1">
      <c r="P521" s="459"/>
    </row>
    <row r="522" ht="15.75" customHeight="1">
      <c r="P522" s="459"/>
    </row>
    <row r="523" ht="15.75" customHeight="1">
      <c r="P523" s="459"/>
    </row>
    <row r="524" ht="15.75" customHeight="1">
      <c r="P524" s="459"/>
    </row>
    <row r="525" ht="15.75" customHeight="1">
      <c r="P525" s="459"/>
    </row>
    <row r="526" ht="15.75" customHeight="1">
      <c r="P526" s="459"/>
    </row>
    <row r="527" ht="15.75" customHeight="1">
      <c r="P527" s="459"/>
    </row>
    <row r="528" ht="15.75" customHeight="1">
      <c r="P528" s="459"/>
    </row>
    <row r="529" ht="15.75" customHeight="1">
      <c r="P529" s="459"/>
    </row>
    <row r="530" ht="15.75" customHeight="1">
      <c r="P530" s="459"/>
    </row>
    <row r="531" ht="15.75" customHeight="1">
      <c r="P531" s="459"/>
    </row>
    <row r="532" ht="15.75" customHeight="1">
      <c r="P532" s="459"/>
    </row>
    <row r="533" ht="15.75" customHeight="1">
      <c r="P533" s="459"/>
    </row>
    <row r="534" ht="15.75" customHeight="1">
      <c r="P534" s="459"/>
    </row>
    <row r="535" ht="15.75" customHeight="1">
      <c r="P535" s="459"/>
    </row>
    <row r="536" ht="15.75" customHeight="1">
      <c r="P536" s="459"/>
    </row>
    <row r="537" ht="15.75" customHeight="1">
      <c r="P537" s="459"/>
    </row>
    <row r="538" ht="15.75" customHeight="1">
      <c r="P538" s="459"/>
    </row>
    <row r="539" ht="15.75" customHeight="1">
      <c r="P539" s="459"/>
    </row>
    <row r="540" ht="15.75" customHeight="1">
      <c r="P540" s="459"/>
    </row>
    <row r="541" ht="15.75" customHeight="1">
      <c r="P541" s="459"/>
    </row>
    <row r="542" ht="15.75" customHeight="1">
      <c r="P542" s="459"/>
    </row>
    <row r="543" ht="15.75" customHeight="1">
      <c r="P543" s="459"/>
    </row>
    <row r="544" ht="15.75" customHeight="1">
      <c r="P544" s="459"/>
    </row>
    <row r="545" ht="15.75" customHeight="1">
      <c r="P545" s="459"/>
    </row>
    <row r="546" ht="15.75" customHeight="1">
      <c r="P546" s="459"/>
    </row>
    <row r="547" ht="15.75" customHeight="1">
      <c r="P547" s="459"/>
    </row>
    <row r="548" ht="15.75" customHeight="1">
      <c r="P548" s="459"/>
    </row>
    <row r="549" ht="15.75" customHeight="1">
      <c r="P549" s="459"/>
    </row>
    <row r="550" ht="15.75" customHeight="1">
      <c r="P550" s="459"/>
    </row>
    <row r="551" ht="15.75" customHeight="1">
      <c r="P551" s="459"/>
    </row>
    <row r="552" ht="15.75" customHeight="1">
      <c r="P552" s="459"/>
    </row>
    <row r="553" ht="15.75" customHeight="1">
      <c r="P553" s="459"/>
    </row>
    <row r="554" ht="15.75" customHeight="1">
      <c r="P554" s="459"/>
    </row>
    <row r="555" ht="15.75" customHeight="1">
      <c r="P555" s="459"/>
    </row>
    <row r="556" ht="15.75" customHeight="1">
      <c r="P556" s="459"/>
    </row>
    <row r="557" ht="15.75" customHeight="1">
      <c r="P557" s="459"/>
    </row>
    <row r="558" ht="15.75" customHeight="1">
      <c r="P558" s="459"/>
    </row>
    <row r="559" ht="15.75" customHeight="1">
      <c r="P559" s="459"/>
    </row>
    <row r="560" ht="15.75" customHeight="1">
      <c r="P560" s="459"/>
    </row>
    <row r="561" ht="15.75" customHeight="1">
      <c r="P561" s="459"/>
    </row>
    <row r="562" ht="15.75" customHeight="1">
      <c r="P562" s="459"/>
    </row>
    <row r="563" ht="15.75" customHeight="1">
      <c r="P563" s="459"/>
    </row>
    <row r="564" ht="15.75" customHeight="1">
      <c r="P564" s="459"/>
    </row>
    <row r="565" ht="15.75" customHeight="1">
      <c r="P565" s="459"/>
    </row>
    <row r="566" ht="15.75" customHeight="1">
      <c r="P566" s="459"/>
    </row>
    <row r="567" ht="15.75" customHeight="1">
      <c r="P567" s="459"/>
    </row>
    <row r="568" ht="15.75" customHeight="1">
      <c r="P568" s="459"/>
    </row>
    <row r="569" ht="15.75" customHeight="1">
      <c r="P569" s="459"/>
    </row>
    <row r="570" ht="15.75" customHeight="1">
      <c r="P570" s="459"/>
    </row>
    <row r="571" ht="15.75" customHeight="1">
      <c r="P571" s="459"/>
    </row>
    <row r="572" ht="15.75" customHeight="1">
      <c r="P572" s="459"/>
    </row>
    <row r="573" ht="15.75" customHeight="1">
      <c r="P573" s="459"/>
    </row>
    <row r="574" ht="15.75" customHeight="1">
      <c r="P574" s="459"/>
    </row>
    <row r="575" ht="15.75" customHeight="1">
      <c r="P575" s="459"/>
    </row>
    <row r="576" ht="15.75" customHeight="1">
      <c r="P576" s="459"/>
    </row>
    <row r="577" ht="15.75" customHeight="1">
      <c r="P577" s="459"/>
    </row>
    <row r="578" ht="15.75" customHeight="1">
      <c r="P578" s="459"/>
    </row>
    <row r="579" ht="15.75" customHeight="1">
      <c r="P579" s="459"/>
    </row>
    <row r="580" ht="15.75" customHeight="1">
      <c r="P580" s="459"/>
    </row>
    <row r="581" ht="15.75" customHeight="1">
      <c r="P581" s="459"/>
    </row>
    <row r="582" ht="15.75" customHeight="1">
      <c r="P582" s="459"/>
    </row>
    <row r="583" ht="15.75" customHeight="1">
      <c r="P583" s="459"/>
    </row>
    <row r="584" ht="15.75" customHeight="1">
      <c r="P584" s="459"/>
    </row>
    <row r="585" ht="15.75" customHeight="1">
      <c r="P585" s="459"/>
    </row>
    <row r="586" ht="15.75" customHeight="1">
      <c r="P586" s="459"/>
    </row>
    <row r="587" ht="15.75" customHeight="1">
      <c r="P587" s="459"/>
    </row>
    <row r="588" ht="15.75" customHeight="1">
      <c r="P588" s="459"/>
    </row>
    <row r="589" ht="15.75" customHeight="1">
      <c r="P589" s="459"/>
    </row>
    <row r="590" ht="15.75" customHeight="1">
      <c r="P590" s="459"/>
    </row>
    <row r="591" ht="15.75" customHeight="1">
      <c r="P591" s="459"/>
    </row>
    <row r="592" ht="15.75" customHeight="1">
      <c r="P592" s="459"/>
    </row>
    <row r="593" ht="15.75" customHeight="1">
      <c r="P593" s="459"/>
    </row>
    <row r="594" ht="15.75" customHeight="1">
      <c r="P594" s="459"/>
    </row>
    <row r="595" ht="15.75" customHeight="1">
      <c r="P595" s="459"/>
    </row>
    <row r="596" ht="15.75" customHeight="1">
      <c r="P596" s="459"/>
    </row>
    <row r="597" ht="15.75" customHeight="1">
      <c r="P597" s="459"/>
    </row>
    <row r="598" ht="15.75" customHeight="1">
      <c r="P598" s="459"/>
    </row>
    <row r="599" ht="15.75" customHeight="1">
      <c r="P599" s="459"/>
    </row>
    <row r="600" ht="15.75" customHeight="1">
      <c r="P600" s="459"/>
    </row>
    <row r="601" ht="15.75" customHeight="1">
      <c r="P601" s="459"/>
    </row>
    <row r="602" ht="15.75" customHeight="1">
      <c r="P602" s="459"/>
    </row>
    <row r="603" ht="15.75" customHeight="1">
      <c r="P603" s="459"/>
    </row>
    <row r="604" ht="15.75" customHeight="1">
      <c r="P604" s="459"/>
    </row>
    <row r="605" ht="15.75" customHeight="1">
      <c r="P605" s="459"/>
    </row>
    <row r="606" ht="15.75" customHeight="1">
      <c r="P606" s="459"/>
    </row>
    <row r="607" ht="15.75" customHeight="1">
      <c r="P607" s="459"/>
    </row>
    <row r="608" ht="15.75" customHeight="1">
      <c r="P608" s="459"/>
    </row>
    <row r="609" ht="15.75" customHeight="1">
      <c r="P609" s="459"/>
    </row>
    <row r="610" ht="15.75" customHeight="1">
      <c r="P610" s="459"/>
    </row>
    <row r="611" ht="15.75" customHeight="1">
      <c r="P611" s="459"/>
    </row>
    <row r="612" ht="15.75" customHeight="1">
      <c r="P612" s="459"/>
    </row>
    <row r="613" ht="15.75" customHeight="1">
      <c r="P613" s="459"/>
    </row>
    <row r="614" ht="15.75" customHeight="1">
      <c r="P614" s="459"/>
    </row>
    <row r="615" ht="15.75" customHeight="1">
      <c r="P615" s="459"/>
    </row>
    <row r="616" ht="15.75" customHeight="1">
      <c r="P616" s="459"/>
    </row>
    <row r="617" ht="15.75" customHeight="1">
      <c r="P617" s="459"/>
    </row>
    <row r="618" ht="15.75" customHeight="1">
      <c r="P618" s="459"/>
    </row>
    <row r="619" ht="15.75" customHeight="1">
      <c r="P619" s="459"/>
    </row>
    <row r="620" ht="15.75" customHeight="1">
      <c r="P620" s="459"/>
    </row>
    <row r="621" ht="15.75" customHeight="1">
      <c r="P621" s="459"/>
    </row>
    <row r="622" ht="15.75" customHeight="1">
      <c r="P622" s="459"/>
    </row>
    <row r="623" ht="15.75" customHeight="1">
      <c r="P623" s="459"/>
    </row>
    <row r="624" ht="15.75" customHeight="1">
      <c r="P624" s="459"/>
    </row>
    <row r="625" ht="15.75" customHeight="1">
      <c r="P625" s="459"/>
    </row>
    <row r="626" ht="15.75" customHeight="1">
      <c r="P626" s="459"/>
    </row>
    <row r="627" ht="15.75" customHeight="1">
      <c r="P627" s="459"/>
    </row>
    <row r="628" ht="15.75" customHeight="1">
      <c r="P628" s="459"/>
    </row>
    <row r="629" ht="15.75" customHeight="1">
      <c r="P629" s="459"/>
    </row>
    <row r="630" ht="15.75" customHeight="1">
      <c r="P630" s="459"/>
    </row>
    <row r="631" ht="15.75" customHeight="1">
      <c r="P631" s="459"/>
    </row>
    <row r="632" ht="15.75" customHeight="1">
      <c r="P632" s="459"/>
    </row>
    <row r="633" ht="15.75" customHeight="1">
      <c r="P633" s="459"/>
    </row>
    <row r="634" ht="15.75" customHeight="1">
      <c r="P634" s="459"/>
    </row>
    <row r="635" ht="15.75" customHeight="1">
      <c r="P635" s="459"/>
    </row>
    <row r="636" ht="15.75" customHeight="1">
      <c r="P636" s="459"/>
    </row>
    <row r="637" ht="15.75" customHeight="1">
      <c r="P637" s="459"/>
    </row>
    <row r="638" ht="15.75" customHeight="1">
      <c r="P638" s="459"/>
    </row>
    <row r="639" ht="15.75" customHeight="1">
      <c r="P639" s="459"/>
    </row>
    <row r="640" ht="15.75" customHeight="1">
      <c r="P640" s="459"/>
    </row>
    <row r="641" ht="15.75" customHeight="1">
      <c r="P641" s="459"/>
    </row>
    <row r="642" ht="15.75" customHeight="1">
      <c r="P642" s="459"/>
    </row>
    <row r="643" ht="15.75" customHeight="1">
      <c r="P643" s="459"/>
    </row>
    <row r="644" ht="15.75" customHeight="1">
      <c r="P644" s="459"/>
    </row>
    <row r="645" ht="15.75" customHeight="1">
      <c r="P645" s="459"/>
    </row>
    <row r="646" ht="15.75" customHeight="1">
      <c r="P646" s="459"/>
    </row>
    <row r="647" ht="15.75" customHeight="1">
      <c r="P647" s="459"/>
    </row>
    <row r="648" ht="15.75" customHeight="1">
      <c r="P648" s="459"/>
    </row>
    <row r="649" ht="15.75" customHeight="1">
      <c r="P649" s="459"/>
    </row>
    <row r="650" ht="15.75" customHeight="1">
      <c r="P650" s="459"/>
    </row>
    <row r="651" ht="15.75" customHeight="1">
      <c r="P651" s="459"/>
    </row>
    <row r="652" ht="15.75" customHeight="1">
      <c r="P652" s="459"/>
    </row>
    <row r="653" ht="15.75" customHeight="1">
      <c r="P653" s="459"/>
    </row>
    <row r="654" ht="15.75" customHeight="1">
      <c r="P654" s="459"/>
    </row>
    <row r="655" ht="15.75" customHeight="1">
      <c r="P655" s="459"/>
    </row>
    <row r="656" ht="15.75" customHeight="1">
      <c r="P656" s="459"/>
    </row>
    <row r="657" ht="15.75" customHeight="1">
      <c r="P657" s="459"/>
    </row>
    <row r="658" ht="15.75" customHeight="1">
      <c r="P658" s="459"/>
    </row>
    <row r="659" ht="15.75" customHeight="1">
      <c r="P659" s="459"/>
    </row>
    <row r="660" ht="15.75" customHeight="1">
      <c r="P660" s="459"/>
    </row>
    <row r="661" ht="15.75" customHeight="1">
      <c r="P661" s="459"/>
    </row>
    <row r="662" ht="15.75" customHeight="1">
      <c r="P662" s="459"/>
    </row>
    <row r="663" ht="15.75" customHeight="1">
      <c r="P663" s="459"/>
    </row>
    <row r="664" ht="15.75" customHeight="1">
      <c r="P664" s="459"/>
    </row>
    <row r="665" ht="15.75" customHeight="1">
      <c r="P665" s="459"/>
    </row>
    <row r="666" ht="15.75" customHeight="1">
      <c r="P666" s="459"/>
    </row>
    <row r="667" ht="15.75" customHeight="1">
      <c r="P667" s="459"/>
    </row>
    <row r="668" ht="15.75" customHeight="1">
      <c r="P668" s="459"/>
    </row>
    <row r="669" ht="15.75" customHeight="1">
      <c r="P669" s="459"/>
    </row>
    <row r="670" ht="15.75" customHeight="1">
      <c r="P670" s="459"/>
    </row>
    <row r="671" ht="15.75" customHeight="1">
      <c r="P671" s="459"/>
    </row>
    <row r="672" ht="15.75" customHeight="1">
      <c r="P672" s="459"/>
    </row>
    <row r="673" ht="15.75" customHeight="1">
      <c r="P673" s="459"/>
    </row>
    <row r="674" ht="15.75" customHeight="1">
      <c r="P674" s="459"/>
    </row>
    <row r="675" ht="15.75" customHeight="1">
      <c r="P675" s="459"/>
    </row>
    <row r="676" ht="15.75" customHeight="1">
      <c r="P676" s="459"/>
    </row>
    <row r="677" ht="15.75" customHeight="1">
      <c r="P677" s="459"/>
    </row>
    <row r="678" ht="15.75" customHeight="1">
      <c r="P678" s="459"/>
    </row>
    <row r="679" ht="15.75" customHeight="1">
      <c r="P679" s="459"/>
    </row>
    <row r="680" ht="15.75" customHeight="1">
      <c r="P680" s="459"/>
    </row>
    <row r="681" ht="15.75" customHeight="1">
      <c r="P681" s="459"/>
    </row>
    <row r="682" ht="15.75" customHeight="1">
      <c r="P682" s="459"/>
    </row>
    <row r="683" ht="15.75" customHeight="1">
      <c r="P683" s="459"/>
    </row>
    <row r="684" ht="15.75" customHeight="1">
      <c r="P684" s="459"/>
    </row>
    <row r="685" ht="15.75" customHeight="1">
      <c r="P685" s="459"/>
    </row>
    <row r="686" ht="15.75" customHeight="1">
      <c r="P686" s="459"/>
    </row>
    <row r="687" ht="15.75" customHeight="1">
      <c r="P687" s="459"/>
    </row>
    <row r="688" ht="15.75" customHeight="1">
      <c r="P688" s="459"/>
    </row>
    <row r="689" ht="15.75" customHeight="1">
      <c r="P689" s="459"/>
    </row>
    <row r="690" ht="15.75" customHeight="1">
      <c r="P690" s="459"/>
    </row>
    <row r="691" ht="15.75" customHeight="1">
      <c r="P691" s="459"/>
    </row>
    <row r="692" ht="15.75" customHeight="1">
      <c r="P692" s="459"/>
    </row>
    <row r="693" ht="15.75" customHeight="1">
      <c r="P693" s="459"/>
    </row>
    <row r="694" ht="15.75" customHeight="1">
      <c r="P694" s="459"/>
    </row>
    <row r="695" ht="15.75" customHeight="1">
      <c r="P695" s="459"/>
    </row>
    <row r="696" ht="15.75" customHeight="1">
      <c r="P696" s="459"/>
    </row>
    <row r="697" ht="15.75" customHeight="1">
      <c r="P697" s="459"/>
    </row>
    <row r="698" ht="15.75" customHeight="1">
      <c r="P698" s="459"/>
    </row>
    <row r="699" ht="15.75" customHeight="1">
      <c r="P699" s="459"/>
    </row>
    <row r="700" ht="15.75" customHeight="1">
      <c r="P700" s="459"/>
    </row>
    <row r="701" ht="15.75" customHeight="1">
      <c r="P701" s="459"/>
    </row>
    <row r="702" ht="15.75" customHeight="1">
      <c r="P702" s="459"/>
    </row>
    <row r="703" ht="15.75" customHeight="1">
      <c r="P703" s="459"/>
    </row>
    <row r="704" ht="15.75" customHeight="1">
      <c r="P704" s="459"/>
    </row>
    <row r="705" ht="15.75" customHeight="1">
      <c r="P705" s="459"/>
    </row>
    <row r="706" ht="15.75" customHeight="1">
      <c r="P706" s="459"/>
    </row>
    <row r="707" ht="15.75" customHeight="1">
      <c r="P707" s="459"/>
    </row>
    <row r="708" ht="15.75" customHeight="1">
      <c r="P708" s="459"/>
    </row>
    <row r="709" ht="15.75" customHeight="1">
      <c r="P709" s="459"/>
    </row>
    <row r="710" ht="15.75" customHeight="1">
      <c r="P710" s="459"/>
    </row>
    <row r="711" ht="15.75" customHeight="1">
      <c r="P711" s="459"/>
    </row>
    <row r="712" ht="15.75" customHeight="1">
      <c r="P712" s="459"/>
    </row>
    <row r="713" ht="15.75" customHeight="1">
      <c r="P713" s="459"/>
    </row>
    <row r="714" ht="15.75" customHeight="1">
      <c r="P714" s="459"/>
    </row>
    <row r="715" ht="15.75" customHeight="1">
      <c r="P715" s="459"/>
    </row>
    <row r="716" ht="15.75" customHeight="1">
      <c r="P716" s="459"/>
    </row>
    <row r="717" ht="15.75" customHeight="1">
      <c r="P717" s="459"/>
    </row>
    <row r="718" ht="15.75" customHeight="1">
      <c r="P718" s="459"/>
    </row>
    <row r="719" ht="15.75" customHeight="1">
      <c r="P719" s="459"/>
    </row>
    <row r="720" ht="15.75" customHeight="1">
      <c r="P720" s="459"/>
    </row>
    <row r="721" ht="15.75" customHeight="1">
      <c r="P721" s="459"/>
    </row>
    <row r="722" ht="15.75" customHeight="1">
      <c r="P722" s="459"/>
    </row>
    <row r="723" ht="15.75" customHeight="1">
      <c r="P723" s="459"/>
    </row>
    <row r="724" ht="15.75" customHeight="1">
      <c r="P724" s="459"/>
    </row>
    <row r="725" ht="15.75" customHeight="1">
      <c r="P725" s="459"/>
    </row>
    <row r="726" ht="15.75" customHeight="1">
      <c r="P726" s="459"/>
    </row>
    <row r="727" ht="15.75" customHeight="1">
      <c r="P727" s="459"/>
    </row>
    <row r="728" ht="15.75" customHeight="1">
      <c r="P728" s="459"/>
    </row>
    <row r="729" ht="15.75" customHeight="1">
      <c r="P729" s="459"/>
    </row>
    <row r="730" ht="15.75" customHeight="1">
      <c r="P730" s="459"/>
    </row>
    <row r="731" ht="15.75" customHeight="1">
      <c r="P731" s="459"/>
    </row>
    <row r="732" ht="15.75" customHeight="1">
      <c r="P732" s="459"/>
    </row>
    <row r="733" ht="15.75" customHeight="1">
      <c r="P733" s="459"/>
    </row>
    <row r="734" ht="15.75" customHeight="1">
      <c r="P734" s="459"/>
    </row>
    <row r="735" ht="15.75" customHeight="1">
      <c r="P735" s="459"/>
    </row>
    <row r="736" ht="15.75" customHeight="1">
      <c r="P736" s="459"/>
    </row>
    <row r="737" ht="15.75" customHeight="1">
      <c r="P737" s="459"/>
    </row>
    <row r="738" ht="15.75" customHeight="1">
      <c r="P738" s="459"/>
    </row>
    <row r="739" ht="15.75" customHeight="1">
      <c r="P739" s="459"/>
    </row>
    <row r="740" ht="15.75" customHeight="1">
      <c r="P740" s="459"/>
    </row>
    <row r="741" ht="15.75" customHeight="1">
      <c r="P741" s="459"/>
    </row>
    <row r="742" ht="15.75" customHeight="1">
      <c r="P742" s="459"/>
    </row>
    <row r="743" ht="15.75" customHeight="1">
      <c r="P743" s="459"/>
    </row>
    <row r="744" ht="15.75" customHeight="1">
      <c r="P744" s="459"/>
    </row>
    <row r="745" ht="15.75" customHeight="1">
      <c r="P745" s="459"/>
    </row>
    <row r="746" ht="15.75" customHeight="1">
      <c r="P746" s="459"/>
    </row>
    <row r="747" ht="15.75" customHeight="1">
      <c r="P747" s="459"/>
    </row>
    <row r="748" ht="15.75" customHeight="1">
      <c r="P748" s="459"/>
    </row>
    <row r="749" ht="15.75" customHeight="1">
      <c r="P749" s="459"/>
    </row>
    <row r="750" ht="15.75" customHeight="1">
      <c r="P750" s="459"/>
    </row>
    <row r="751" ht="15.75" customHeight="1">
      <c r="P751" s="459"/>
    </row>
    <row r="752" ht="15.75" customHeight="1">
      <c r="P752" s="459"/>
    </row>
    <row r="753" ht="15.75" customHeight="1">
      <c r="P753" s="459"/>
    </row>
    <row r="754" ht="15.75" customHeight="1">
      <c r="P754" s="459"/>
    </row>
    <row r="755" ht="15.75" customHeight="1">
      <c r="P755" s="459"/>
    </row>
    <row r="756" ht="15.75" customHeight="1">
      <c r="P756" s="459"/>
    </row>
    <row r="757" ht="15.75" customHeight="1">
      <c r="P757" s="459"/>
    </row>
    <row r="758" ht="15.75" customHeight="1">
      <c r="P758" s="459"/>
    </row>
    <row r="759" ht="15.75" customHeight="1">
      <c r="P759" s="459"/>
    </row>
    <row r="760" ht="15.75" customHeight="1">
      <c r="P760" s="459"/>
    </row>
    <row r="761" ht="15.75" customHeight="1">
      <c r="P761" s="459"/>
    </row>
    <row r="762" ht="15.75" customHeight="1">
      <c r="P762" s="459"/>
    </row>
    <row r="763" ht="15.75" customHeight="1">
      <c r="P763" s="459"/>
    </row>
    <row r="764" ht="15.75" customHeight="1">
      <c r="P764" s="459"/>
    </row>
    <row r="765" ht="15.75" customHeight="1">
      <c r="P765" s="459"/>
    </row>
    <row r="766" ht="15.75" customHeight="1">
      <c r="P766" s="459"/>
    </row>
    <row r="767" ht="15.75" customHeight="1">
      <c r="P767" s="459"/>
    </row>
    <row r="768" ht="15.75" customHeight="1">
      <c r="P768" s="459"/>
    </row>
    <row r="769" ht="15.75" customHeight="1">
      <c r="P769" s="459"/>
    </row>
    <row r="770" ht="15.75" customHeight="1">
      <c r="P770" s="459"/>
    </row>
    <row r="771" ht="15.75" customHeight="1">
      <c r="P771" s="459"/>
    </row>
    <row r="772" ht="15.75" customHeight="1">
      <c r="P772" s="459"/>
    </row>
    <row r="773" ht="15.75" customHeight="1">
      <c r="P773" s="459"/>
    </row>
    <row r="774" ht="15.75" customHeight="1">
      <c r="P774" s="459"/>
    </row>
    <row r="775" ht="15.75" customHeight="1">
      <c r="P775" s="459"/>
    </row>
    <row r="776" ht="15.75" customHeight="1">
      <c r="P776" s="459"/>
    </row>
    <row r="777" ht="15.75" customHeight="1">
      <c r="P777" s="459"/>
    </row>
    <row r="778" ht="15.75" customHeight="1">
      <c r="P778" s="459"/>
    </row>
    <row r="779" ht="15.75" customHeight="1">
      <c r="P779" s="459"/>
    </row>
    <row r="780" ht="15.75" customHeight="1">
      <c r="P780" s="459"/>
    </row>
    <row r="781" ht="15.75" customHeight="1">
      <c r="P781" s="459"/>
    </row>
    <row r="782" ht="15.75" customHeight="1">
      <c r="P782" s="459"/>
    </row>
    <row r="783" ht="15.75" customHeight="1">
      <c r="P783" s="459"/>
    </row>
    <row r="784" ht="15.75" customHeight="1">
      <c r="P784" s="459"/>
    </row>
    <row r="785" ht="15.75" customHeight="1">
      <c r="P785" s="459"/>
    </row>
    <row r="786" ht="15.75" customHeight="1">
      <c r="P786" s="459"/>
    </row>
    <row r="787" ht="15.75" customHeight="1">
      <c r="P787" s="459"/>
    </row>
    <row r="788" ht="15.75" customHeight="1">
      <c r="P788" s="459"/>
    </row>
    <row r="789" ht="15.75" customHeight="1">
      <c r="P789" s="459"/>
    </row>
    <row r="790" ht="15.75" customHeight="1">
      <c r="P790" s="459"/>
    </row>
    <row r="791" ht="15.75" customHeight="1">
      <c r="P791" s="459"/>
    </row>
    <row r="792" ht="15.75" customHeight="1">
      <c r="P792" s="459"/>
    </row>
    <row r="793" ht="15.75" customHeight="1">
      <c r="P793" s="459"/>
    </row>
    <row r="794" ht="15.75" customHeight="1">
      <c r="P794" s="459"/>
    </row>
    <row r="795" ht="15.75" customHeight="1">
      <c r="P795" s="459"/>
    </row>
    <row r="796" ht="15.75" customHeight="1">
      <c r="P796" s="459"/>
    </row>
    <row r="797" ht="15.75" customHeight="1">
      <c r="P797" s="459"/>
    </row>
    <row r="798" ht="15.75" customHeight="1">
      <c r="P798" s="459"/>
    </row>
    <row r="799" ht="15.75" customHeight="1">
      <c r="P799" s="459"/>
    </row>
    <row r="800" ht="15.75" customHeight="1">
      <c r="P800" s="459"/>
    </row>
    <row r="801" ht="15.75" customHeight="1">
      <c r="P801" s="459"/>
    </row>
    <row r="802" ht="15.75" customHeight="1">
      <c r="P802" s="459"/>
    </row>
    <row r="803" ht="15.75" customHeight="1">
      <c r="P803" s="459"/>
    </row>
    <row r="804" ht="15.75" customHeight="1">
      <c r="P804" s="459"/>
    </row>
    <row r="805" ht="15.75" customHeight="1">
      <c r="P805" s="459"/>
    </row>
    <row r="806" ht="15.75" customHeight="1">
      <c r="P806" s="459"/>
    </row>
    <row r="807" ht="15.75" customHeight="1">
      <c r="P807" s="459"/>
    </row>
    <row r="808" ht="15.75" customHeight="1">
      <c r="P808" s="459"/>
    </row>
    <row r="809" ht="15.75" customHeight="1">
      <c r="P809" s="459"/>
    </row>
    <row r="810" ht="15.75" customHeight="1">
      <c r="P810" s="459"/>
    </row>
    <row r="811" ht="15.75" customHeight="1">
      <c r="P811" s="459"/>
    </row>
    <row r="812" ht="15.75" customHeight="1">
      <c r="P812" s="459"/>
    </row>
    <row r="813" ht="15.75" customHeight="1">
      <c r="P813" s="459"/>
    </row>
    <row r="814" ht="15.75" customHeight="1">
      <c r="P814" s="459"/>
    </row>
    <row r="815" ht="15.75" customHeight="1">
      <c r="P815" s="459"/>
    </row>
    <row r="816" ht="15.75" customHeight="1">
      <c r="P816" s="459"/>
    </row>
    <row r="817" ht="15.75" customHeight="1">
      <c r="P817" s="459"/>
    </row>
    <row r="818" ht="15.75" customHeight="1">
      <c r="P818" s="459"/>
    </row>
    <row r="819" ht="15.75" customHeight="1">
      <c r="P819" s="459"/>
    </row>
    <row r="820" ht="15.75" customHeight="1">
      <c r="P820" s="459"/>
    </row>
    <row r="821" ht="15.75" customHeight="1">
      <c r="P821" s="459"/>
    </row>
    <row r="822" ht="15.75" customHeight="1">
      <c r="P822" s="459"/>
    </row>
    <row r="823" ht="15.75" customHeight="1">
      <c r="P823" s="459"/>
    </row>
    <row r="824" ht="15.75" customHeight="1">
      <c r="P824" s="459"/>
    </row>
    <row r="825" ht="15.75" customHeight="1">
      <c r="P825" s="459"/>
    </row>
    <row r="826" ht="15.75" customHeight="1">
      <c r="P826" s="459"/>
    </row>
    <row r="827" ht="15.75" customHeight="1">
      <c r="P827" s="459"/>
    </row>
    <row r="828" ht="15.75" customHeight="1">
      <c r="P828" s="459"/>
    </row>
    <row r="829" ht="15.75" customHeight="1">
      <c r="P829" s="459"/>
    </row>
    <row r="830" ht="15.75" customHeight="1">
      <c r="P830" s="459"/>
    </row>
    <row r="831" ht="15.75" customHeight="1">
      <c r="P831" s="459"/>
    </row>
    <row r="832" ht="15.75" customHeight="1">
      <c r="P832" s="459"/>
    </row>
    <row r="833" ht="15.75" customHeight="1">
      <c r="P833" s="459"/>
    </row>
    <row r="834" ht="15.75" customHeight="1">
      <c r="P834" s="459"/>
    </row>
    <row r="835" ht="15.75" customHeight="1">
      <c r="P835" s="459"/>
    </row>
    <row r="836" ht="15.75" customHeight="1">
      <c r="P836" s="459"/>
    </row>
    <row r="837" ht="15.75" customHeight="1">
      <c r="P837" s="459"/>
    </row>
    <row r="838" ht="15.75" customHeight="1">
      <c r="P838" s="459"/>
    </row>
    <row r="839" ht="15.75" customHeight="1">
      <c r="P839" s="459"/>
    </row>
    <row r="840" ht="15.75" customHeight="1">
      <c r="P840" s="459"/>
    </row>
    <row r="841" ht="15.75" customHeight="1">
      <c r="P841" s="459"/>
    </row>
    <row r="842" ht="15.75" customHeight="1">
      <c r="P842" s="459"/>
    </row>
    <row r="843" ht="15.75" customHeight="1">
      <c r="P843" s="459"/>
    </row>
    <row r="844" ht="15.75" customHeight="1">
      <c r="P844" s="459"/>
    </row>
    <row r="845" ht="15.75" customHeight="1">
      <c r="P845" s="459"/>
    </row>
    <row r="846" ht="15.75" customHeight="1">
      <c r="P846" s="459"/>
    </row>
    <row r="847" ht="15.75" customHeight="1">
      <c r="P847" s="459"/>
    </row>
    <row r="848" ht="15.75" customHeight="1">
      <c r="P848" s="459"/>
    </row>
    <row r="849" ht="15.75" customHeight="1">
      <c r="P849" s="459"/>
    </row>
    <row r="850" ht="15.75" customHeight="1">
      <c r="P850" s="459"/>
    </row>
    <row r="851" ht="15.75" customHeight="1">
      <c r="P851" s="459"/>
    </row>
    <row r="852" ht="15.75" customHeight="1">
      <c r="P852" s="459"/>
    </row>
    <row r="853" ht="15.75" customHeight="1">
      <c r="P853" s="459"/>
    </row>
    <row r="854" ht="15.75" customHeight="1">
      <c r="P854" s="459"/>
    </row>
    <row r="855" ht="15.75" customHeight="1">
      <c r="P855" s="459"/>
    </row>
    <row r="856" ht="15.75" customHeight="1">
      <c r="P856" s="459"/>
    </row>
    <row r="857" ht="15.75" customHeight="1">
      <c r="P857" s="459"/>
    </row>
    <row r="858" ht="15.75" customHeight="1">
      <c r="P858" s="459"/>
    </row>
    <row r="859" ht="15.75" customHeight="1">
      <c r="P859" s="459"/>
    </row>
    <row r="860" ht="15.75" customHeight="1">
      <c r="P860" s="459"/>
    </row>
    <row r="861" ht="15.75" customHeight="1">
      <c r="P861" s="459"/>
    </row>
    <row r="862" ht="15.75" customHeight="1">
      <c r="P862" s="459"/>
    </row>
    <row r="863" ht="15.75" customHeight="1">
      <c r="P863" s="459"/>
    </row>
    <row r="864" ht="15.75" customHeight="1">
      <c r="P864" s="459"/>
    </row>
    <row r="865" ht="15.75" customHeight="1">
      <c r="P865" s="459"/>
    </row>
    <row r="866" ht="15.75" customHeight="1">
      <c r="P866" s="459"/>
    </row>
    <row r="867" ht="15.75" customHeight="1">
      <c r="P867" s="459"/>
    </row>
    <row r="868" ht="15.75" customHeight="1">
      <c r="P868" s="459"/>
    </row>
    <row r="869" ht="15.75" customHeight="1">
      <c r="P869" s="459"/>
    </row>
    <row r="870" ht="15.75" customHeight="1">
      <c r="P870" s="459"/>
    </row>
    <row r="871" ht="15.75" customHeight="1">
      <c r="P871" s="459"/>
    </row>
    <row r="872" ht="15.75" customHeight="1">
      <c r="P872" s="459"/>
    </row>
    <row r="873" ht="15.75" customHeight="1">
      <c r="P873" s="459"/>
    </row>
    <row r="874" ht="15.75" customHeight="1">
      <c r="P874" s="459"/>
    </row>
    <row r="875" ht="15.75" customHeight="1">
      <c r="P875" s="459"/>
    </row>
    <row r="876" ht="15.75" customHeight="1">
      <c r="P876" s="459"/>
    </row>
    <row r="877" ht="15.75" customHeight="1">
      <c r="P877" s="459"/>
    </row>
    <row r="878" ht="15.75" customHeight="1">
      <c r="P878" s="459"/>
    </row>
    <row r="879" ht="15.75" customHeight="1">
      <c r="P879" s="459"/>
    </row>
    <row r="880" ht="15.75" customHeight="1">
      <c r="P880" s="459"/>
    </row>
    <row r="881" ht="15.75" customHeight="1">
      <c r="P881" s="459"/>
    </row>
    <row r="882" ht="15.75" customHeight="1">
      <c r="P882" s="459"/>
    </row>
    <row r="883" ht="15.75" customHeight="1">
      <c r="P883" s="459"/>
    </row>
    <row r="884" ht="15.75" customHeight="1">
      <c r="P884" s="459"/>
    </row>
    <row r="885" ht="15.75" customHeight="1">
      <c r="P885" s="459"/>
    </row>
    <row r="886" ht="15.75" customHeight="1">
      <c r="P886" s="459"/>
    </row>
    <row r="887" ht="15.75" customHeight="1">
      <c r="P887" s="459"/>
    </row>
    <row r="888" ht="15.75" customHeight="1">
      <c r="P888" s="459"/>
    </row>
    <row r="889" ht="15.75" customHeight="1">
      <c r="P889" s="459"/>
    </row>
    <row r="890" ht="15.75" customHeight="1">
      <c r="P890" s="459"/>
    </row>
    <row r="891" ht="15.75" customHeight="1">
      <c r="P891" s="459"/>
    </row>
    <row r="892" ht="15.75" customHeight="1">
      <c r="P892" s="459"/>
    </row>
    <row r="893" ht="15.75" customHeight="1">
      <c r="P893" s="459"/>
    </row>
    <row r="894" ht="15.75" customHeight="1">
      <c r="P894" s="459"/>
    </row>
    <row r="895" ht="15.75" customHeight="1">
      <c r="P895" s="459"/>
    </row>
    <row r="896" ht="15.75" customHeight="1">
      <c r="P896" s="459"/>
    </row>
    <row r="897" ht="15.75" customHeight="1">
      <c r="P897" s="459"/>
    </row>
    <row r="898" ht="15.75" customHeight="1">
      <c r="P898" s="459"/>
    </row>
    <row r="899" ht="15.75" customHeight="1">
      <c r="P899" s="459"/>
    </row>
    <row r="900" ht="15.75" customHeight="1">
      <c r="P900" s="459"/>
    </row>
    <row r="901" ht="15.75" customHeight="1">
      <c r="P901" s="459"/>
    </row>
    <row r="902" ht="15.75" customHeight="1">
      <c r="P902" s="459"/>
    </row>
    <row r="903" ht="15.75" customHeight="1">
      <c r="P903" s="459"/>
    </row>
    <row r="904" ht="15.75" customHeight="1">
      <c r="P904" s="459"/>
    </row>
    <row r="905" ht="15.75" customHeight="1">
      <c r="P905" s="459"/>
    </row>
    <row r="906" ht="15.75" customHeight="1">
      <c r="P906" s="459"/>
    </row>
    <row r="907" ht="15.75" customHeight="1">
      <c r="P907" s="459"/>
    </row>
    <row r="908" ht="15.75" customHeight="1">
      <c r="P908" s="459"/>
    </row>
    <row r="909" ht="15.75" customHeight="1">
      <c r="P909" s="459"/>
    </row>
    <row r="910" ht="15.75" customHeight="1">
      <c r="P910" s="459"/>
    </row>
    <row r="911" ht="15.75" customHeight="1">
      <c r="P911" s="459"/>
    </row>
    <row r="912" ht="15.75" customHeight="1">
      <c r="P912" s="459"/>
    </row>
    <row r="913" ht="15.75" customHeight="1">
      <c r="P913" s="459"/>
    </row>
    <row r="914" ht="15.75" customHeight="1">
      <c r="P914" s="459"/>
    </row>
    <row r="915" ht="15.75" customHeight="1">
      <c r="P915" s="459"/>
    </row>
    <row r="916" ht="15.75" customHeight="1">
      <c r="P916" s="459"/>
    </row>
    <row r="917" ht="15.75" customHeight="1">
      <c r="P917" s="459"/>
    </row>
    <row r="918" ht="15.75" customHeight="1">
      <c r="P918" s="459"/>
    </row>
    <row r="919" ht="15.75" customHeight="1">
      <c r="P919" s="459"/>
    </row>
    <row r="920" ht="15.75" customHeight="1">
      <c r="P920" s="459"/>
    </row>
    <row r="921" ht="15.75" customHeight="1">
      <c r="P921" s="459"/>
    </row>
    <row r="922" ht="15.75" customHeight="1">
      <c r="P922" s="459"/>
    </row>
    <row r="923" ht="15.75" customHeight="1">
      <c r="P923" s="459"/>
    </row>
    <row r="924" ht="15.75" customHeight="1">
      <c r="P924" s="459"/>
    </row>
    <row r="925" ht="15.75" customHeight="1">
      <c r="P925" s="459"/>
    </row>
    <row r="926" ht="15.75" customHeight="1">
      <c r="P926" s="459"/>
    </row>
    <row r="927" ht="15.75" customHeight="1">
      <c r="P927" s="459"/>
    </row>
    <row r="928" ht="15.75" customHeight="1">
      <c r="P928" s="459"/>
    </row>
    <row r="929" ht="15.75" customHeight="1">
      <c r="P929" s="459"/>
    </row>
    <row r="930" ht="15.75" customHeight="1">
      <c r="P930" s="459"/>
    </row>
    <row r="931" ht="15.75" customHeight="1">
      <c r="P931" s="459"/>
    </row>
    <row r="932" ht="15.75" customHeight="1">
      <c r="P932" s="459"/>
    </row>
    <row r="933" ht="15.75" customHeight="1">
      <c r="P933" s="459"/>
    </row>
    <row r="934" ht="15.75" customHeight="1">
      <c r="P934" s="459"/>
    </row>
    <row r="935" ht="15.75" customHeight="1">
      <c r="P935" s="459"/>
    </row>
    <row r="936" ht="15.75" customHeight="1">
      <c r="P936" s="459"/>
    </row>
    <row r="937" ht="15.75" customHeight="1">
      <c r="P937" s="459"/>
    </row>
    <row r="938" ht="15.75" customHeight="1">
      <c r="P938" s="459"/>
    </row>
    <row r="939" ht="15.75" customHeight="1">
      <c r="P939" s="459"/>
    </row>
    <row r="940" ht="15.75" customHeight="1">
      <c r="P940" s="459"/>
    </row>
    <row r="941" ht="15.75" customHeight="1">
      <c r="P941" s="459"/>
    </row>
    <row r="942" ht="15.75" customHeight="1">
      <c r="P942" s="459"/>
    </row>
    <row r="943" ht="15.75" customHeight="1">
      <c r="P943" s="459"/>
    </row>
    <row r="944" ht="15.75" customHeight="1">
      <c r="P944" s="459"/>
    </row>
    <row r="945" ht="15.75" customHeight="1">
      <c r="P945" s="459"/>
    </row>
    <row r="946" ht="15.75" customHeight="1">
      <c r="P946" s="459"/>
    </row>
    <row r="947" ht="15.75" customHeight="1">
      <c r="P947" s="459"/>
    </row>
    <row r="948" ht="15.75" customHeight="1">
      <c r="P948" s="459"/>
    </row>
    <row r="949" ht="15.75" customHeight="1">
      <c r="P949" s="459"/>
    </row>
    <row r="950" ht="15.75" customHeight="1">
      <c r="P950" s="459"/>
    </row>
    <row r="951" ht="15.75" customHeight="1">
      <c r="P951" s="459"/>
    </row>
    <row r="952" ht="15.75" customHeight="1">
      <c r="P952" s="459"/>
    </row>
    <row r="953" ht="15.75" customHeight="1">
      <c r="P953" s="459"/>
    </row>
    <row r="954" ht="15.75" customHeight="1">
      <c r="P954" s="459"/>
    </row>
    <row r="955" ht="15.75" customHeight="1">
      <c r="P955" s="459"/>
    </row>
    <row r="956" ht="15.75" customHeight="1">
      <c r="P956" s="459"/>
    </row>
    <row r="957" ht="15.75" customHeight="1">
      <c r="P957" s="459"/>
    </row>
    <row r="958" ht="15.75" customHeight="1">
      <c r="P958" s="459"/>
    </row>
    <row r="959" ht="15.75" customHeight="1">
      <c r="P959" s="459"/>
    </row>
    <row r="960" ht="15.75" customHeight="1">
      <c r="P960" s="459"/>
    </row>
    <row r="961" ht="15.75" customHeight="1">
      <c r="P961" s="459"/>
    </row>
    <row r="962" ht="15.75" customHeight="1">
      <c r="P962" s="459"/>
    </row>
    <row r="963" ht="15.75" customHeight="1">
      <c r="P963" s="459"/>
    </row>
    <row r="964" ht="15.75" customHeight="1">
      <c r="P964" s="459"/>
    </row>
    <row r="965" ht="15.75" customHeight="1">
      <c r="P965" s="459"/>
    </row>
    <row r="966" ht="15.75" customHeight="1">
      <c r="P966" s="459"/>
    </row>
    <row r="967" ht="15.75" customHeight="1">
      <c r="P967" s="459"/>
    </row>
    <row r="968" ht="15.75" customHeight="1">
      <c r="P968" s="459"/>
    </row>
    <row r="969" ht="15.75" customHeight="1">
      <c r="P969" s="459"/>
    </row>
    <row r="970" ht="15.75" customHeight="1">
      <c r="P970" s="459"/>
    </row>
    <row r="971" ht="15.75" customHeight="1">
      <c r="P971" s="459"/>
    </row>
  </sheetData>
  <mergeCells count="154">
    <mergeCell ref="A1:S1"/>
    <mergeCell ref="B2:C2"/>
    <mergeCell ref="B3:C3"/>
    <mergeCell ref="D3:F3"/>
    <mergeCell ref="G3:H3"/>
    <mergeCell ref="I3:K3"/>
    <mergeCell ref="L3:M3"/>
    <mergeCell ref="G5:H5"/>
    <mergeCell ref="I5:K5"/>
    <mergeCell ref="I6:K6"/>
    <mergeCell ref="L6:M6"/>
    <mergeCell ref="I7:K7"/>
    <mergeCell ref="L7:M7"/>
    <mergeCell ref="B4:C4"/>
    <mergeCell ref="D4:F4"/>
    <mergeCell ref="G4:H4"/>
    <mergeCell ref="I4:K4"/>
    <mergeCell ref="L4:M4"/>
    <mergeCell ref="D5:F5"/>
    <mergeCell ref="L5:M5"/>
    <mergeCell ref="B5:C5"/>
    <mergeCell ref="B6:C6"/>
    <mergeCell ref="D6:F6"/>
    <mergeCell ref="G6:H6"/>
    <mergeCell ref="B7:C7"/>
    <mergeCell ref="D7:F7"/>
    <mergeCell ref="G7:H7"/>
    <mergeCell ref="G9:H9"/>
    <mergeCell ref="I9:K9"/>
    <mergeCell ref="I10:K10"/>
    <mergeCell ref="L10:M10"/>
    <mergeCell ref="I11:K11"/>
    <mergeCell ref="L11:M11"/>
    <mergeCell ref="B8:C8"/>
    <mergeCell ref="D8:F8"/>
    <mergeCell ref="G8:H8"/>
    <mergeCell ref="I8:K8"/>
    <mergeCell ref="L8:M8"/>
    <mergeCell ref="D9:F9"/>
    <mergeCell ref="L9:M9"/>
    <mergeCell ref="B9:C9"/>
    <mergeCell ref="B10:C10"/>
    <mergeCell ref="D10:F10"/>
    <mergeCell ref="G10:H10"/>
    <mergeCell ref="B11:C11"/>
    <mergeCell ref="D11:F11"/>
    <mergeCell ref="G11:H11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45:C45"/>
    <mergeCell ref="B46:C46"/>
    <mergeCell ref="B47:C47"/>
    <mergeCell ref="B48:C48"/>
    <mergeCell ref="B49:C49"/>
    <mergeCell ref="B38:C38"/>
    <mergeCell ref="B39:C39"/>
    <mergeCell ref="B40:C40"/>
    <mergeCell ref="B41:C41"/>
    <mergeCell ref="B42:C42"/>
    <mergeCell ref="B43:C43"/>
    <mergeCell ref="B44:C44"/>
    <mergeCell ref="J25:K25"/>
    <mergeCell ref="L25:M25"/>
    <mergeCell ref="H23:I23"/>
    <mergeCell ref="J23:K23"/>
    <mergeCell ref="L23:M23"/>
    <mergeCell ref="H24:I24"/>
    <mergeCell ref="J24:K24"/>
    <mergeCell ref="L24:M24"/>
    <mergeCell ref="H25:I25"/>
    <mergeCell ref="J28:K28"/>
    <mergeCell ref="L28:M28"/>
    <mergeCell ref="H26:I26"/>
    <mergeCell ref="J26:K26"/>
    <mergeCell ref="L26:M26"/>
    <mergeCell ref="H27:I27"/>
    <mergeCell ref="J27:K27"/>
    <mergeCell ref="L27:M27"/>
    <mergeCell ref="H28:I28"/>
    <mergeCell ref="J32:K32"/>
    <mergeCell ref="L32:M32"/>
    <mergeCell ref="H30:I30"/>
    <mergeCell ref="J30:K30"/>
    <mergeCell ref="L30:M30"/>
    <mergeCell ref="H31:I31"/>
    <mergeCell ref="J31:K31"/>
    <mergeCell ref="L31:M31"/>
    <mergeCell ref="H32:I32"/>
    <mergeCell ref="G13:H13"/>
    <mergeCell ref="I13:K13"/>
    <mergeCell ref="I14:K14"/>
    <mergeCell ref="L14:M14"/>
    <mergeCell ref="I15:K15"/>
    <mergeCell ref="L15:M15"/>
    <mergeCell ref="B12:C12"/>
    <mergeCell ref="D12:F12"/>
    <mergeCell ref="G12:H12"/>
    <mergeCell ref="I12:K12"/>
    <mergeCell ref="L12:M12"/>
    <mergeCell ref="D13:F13"/>
    <mergeCell ref="L13:M13"/>
    <mergeCell ref="B13:C13"/>
    <mergeCell ref="B14:C14"/>
    <mergeCell ref="D14:F14"/>
    <mergeCell ref="G14:H14"/>
    <mergeCell ref="B15:C15"/>
    <mergeCell ref="D15:F15"/>
    <mergeCell ref="G15:H15"/>
    <mergeCell ref="B16:C16"/>
    <mergeCell ref="D16:F16"/>
    <mergeCell ref="G16:H16"/>
    <mergeCell ref="I16:K16"/>
    <mergeCell ref="L16:M16"/>
    <mergeCell ref="D17:F17"/>
    <mergeCell ref="L17:M17"/>
    <mergeCell ref="G17:H17"/>
    <mergeCell ref="I17:K17"/>
    <mergeCell ref="H19:I19"/>
    <mergeCell ref="J19:K19"/>
    <mergeCell ref="L19:M19"/>
    <mergeCell ref="J20:K20"/>
    <mergeCell ref="L20:M20"/>
    <mergeCell ref="H20:I20"/>
    <mergeCell ref="H21:I21"/>
    <mergeCell ref="J21:K21"/>
    <mergeCell ref="L21:M21"/>
    <mergeCell ref="H22:I22"/>
    <mergeCell ref="J22:K22"/>
    <mergeCell ref="L22:M22"/>
    <mergeCell ref="H33:I33"/>
    <mergeCell ref="J33:K33"/>
    <mergeCell ref="L33:M33"/>
    <mergeCell ref="H34:I34"/>
    <mergeCell ref="J34:K34"/>
    <mergeCell ref="L34:M3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86"/>
    <col customWidth="1" min="2" max="2" width="29.14"/>
    <col customWidth="1" min="3" max="3" width="27.57"/>
    <col customWidth="1" hidden="1" min="4" max="4" width="14.0"/>
    <col customWidth="1" hidden="1" min="5" max="5" width="5.71"/>
    <col customWidth="1" hidden="1" min="6" max="6" width="8.0"/>
    <col customWidth="1" min="7" max="7" width="22.86"/>
    <col customWidth="1" min="8" max="8" width="5.71"/>
    <col customWidth="1" hidden="1" min="9" max="14" width="27.29"/>
    <col customWidth="1" min="15" max="15" width="27.29"/>
    <col customWidth="1" min="16" max="17" width="16.86"/>
    <col customWidth="1" min="18" max="18" width="2.0"/>
    <col customWidth="1" min="19" max="19" width="15.71"/>
    <col customWidth="1" min="20" max="21" width="8.71"/>
    <col customWidth="1" min="22" max="22" width="16.43"/>
    <col customWidth="1" min="23" max="28" width="8.71"/>
  </cols>
  <sheetData>
    <row r="1" ht="57.75" customHeight="1">
      <c r="A1" s="424"/>
      <c r="V1" s="132" t="s">
        <v>830</v>
      </c>
    </row>
    <row r="2" ht="35.25" customHeight="1">
      <c r="A2" s="124" t="s">
        <v>831</v>
      </c>
      <c r="B2" s="125" t="s">
        <v>16</v>
      </c>
      <c r="C2" s="35"/>
      <c r="D2" s="126" t="s">
        <v>959</v>
      </c>
      <c r="E2" s="126"/>
      <c r="F2" s="126" t="s">
        <v>960</v>
      </c>
      <c r="G2" s="126" t="s">
        <v>395</v>
      </c>
      <c r="H2" s="126"/>
      <c r="I2" s="126" t="s">
        <v>961</v>
      </c>
      <c r="J2" s="126"/>
      <c r="K2" s="126"/>
      <c r="L2" s="126" t="s">
        <v>962</v>
      </c>
      <c r="M2" s="425" t="s">
        <v>963</v>
      </c>
      <c r="N2" s="425" t="s">
        <v>837</v>
      </c>
      <c r="O2" s="426" t="s">
        <v>838</v>
      </c>
      <c r="P2" s="427"/>
      <c r="Q2" s="128" t="s">
        <v>263</v>
      </c>
      <c r="R2" s="126"/>
      <c r="S2" s="129" t="s">
        <v>24</v>
      </c>
      <c r="T2" s="428" t="s">
        <v>25</v>
      </c>
      <c r="U2" s="429" t="s">
        <v>26</v>
      </c>
    </row>
    <row r="3">
      <c r="A3" s="153" t="s">
        <v>964</v>
      </c>
      <c r="B3" s="138" t="s">
        <v>965</v>
      </c>
      <c r="C3" s="35"/>
      <c r="D3" s="138" t="s">
        <v>966</v>
      </c>
      <c r="E3" s="34"/>
      <c r="F3" s="35"/>
      <c r="G3" s="135">
        <v>200.0</v>
      </c>
      <c r="H3" s="35"/>
      <c r="I3" s="138" t="s">
        <v>967</v>
      </c>
      <c r="J3" s="34"/>
      <c r="K3" s="35"/>
      <c r="L3" s="430">
        <v>54036.0</v>
      </c>
      <c r="M3" s="35"/>
      <c r="N3" s="301">
        <f t="shared" ref="N3:N17" si="1">L3/G3</f>
        <v>270.18</v>
      </c>
      <c r="O3" s="431">
        <f t="shared" ref="O3:O17" si="2">N3*1.21</f>
        <v>326.9178</v>
      </c>
      <c r="P3" s="432">
        <f t="shared" ref="P3:P49" si="3">O3/1.21</f>
        <v>270.18</v>
      </c>
      <c r="Q3" s="433">
        <f t="shared" ref="Q3:Q49" si="4">O3*1.45</f>
        <v>474.03081</v>
      </c>
      <c r="R3" s="141"/>
      <c r="S3" s="142">
        <f t="shared" ref="S3:S49" si="5">O3*1.5</f>
        <v>490.3767</v>
      </c>
      <c r="T3" s="434"/>
      <c r="U3" s="435">
        <f t="shared" ref="U3:U49" si="6">G3-T3</f>
        <v>200</v>
      </c>
      <c r="V3" s="389">
        <f t="shared" ref="V3:V14" si="7">ROUNDUP(Q3,-2)</f>
        <v>500</v>
      </c>
    </row>
    <row r="4">
      <c r="A4" s="153" t="s">
        <v>968</v>
      </c>
      <c r="B4" s="138" t="s">
        <v>969</v>
      </c>
      <c r="C4" s="35"/>
      <c r="D4" s="138" t="s">
        <v>970</v>
      </c>
      <c r="E4" s="34"/>
      <c r="F4" s="35"/>
      <c r="G4" s="135">
        <v>200.0</v>
      </c>
      <c r="H4" s="35"/>
      <c r="I4" s="138" t="s">
        <v>971</v>
      </c>
      <c r="J4" s="34"/>
      <c r="K4" s="35"/>
      <c r="L4" s="430">
        <v>62568.0</v>
      </c>
      <c r="M4" s="35"/>
      <c r="N4" s="301">
        <f t="shared" si="1"/>
        <v>312.84</v>
      </c>
      <c r="O4" s="431">
        <f t="shared" si="2"/>
        <v>378.5364</v>
      </c>
      <c r="P4" s="432">
        <f t="shared" si="3"/>
        <v>312.84</v>
      </c>
      <c r="Q4" s="433">
        <f t="shared" si="4"/>
        <v>548.87778</v>
      </c>
      <c r="R4" s="141"/>
      <c r="S4" s="142">
        <f t="shared" si="5"/>
        <v>567.8046</v>
      </c>
      <c r="T4" s="434"/>
      <c r="U4" s="435">
        <f t="shared" si="6"/>
        <v>200</v>
      </c>
      <c r="V4" s="389">
        <f t="shared" si="7"/>
        <v>600</v>
      </c>
    </row>
    <row r="5">
      <c r="A5" s="153" t="s">
        <v>972</v>
      </c>
      <c r="B5" s="436" t="s">
        <v>848</v>
      </c>
      <c r="C5" s="35"/>
      <c r="D5" s="138" t="s">
        <v>973</v>
      </c>
      <c r="E5" s="34"/>
      <c r="F5" s="35"/>
      <c r="G5" s="135">
        <v>100.0</v>
      </c>
      <c r="H5" s="35"/>
      <c r="I5" s="138" t="s">
        <v>974</v>
      </c>
      <c r="J5" s="34"/>
      <c r="K5" s="35"/>
      <c r="L5" s="430">
        <v>41238.0</v>
      </c>
      <c r="M5" s="35"/>
      <c r="N5" s="301">
        <f t="shared" si="1"/>
        <v>412.38</v>
      </c>
      <c r="O5" s="431">
        <f t="shared" si="2"/>
        <v>498.9798</v>
      </c>
      <c r="P5" s="432">
        <f t="shared" si="3"/>
        <v>412.38</v>
      </c>
      <c r="Q5" s="433">
        <f t="shared" si="4"/>
        <v>723.52071</v>
      </c>
      <c r="R5" s="141"/>
      <c r="S5" s="142">
        <f t="shared" si="5"/>
        <v>748.4697</v>
      </c>
      <c r="T5" s="434"/>
      <c r="U5" s="435">
        <f t="shared" si="6"/>
        <v>100</v>
      </c>
      <c r="V5" s="389">
        <f t="shared" si="7"/>
        <v>800</v>
      </c>
    </row>
    <row r="6">
      <c r="A6" s="153" t="s">
        <v>975</v>
      </c>
      <c r="B6" s="138" t="s">
        <v>976</v>
      </c>
      <c r="C6" s="35"/>
      <c r="D6" s="138" t="s">
        <v>977</v>
      </c>
      <c r="E6" s="34"/>
      <c r="F6" s="35"/>
      <c r="G6" s="135">
        <v>100.0</v>
      </c>
      <c r="H6" s="35"/>
      <c r="I6" s="138" t="s">
        <v>978</v>
      </c>
      <c r="J6" s="34"/>
      <c r="K6" s="35"/>
      <c r="L6" s="430">
        <v>44082.0</v>
      </c>
      <c r="M6" s="35"/>
      <c r="N6" s="301">
        <f t="shared" si="1"/>
        <v>440.82</v>
      </c>
      <c r="O6" s="431">
        <f t="shared" si="2"/>
        <v>533.3922</v>
      </c>
      <c r="P6" s="432">
        <f t="shared" si="3"/>
        <v>440.82</v>
      </c>
      <c r="Q6" s="433">
        <f t="shared" si="4"/>
        <v>773.41869</v>
      </c>
      <c r="R6" s="141"/>
      <c r="S6" s="142">
        <f t="shared" si="5"/>
        <v>800.0883</v>
      </c>
      <c r="T6" s="434"/>
      <c r="U6" s="435">
        <f t="shared" si="6"/>
        <v>100</v>
      </c>
      <c r="V6" s="389">
        <f t="shared" si="7"/>
        <v>800</v>
      </c>
    </row>
    <row r="7">
      <c r="A7" s="153" t="s">
        <v>979</v>
      </c>
      <c r="B7" s="138" t="s">
        <v>980</v>
      </c>
      <c r="C7" s="35"/>
      <c r="D7" s="138" t="s">
        <v>981</v>
      </c>
      <c r="E7" s="34"/>
      <c r="F7" s="35"/>
      <c r="G7" s="135">
        <v>100.0</v>
      </c>
      <c r="H7" s="35"/>
      <c r="I7" s="138" t="s">
        <v>982</v>
      </c>
      <c r="J7" s="34"/>
      <c r="K7" s="35"/>
      <c r="L7" s="430">
        <v>55458.0</v>
      </c>
      <c r="M7" s="35"/>
      <c r="N7" s="301">
        <f t="shared" si="1"/>
        <v>554.58</v>
      </c>
      <c r="O7" s="431">
        <f t="shared" si="2"/>
        <v>671.0418</v>
      </c>
      <c r="P7" s="432">
        <f t="shared" si="3"/>
        <v>554.58</v>
      </c>
      <c r="Q7" s="433">
        <f t="shared" si="4"/>
        <v>973.01061</v>
      </c>
      <c r="R7" s="141"/>
      <c r="S7" s="142">
        <f t="shared" si="5"/>
        <v>1006.5627</v>
      </c>
      <c r="T7" s="434"/>
      <c r="U7" s="435">
        <f t="shared" si="6"/>
        <v>100</v>
      </c>
      <c r="V7" s="389">
        <f t="shared" si="7"/>
        <v>1000</v>
      </c>
    </row>
    <row r="8">
      <c r="A8" s="153" t="s">
        <v>983</v>
      </c>
      <c r="B8" s="437" t="s">
        <v>984</v>
      </c>
      <c r="C8" s="35"/>
      <c r="D8" s="138" t="s">
        <v>985</v>
      </c>
      <c r="E8" s="34"/>
      <c r="F8" s="35"/>
      <c r="G8" s="135">
        <v>10.0</v>
      </c>
      <c r="H8" s="35"/>
      <c r="I8" s="138" t="s">
        <v>986</v>
      </c>
      <c r="J8" s="34"/>
      <c r="K8" s="35"/>
      <c r="L8" s="430">
        <v>5190.3</v>
      </c>
      <c r="M8" s="35"/>
      <c r="N8" s="301">
        <f t="shared" si="1"/>
        <v>519.03</v>
      </c>
      <c r="O8" s="431">
        <f t="shared" si="2"/>
        <v>628.0263</v>
      </c>
      <c r="P8" s="432">
        <f t="shared" si="3"/>
        <v>519.03</v>
      </c>
      <c r="Q8" s="433">
        <f t="shared" si="4"/>
        <v>910.638135</v>
      </c>
      <c r="R8" s="141"/>
      <c r="S8" s="142">
        <f t="shared" si="5"/>
        <v>942.03945</v>
      </c>
      <c r="T8" s="434"/>
      <c r="U8" s="435">
        <f t="shared" si="6"/>
        <v>10</v>
      </c>
      <c r="V8" s="389">
        <f t="shared" si="7"/>
        <v>1000</v>
      </c>
    </row>
    <row r="9">
      <c r="A9" s="153" t="s">
        <v>987</v>
      </c>
      <c r="B9" s="437" t="s">
        <v>988</v>
      </c>
      <c r="C9" s="35"/>
      <c r="D9" s="138" t="s">
        <v>989</v>
      </c>
      <c r="E9" s="34"/>
      <c r="F9" s="35"/>
      <c r="G9" s="135">
        <v>10.0</v>
      </c>
      <c r="H9" s="35"/>
      <c r="I9" s="138" t="s">
        <v>990</v>
      </c>
      <c r="J9" s="34"/>
      <c r="K9" s="35"/>
      <c r="L9" s="430">
        <v>5190.3</v>
      </c>
      <c r="M9" s="35"/>
      <c r="N9" s="301">
        <f t="shared" si="1"/>
        <v>519.03</v>
      </c>
      <c r="O9" s="431">
        <f t="shared" si="2"/>
        <v>628.0263</v>
      </c>
      <c r="P9" s="432">
        <f t="shared" si="3"/>
        <v>519.03</v>
      </c>
      <c r="Q9" s="433">
        <f t="shared" si="4"/>
        <v>910.638135</v>
      </c>
      <c r="R9" s="141"/>
      <c r="S9" s="142">
        <f t="shared" si="5"/>
        <v>942.03945</v>
      </c>
      <c r="T9" s="434"/>
      <c r="U9" s="435">
        <f t="shared" si="6"/>
        <v>10</v>
      </c>
      <c r="V9" s="389">
        <f t="shared" si="7"/>
        <v>1000</v>
      </c>
    </row>
    <row r="10">
      <c r="A10" s="153" t="s">
        <v>991</v>
      </c>
      <c r="B10" s="437" t="s">
        <v>992</v>
      </c>
      <c r="C10" s="35"/>
      <c r="D10" s="138" t="s">
        <v>993</v>
      </c>
      <c r="E10" s="34"/>
      <c r="F10" s="35"/>
      <c r="G10" s="135">
        <v>10.0</v>
      </c>
      <c r="H10" s="35"/>
      <c r="I10" s="138" t="s">
        <v>994</v>
      </c>
      <c r="J10" s="34"/>
      <c r="K10" s="35"/>
      <c r="L10" s="430">
        <v>8816.4</v>
      </c>
      <c r="M10" s="35"/>
      <c r="N10" s="301">
        <f t="shared" si="1"/>
        <v>881.64</v>
      </c>
      <c r="O10" s="431">
        <f t="shared" si="2"/>
        <v>1066.7844</v>
      </c>
      <c r="P10" s="432">
        <f t="shared" si="3"/>
        <v>881.64</v>
      </c>
      <c r="Q10" s="433">
        <f t="shared" si="4"/>
        <v>1546.83738</v>
      </c>
      <c r="R10" s="141"/>
      <c r="S10" s="142">
        <f t="shared" si="5"/>
        <v>1600.1766</v>
      </c>
      <c r="T10" s="434"/>
      <c r="U10" s="435">
        <f t="shared" si="6"/>
        <v>10</v>
      </c>
      <c r="V10" s="389">
        <f t="shared" si="7"/>
        <v>1600</v>
      </c>
    </row>
    <row r="11">
      <c r="A11" s="153" t="s">
        <v>995</v>
      </c>
      <c r="B11" s="437" t="s">
        <v>996</v>
      </c>
      <c r="C11" s="35"/>
      <c r="D11" s="138" t="s">
        <v>997</v>
      </c>
      <c r="E11" s="34"/>
      <c r="F11" s="35"/>
      <c r="G11" s="135">
        <v>10.0</v>
      </c>
      <c r="H11" s="35"/>
      <c r="I11" s="138" t="s">
        <v>998</v>
      </c>
      <c r="J11" s="34"/>
      <c r="K11" s="35"/>
      <c r="L11" s="430">
        <v>8816.4</v>
      </c>
      <c r="M11" s="35"/>
      <c r="N11" s="301">
        <f t="shared" si="1"/>
        <v>881.64</v>
      </c>
      <c r="O11" s="431">
        <f t="shared" si="2"/>
        <v>1066.7844</v>
      </c>
      <c r="P11" s="432">
        <f t="shared" si="3"/>
        <v>881.64</v>
      </c>
      <c r="Q11" s="433">
        <f t="shared" si="4"/>
        <v>1546.83738</v>
      </c>
      <c r="R11" s="141"/>
      <c r="S11" s="142">
        <f t="shared" si="5"/>
        <v>1600.1766</v>
      </c>
      <c r="T11" s="434"/>
      <c r="U11" s="435">
        <f t="shared" si="6"/>
        <v>10</v>
      </c>
      <c r="V11" s="389">
        <f t="shared" si="7"/>
        <v>1600</v>
      </c>
    </row>
    <row r="12">
      <c r="A12" s="153" t="s">
        <v>999</v>
      </c>
      <c r="B12" s="437" t="s">
        <v>1000</v>
      </c>
      <c r="C12" s="35"/>
      <c r="D12" s="138" t="s">
        <v>1001</v>
      </c>
      <c r="E12" s="34"/>
      <c r="F12" s="35"/>
      <c r="G12" s="135">
        <v>10.0</v>
      </c>
      <c r="H12" s="35"/>
      <c r="I12" s="138" t="s">
        <v>1002</v>
      </c>
      <c r="J12" s="34"/>
      <c r="K12" s="35"/>
      <c r="L12" s="430">
        <v>13295.7</v>
      </c>
      <c r="M12" s="35"/>
      <c r="N12" s="301">
        <f t="shared" si="1"/>
        <v>1329.57</v>
      </c>
      <c r="O12" s="431">
        <f t="shared" si="2"/>
        <v>1608.7797</v>
      </c>
      <c r="P12" s="432">
        <f t="shared" si="3"/>
        <v>1329.57</v>
      </c>
      <c r="Q12" s="433">
        <f t="shared" si="4"/>
        <v>2332.730565</v>
      </c>
      <c r="R12" s="141"/>
      <c r="S12" s="142">
        <f t="shared" si="5"/>
        <v>2413.16955</v>
      </c>
      <c r="T12" s="434"/>
      <c r="U12" s="435">
        <f t="shared" si="6"/>
        <v>10</v>
      </c>
      <c r="V12" s="389">
        <f t="shared" si="7"/>
        <v>2400</v>
      </c>
    </row>
    <row r="13">
      <c r="A13" s="153" t="s">
        <v>1003</v>
      </c>
      <c r="B13" s="437" t="s">
        <v>1004</v>
      </c>
      <c r="C13" s="35"/>
      <c r="D13" s="138" t="s">
        <v>1005</v>
      </c>
      <c r="E13" s="34"/>
      <c r="F13" s="35"/>
      <c r="G13" s="135">
        <v>10.0</v>
      </c>
      <c r="H13" s="35"/>
      <c r="I13" s="138" t="s">
        <v>1006</v>
      </c>
      <c r="J13" s="34"/>
      <c r="K13" s="35"/>
      <c r="L13" s="430">
        <v>13295.7</v>
      </c>
      <c r="M13" s="35"/>
      <c r="N13" s="301">
        <f t="shared" si="1"/>
        <v>1329.57</v>
      </c>
      <c r="O13" s="431">
        <f t="shared" si="2"/>
        <v>1608.7797</v>
      </c>
      <c r="P13" s="432">
        <f t="shared" si="3"/>
        <v>1329.57</v>
      </c>
      <c r="Q13" s="433">
        <f t="shared" si="4"/>
        <v>2332.730565</v>
      </c>
      <c r="R13" s="141"/>
      <c r="S13" s="142">
        <f t="shared" si="5"/>
        <v>2413.16955</v>
      </c>
      <c r="T13" s="434"/>
      <c r="U13" s="435">
        <f t="shared" si="6"/>
        <v>10</v>
      </c>
      <c r="V13" s="389">
        <f t="shared" si="7"/>
        <v>2400</v>
      </c>
    </row>
    <row r="14">
      <c r="A14" s="153" t="s">
        <v>1007</v>
      </c>
      <c r="B14" s="437" t="s">
        <v>1008</v>
      </c>
      <c r="C14" s="35"/>
      <c r="D14" s="138" t="s">
        <v>1009</v>
      </c>
      <c r="E14" s="34"/>
      <c r="F14" s="35"/>
      <c r="G14" s="135">
        <v>10.0</v>
      </c>
      <c r="H14" s="35"/>
      <c r="I14" s="138" t="s">
        <v>1010</v>
      </c>
      <c r="J14" s="34"/>
      <c r="K14" s="35"/>
      <c r="L14" s="430">
        <v>16566.3</v>
      </c>
      <c r="M14" s="35"/>
      <c r="N14" s="301">
        <f t="shared" si="1"/>
        <v>1656.63</v>
      </c>
      <c r="O14" s="431">
        <f t="shared" si="2"/>
        <v>2004.5223</v>
      </c>
      <c r="P14" s="432">
        <f t="shared" si="3"/>
        <v>1656.63</v>
      </c>
      <c r="Q14" s="433">
        <f t="shared" si="4"/>
        <v>2906.557335</v>
      </c>
      <c r="R14" s="141"/>
      <c r="S14" s="142">
        <f t="shared" si="5"/>
        <v>3006.78345</v>
      </c>
      <c r="T14" s="434"/>
      <c r="U14" s="435">
        <f t="shared" si="6"/>
        <v>10</v>
      </c>
      <c r="V14" s="389">
        <f t="shared" si="7"/>
        <v>3000</v>
      </c>
    </row>
    <row r="15">
      <c r="A15" s="153" t="s">
        <v>1011</v>
      </c>
      <c r="B15" s="437" t="s">
        <v>1012</v>
      </c>
      <c r="C15" s="35"/>
      <c r="D15" s="138" t="s">
        <v>1013</v>
      </c>
      <c r="E15" s="34"/>
      <c r="F15" s="35"/>
      <c r="G15" s="135">
        <v>10.0</v>
      </c>
      <c r="H15" s="35"/>
      <c r="I15" s="138" t="s">
        <v>1014</v>
      </c>
      <c r="J15" s="34"/>
      <c r="K15" s="35"/>
      <c r="L15" s="430">
        <v>16566.3</v>
      </c>
      <c r="M15" s="35"/>
      <c r="N15" s="301">
        <f t="shared" si="1"/>
        <v>1656.63</v>
      </c>
      <c r="O15" s="431">
        <f t="shared" si="2"/>
        <v>2004.5223</v>
      </c>
      <c r="P15" s="432">
        <f t="shared" si="3"/>
        <v>1656.63</v>
      </c>
      <c r="Q15" s="433">
        <f t="shared" si="4"/>
        <v>2906.557335</v>
      </c>
      <c r="R15" s="141"/>
      <c r="S15" s="142">
        <f t="shared" si="5"/>
        <v>3006.78345</v>
      </c>
      <c r="T15" s="434"/>
      <c r="U15" s="435">
        <f t="shared" si="6"/>
        <v>10</v>
      </c>
      <c r="V15" s="389">
        <f t="shared" ref="V15:V16" si="8">ROUNDUP(Q16,-2)</f>
        <v>5100</v>
      </c>
    </row>
    <row r="16">
      <c r="A16" s="153" t="s">
        <v>1015</v>
      </c>
      <c r="B16" s="437" t="s">
        <v>1016</v>
      </c>
      <c r="C16" s="35"/>
      <c r="D16" s="138" t="s">
        <v>1017</v>
      </c>
      <c r="E16" s="34"/>
      <c r="F16" s="35"/>
      <c r="G16" s="135">
        <v>10.0</v>
      </c>
      <c r="H16" s="35"/>
      <c r="I16" s="138" t="s">
        <v>1018</v>
      </c>
      <c r="J16" s="34"/>
      <c r="K16" s="35"/>
      <c r="L16" s="430">
        <v>28795.5</v>
      </c>
      <c r="M16" s="35"/>
      <c r="N16" s="301">
        <f t="shared" si="1"/>
        <v>2879.55</v>
      </c>
      <c r="O16" s="431">
        <f t="shared" si="2"/>
        <v>3484.2555</v>
      </c>
      <c r="P16" s="432">
        <f t="shared" si="3"/>
        <v>2879.55</v>
      </c>
      <c r="Q16" s="433">
        <f t="shared" si="4"/>
        <v>5052.170475</v>
      </c>
      <c r="R16" s="141"/>
      <c r="S16" s="142">
        <f t="shared" si="5"/>
        <v>5226.38325</v>
      </c>
      <c r="T16" s="434"/>
      <c r="U16" s="435">
        <f t="shared" si="6"/>
        <v>10</v>
      </c>
      <c r="V16" s="389">
        <f t="shared" si="8"/>
        <v>5100</v>
      </c>
      <c r="W16" s="389">
        <f>ROUNDUP(R16,-2)</f>
        <v>0</v>
      </c>
    </row>
    <row r="17">
      <c r="A17" s="153" t="s">
        <v>1019</v>
      </c>
      <c r="B17" s="437" t="s">
        <v>1020</v>
      </c>
      <c r="C17" s="35"/>
      <c r="D17" s="138" t="s">
        <v>1021</v>
      </c>
      <c r="E17" s="34"/>
      <c r="F17" s="35"/>
      <c r="G17" s="135">
        <v>10.0</v>
      </c>
      <c r="H17" s="35"/>
      <c r="I17" s="138" t="s">
        <v>1022</v>
      </c>
      <c r="J17" s="34"/>
      <c r="K17" s="35"/>
      <c r="L17" s="430">
        <v>28795.5</v>
      </c>
      <c r="M17" s="35"/>
      <c r="N17" s="301">
        <f t="shared" si="1"/>
        <v>2879.55</v>
      </c>
      <c r="O17" s="431">
        <f t="shared" si="2"/>
        <v>3484.2555</v>
      </c>
      <c r="P17" s="432">
        <f t="shared" si="3"/>
        <v>2879.55</v>
      </c>
      <c r="Q17" s="433">
        <f t="shared" si="4"/>
        <v>5052.170475</v>
      </c>
      <c r="R17" s="141"/>
      <c r="S17" s="142">
        <f t="shared" si="5"/>
        <v>5226.38325</v>
      </c>
      <c r="T17" s="434"/>
      <c r="U17" s="435">
        <f t="shared" si="6"/>
        <v>10</v>
      </c>
      <c r="V17" s="389">
        <f t="shared" ref="V17:W17" si="9">ROUNDUP(Q17,-2)</f>
        <v>5100</v>
      </c>
      <c r="W17" s="389">
        <f t="shared" si="9"/>
        <v>0</v>
      </c>
    </row>
    <row r="18" ht="15.75" customHeight="1">
      <c r="A18" s="153" t="s">
        <v>899</v>
      </c>
      <c r="B18" s="138" t="s">
        <v>900</v>
      </c>
      <c r="C18" s="35"/>
      <c r="D18" s="438"/>
      <c r="F18" s="138">
        <v>30.0</v>
      </c>
      <c r="G18" s="439">
        <v>50.0</v>
      </c>
      <c r="O18" s="431">
        <v>1677.6</v>
      </c>
      <c r="P18" s="432">
        <f t="shared" si="3"/>
        <v>1386.446281</v>
      </c>
      <c r="Q18" s="433">
        <f t="shared" si="4"/>
        <v>2432.52</v>
      </c>
      <c r="S18" s="142">
        <f t="shared" si="5"/>
        <v>2516.4</v>
      </c>
      <c r="T18" s="434"/>
      <c r="U18" s="440">
        <f t="shared" si="6"/>
        <v>50</v>
      </c>
      <c r="V18" s="389">
        <f t="shared" ref="V18:W18" si="10">ROUNDUP(Q18,-2)</f>
        <v>2500</v>
      </c>
      <c r="W18" s="389">
        <f t="shared" si="10"/>
        <v>0</v>
      </c>
    </row>
    <row r="19" ht="15.75" customHeight="1">
      <c r="A19" s="441" t="s">
        <v>901</v>
      </c>
      <c r="B19" s="442" t="s">
        <v>902</v>
      </c>
      <c r="C19" s="35"/>
      <c r="D19" s="443"/>
      <c r="F19" s="138">
        <v>40.0</v>
      </c>
      <c r="G19" s="444">
        <v>40.0</v>
      </c>
      <c r="H19" s="445"/>
      <c r="I19" s="3"/>
      <c r="J19" s="438"/>
      <c r="K19" s="3"/>
      <c r="L19" s="438"/>
      <c r="M19" s="3"/>
      <c r="O19" s="446">
        <v>1806.65</v>
      </c>
      <c r="P19" s="432">
        <f t="shared" si="3"/>
        <v>1493.099174</v>
      </c>
      <c r="Q19" s="433">
        <f t="shared" si="4"/>
        <v>2619.6425</v>
      </c>
      <c r="S19" s="142">
        <f t="shared" si="5"/>
        <v>2709.975</v>
      </c>
      <c r="T19" s="434"/>
      <c r="U19" s="440">
        <f t="shared" si="6"/>
        <v>40</v>
      </c>
      <c r="V19" s="389">
        <f t="shared" ref="V19:W19" si="11">ROUNDUP(Q19,-2)</f>
        <v>2700</v>
      </c>
      <c r="W19" s="389">
        <f t="shared" si="11"/>
        <v>0</v>
      </c>
    </row>
    <row r="20" ht="15.75" customHeight="1">
      <c r="A20" s="153" t="s">
        <v>903</v>
      </c>
      <c r="B20" s="442" t="s">
        <v>904</v>
      </c>
      <c r="C20" s="35"/>
      <c r="D20" s="443"/>
      <c r="F20" s="138">
        <v>30.0</v>
      </c>
      <c r="G20" s="444">
        <v>30.0</v>
      </c>
      <c r="H20" s="447"/>
      <c r="J20" s="443"/>
      <c r="L20" s="443"/>
      <c r="O20" s="446">
        <v>2778.8</v>
      </c>
      <c r="P20" s="432">
        <f t="shared" si="3"/>
        <v>2296.528926</v>
      </c>
      <c r="Q20" s="433">
        <f t="shared" si="4"/>
        <v>4029.26</v>
      </c>
      <c r="S20" s="142">
        <f t="shared" si="5"/>
        <v>4168.2</v>
      </c>
      <c r="T20" s="434"/>
      <c r="U20" s="440">
        <f t="shared" si="6"/>
        <v>30</v>
      </c>
    </row>
    <row r="21" ht="15.75" customHeight="1">
      <c r="A21" s="153" t="s">
        <v>905</v>
      </c>
      <c r="B21" s="442" t="s">
        <v>906</v>
      </c>
      <c r="C21" s="35"/>
      <c r="D21" s="443"/>
      <c r="F21" s="138">
        <v>30.0</v>
      </c>
      <c r="G21" s="444">
        <v>30.0</v>
      </c>
      <c r="H21" s="447"/>
      <c r="J21" s="443"/>
      <c r="L21" s="443"/>
      <c r="O21" s="446">
        <v>2778.8</v>
      </c>
      <c r="P21" s="432">
        <f t="shared" si="3"/>
        <v>2296.528926</v>
      </c>
      <c r="Q21" s="433">
        <f t="shared" si="4"/>
        <v>4029.26</v>
      </c>
      <c r="S21" s="142">
        <f t="shared" si="5"/>
        <v>4168.2</v>
      </c>
      <c r="T21" s="434"/>
      <c r="U21" s="440">
        <f t="shared" si="6"/>
        <v>30</v>
      </c>
    </row>
    <row r="22" ht="15.75" customHeight="1">
      <c r="A22" s="153" t="s">
        <v>907</v>
      </c>
      <c r="B22" s="442" t="s">
        <v>908</v>
      </c>
      <c r="C22" s="35"/>
      <c r="D22" s="443"/>
      <c r="F22" s="138">
        <v>20.0</v>
      </c>
      <c r="G22" s="444">
        <v>20.0</v>
      </c>
      <c r="H22" s="447"/>
      <c r="J22" s="443"/>
      <c r="L22" s="443"/>
      <c r="O22" s="446">
        <v>3492.85</v>
      </c>
      <c r="P22" s="432">
        <f t="shared" si="3"/>
        <v>2886.652893</v>
      </c>
      <c r="Q22" s="433">
        <f t="shared" si="4"/>
        <v>5064.6325</v>
      </c>
      <c r="S22" s="142">
        <f t="shared" si="5"/>
        <v>5239.275</v>
      </c>
      <c r="T22" s="434"/>
      <c r="U22" s="440">
        <f t="shared" si="6"/>
        <v>20</v>
      </c>
    </row>
    <row r="23" ht="15.75" customHeight="1">
      <c r="A23" s="153" t="s">
        <v>909</v>
      </c>
      <c r="B23" s="442" t="s">
        <v>910</v>
      </c>
      <c r="C23" s="35"/>
      <c r="D23" s="443"/>
      <c r="F23" s="138">
        <v>20.0</v>
      </c>
      <c r="G23" s="444">
        <v>20.0</v>
      </c>
      <c r="H23" s="447"/>
      <c r="J23" s="443"/>
      <c r="L23" s="443"/>
      <c r="O23" s="446">
        <v>3492.85</v>
      </c>
      <c r="P23" s="432">
        <f t="shared" si="3"/>
        <v>2886.652893</v>
      </c>
      <c r="Q23" s="433">
        <f t="shared" si="4"/>
        <v>5064.6325</v>
      </c>
      <c r="S23" s="142">
        <f t="shared" si="5"/>
        <v>5239.275</v>
      </c>
      <c r="T23" s="434"/>
      <c r="U23" s="440">
        <f t="shared" si="6"/>
        <v>20</v>
      </c>
    </row>
    <row r="24" ht="17.25" customHeight="1">
      <c r="A24" s="153" t="s">
        <v>911</v>
      </c>
      <c r="B24" s="442" t="s">
        <v>912</v>
      </c>
      <c r="C24" s="35"/>
      <c r="D24" s="443"/>
      <c r="F24" s="138">
        <v>10.0</v>
      </c>
      <c r="G24" s="444">
        <v>10.0</v>
      </c>
      <c r="H24" s="447"/>
      <c r="J24" s="443"/>
      <c r="L24" s="443"/>
      <c r="O24" s="446">
        <v>5669.44</v>
      </c>
      <c r="P24" s="432">
        <f t="shared" si="3"/>
        <v>4685.487603</v>
      </c>
      <c r="Q24" s="433">
        <f t="shared" si="4"/>
        <v>8220.688</v>
      </c>
      <c r="S24" s="142">
        <f t="shared" si="5"/>
        <v>8504.16</v>
      </c>
      <c r="T24" s="448">
        <v>1.0</v>
      </c>
      <c r="U24" s="440">
        <f t="shared" si="6"/>
        <v>9</v>
      </c>
    </row>
    <row r="25" ht="15.75" customHeight="1">
      <c r="A25" s="153" t="s">
        <v>913</v>
      </c>
      <c r="B25" s="442" t="s">
        <v>914</v>
      </c>
      <c r="C25" s="35"/>
      <c r="D25" s="443"/>
      <c r="F25" s="138">
        <v>40.0</v>
      </c>
      <c r="G25" s="444">
        <v>40.0</v>
      </c>
      <c r="H25" s="447"/>
      <c r="J25" s="443"/>
      <c r="L25" s="443"/>
      <c r="O25" s="446">
        <v>1978.74</v>
      </c>
      <c r="P25" s="432">
        <f t="shared" si="3"/>
        <v>1635.322314</v>
      </c>
      <c r="Q25" s="433">
        <f t="shared" si="4"/>
        <v>2869.173</v>
      </c>
      <c r="S25" s="142">
        <f t="shared" si="5"/>
        <v>2968.11</v>
      </c>
      <c r="T25" s="434"/>
      <c r="U25" s="440">
        <f t="shared" si="6"/>
        <v>40</v>
      </c>
    </row>
    <row r="26" ht="15.75" customHeight="1">
      <c r="A26" s="153" t="s">
        <v>915</v>
      </c>
      <c r="B26" s="442" t="s">
        <v>916</v>
      </c>
      <c r="C26" s="35"/>
      <c r="D26" s="443"/>
      <c r="F26" s="138">
        <v>20.0</v>
      </c>
      <c r="G26" s="444">
        <v>20.0</v>
      </c>
      <c r="H26" s="447"/>
      <c r="J26" s="443"/>
      <c r="L26" s="443"/>
      <c r="O26" s="446">
        <v>4525.23</v>
      </c>
      <c r="P26" s="432">
        <f t="shared" si="3"/>
        <v>3739.859504</v>
      </c>
      <c r="Q26" s="433">
        <f t="shared" si="4"/>
        <v>6561.5835</v>
      </c>
      <c r="S26" s="142">
        <f t="shared" si="5"/>
        <v>6787.845</v>
      </c>
      <c r="T26" s="434"/>
      <c r="U26" s="440">
        <f t="shared" si="6"/>
        <v>20</v>
      </c>
    </row>
    <row r="27" ht="15.75" customHeight="1">
      <c r="A27" s="153" t="s">
        <v>917</v>
      </c>
      <c r="B27" s="442" t="s">
        <v>918</v>
      </c>
      <c r="C27" s="35"/>
      <c r="D27" s="443"/>
      <c r="F27" s="138">
        <v>20.0</v>
      </c>
      <c r="G27" s="444">
        <v>20.0</v>
      </c>
      <c r="H27" s="447"/>
      <c r="J27" s="443"/>
      <c r="L27" s="443"/>
      <c r="O27" s="446">
        <v>4525.23</v>
      </c>
      <c r="P27" s="432">
        <f t="shared" si="3"/>
        <v>3739.859504</v>
      </c>
      <c r="Q27" s="433">
        <f t="shared" si="4"/>
        <v>6561.5835</v>
      </c>
      <c r="S27" s="142">
        <f t="shared" si="5"/>
        <v>6787.845</v>
      </c>
      <c r="T27" s="434"/>
      <c r="U27" s="440">
        <f t="shared" si="6"/>
        <v>20</v>
      </c>
    </row>
    <row r="28" ht="15.75" customHeight="1">
      <c r="A28" s="153" t="s">
        <v>919</v>
      </c>
      <c r="B28" s="442" t="s">
        <v>920</v>
      </c>
      <c r="C28" s="35"/>
      <c r="D28" s="443"/>
      <c r="F28" s="138">
        <v>10.0</v>
      </c>
      <c r="G28" s="444">
        <v>10.0</v>
      </c>
      <c r="H28" s="447"/>
      <c r="J28" s="443"/>
      <c r="L28" s="443"/>
      <c r="O28" s="446">
        <v>6728.62</v>
      </c>
      <c r="P28" s="432">
        <f t="shared" si="3"/>
        <v>5560.842975</v>
      </c>
      <c r="Q28" s="433">
        <f t="shared" si="4"/>
        <v>9756.499</v>
      </c>
      <c r="S28" s="142">
        <f t="shared" si="5"/>
        <v>10092.93</v>
      </c>
      <c r="T28" s="434"/>
      <c r="U28" s="440">
        <f t="shared" si="6"/>
        <v>10</v>
      </c>
    </row>
    <row r="29">
      <c r="A29" s="441" t="s">
        <v>921</v>
      </c>
      <c r="B29" s="449" t="s">
        <v>922</v>
      </c>
      <c r="C29" s="15"/>
      <c r="D29" s="450"/>
      <c r="E29" s="450"/>
      <c r="F29" s="450"/>
      <c r="G29" s="451">
        <v>10.0</v>
      </c>
      <c r="H29" s="452"/>
      <c r="I29" s="452"/>
      <c r="J29" s="452"/>
      <c r="K29" s="452"/>
      <c r="L29" s="452"/>
      <c r="M29" s="452"/>
      <c r="N29" s="452"/>
      <c r="O29" s="446">
        <v>6727.62</v>
      </c>
      <c r="P29" s="432">
        <f t="shared" si="3"/>
        <v>5560.016529</v>
      </c>
      <c r="Q29" s="433">
        <f t="shared" si="4"/>
        <v>9755.049</v>
      </c>
      <c r="R29" s="452"/>
      <c r="S29" s="142">
        <f t="shared" si="5"/>
        <v>10091.43</v>
      </c>
      <c r="T29" s="453">
        <v>4.0</v>
      </c>
      <c r="U29" s="454">
        <f t="shared" si="6"/>
        <v>6</v>
      </c>
      <c r="V29" s="450"/>
      <c r="W29" s="450"/>
      <c r="X29" s="450"/>
      <c r="Y29" s="450"/>
      <c r="Z29" s="450"/>
      <c r="AA29" s="450"/>
      <c r="AB29" s="450"/>
    </row>
    <row r="30" ht="15.75" customHeight="1">
      <c r="A30" s="153" t="s">
        <v>923</v>
      </c>
      <c r="B30" s="138" t="s">
        <v>924</v>
      </c>
      <c r="C30" s="35"/>
      <c r="D30" s="443"/>
      <c r="F30" s="138">
        <v>5.0</v>
      </c>
      <c r="G30" s="444">
        <v>5.0</v>
      </c>
      <c r="H30" s="447"/>
      <c r="J30" s="443"/>
      <c r="L30" s="443"/>
      <c r="O30" s="446">
        <v>1075.38</v>
      </c>
      <c r="P30" s="432">
        <f t="shared" si="3"/>
        <v>888.7438017</v>
      </c>
      <c r="Q30" s="433">
        <f t="shared" si="4"/>
        <v>1559.301</v>
      </c>
      <c r="S30" s="142">
        <f t="shared" si="5"/>
        <v>1613.07</v>
      </c>
      <c r="T30" s="434"/>
      <c r="U30" s="440">
        <f t="shared" si="6"/>
        <v>5</v>
      </c>
    </row>
    <row r="31" ht="15.75" customHeight="1">
      <c r="A31" s="153" t="s">
        <v>925</v>
      </c>
      <c r="B31" s="138" t="s">
        <v>926</v>
      </c>
      <c r="C31" s="35"/>
      <c r="D31" s="443"/>
      <c r="F31" s="138">
        <v>5.0</v>
      </c>
      <c r="G31" s="444">
        <v>5.0</v>
      </c>
      <c r="H31" s="455"/>
      <c r="J31" s="443"/>
      <c r="L31" s="443"/>
      <c r="O31" s="446">
        <v>1505.54</v>
      </c>
      <c r="P31" s="432">
        <f t="shared" si="3"/>
        <v>1244.247934</v>
      </c>
      <c r="Q31" s="433">
        <f t="shared" si="4"/>
        <v>2183.033</v>
      </c>
      <c r="S31" s="142">
        <f t="shared" si="5"/>
        <v>2258.31</v>
      </c>
      <c r="T31" s="434"/>
      <c r="U31" s="440">
        <f t="shared" si="6"/>
        <v>5</v>
      </c>
    </row>
    <row r="32" ht="15.75" customHeight="1">
      <c r="A32" s="153" t="s">
        <v>927</v>
      </c>
      <c r="B32" s="138" t="s">
        <v>928</v>
      </c>
      <c r="C32" s="35"/>
      <c r="D32" s="443"/>
      <c r="F32" s="138">
        <v>5.0</v>
      </c>
      <c r="G32" s="444">
        <v>5.0</v>
      </c>
      <c r="H32" s="455"/>
      <c r="J32" s="443"/>
      <c r="L32" s="443"/>
      <c r="O32" s="446">
        <v>1720.62</v>
      </c>
      <c r="P32" s="432">
        <f t="shared" si="3"/>
        <v>1422</v>
      </c>
      <c r="Q32" s="433">
        <f t="shared" si="4"/>
        <v>2494.899</v>
      </c>
      <c r="S32" s="142">
        <f t="shared" si="5"/>
        <v>2580.93</v>
      </c>
      <c r="T32" s="434"/>
      <c r="U32" s="440">
        <f t="shared" si="6"/>
        <v>5</v>
      </c>
    </row>
    <row r="33" ht="15.75" customHeight="1">
      <c r="A33" s="153" t="s">
        <v>929</v>
      </c>
      <c r="B33" s="138" t="s">
        <v>930</v>
      </c>
      <c r="C33" s="35"/>
      <c r="D33" s="443"/>
      <c r="F33" s="456">
        <v>5.0</v>
      </c>
      <c r="G33" s="444">
        <v>5.0</v>
      </c>
      <c r="H33" s="447">
        <v>20.0</v>
      </c>
      <c r="J33" s="443" t="s">
        <v>931</v>
      </c>
      <c r="L33" s="456" t="s">
        <v>932</v>
      </c>
      <c r="O33" s="446">
        <v>2331.44</v>
      </c>
      <c r="P33" s="432">
        <f t="shared" si="3"/>
        <v>1926.809917</v>
      </c>
      <c r="Q33" s="433">
        <f t="shared" si="4"/>
        <v>3380.588</v>
      </c>
      <c r="S33" s="142">
        <f t="shared" si="5"/>
        <v>3497.16</v>
      </c>
      <c r="T33" s="434"/>
      <c r="U33" s="440">
        <f t="shared" si="6"/>
        <v>5</v>
      </c>
    </row>
    <row r="34" ht="15.75" customHeight="1">
      <c r="A34" s="153">
        <v>1512.0</v>
      </c>
      <c r="B34" s="138" t="s">
        <v>933</v>
      </c>
      <c r="C34" s="35"/>
      <c r="D34" s="443"/>
      <c r="E34" s="443"/>
      <c r="F34" s="456">
        <v>200.0</v>
      </c>
      <c r="G34" s="444">
        <v>200.0</v>
      </c>
      <c r="H34" s="447"/>
      <c r="J34" s="443"/>
      <c r="L34" s="456"/>
      <c r="O34" s="446">
        <v>215.07</v>
      </c>
      <c r="P34" s="432">
        <f t="shared" si="3"/>
        <v>177.7438017</v>
      </c>
      <c r="Q34" s="433">
        <f t="shared" si="4"/>
        <v>311.8515</v>
      </c>
      <c r="S34" s="142">
        <f t="shared" si="5"/>
        <v>322.605</v>
      </c>
      <c r="T34" s="434"/>
      <c r="U34" s="440">
        <f t="shared" si="6"/>
        <v>200</v>
      </c>
    </row>
    <row r="35" ht="15.75" customHeight="1">
      <c r="A35" s="153">
        <v>1514.0</v>
      </c>
      <c r="B35" s="138" t="s">
        <v>934</v>
      </c>
      <c r="C35" s="35"/>
      <c r="D35" s="443"/>
      <c r="F35" s="176">
        <v>100.0</v>
      </c>
      <c r="G35" s="444">
        <v>100.0</v>
      </c>
      <c r="O35" s="446">
        <v>223.68</v>
      </c>
      <c r="P35" s="432">
        <f t="shared" si="3"/>
        <v>184.8595041</v>
      </c>
      <c r="Q35" s="433">
        <f t="shared" si="4"/>
        <v>324.336</v>
      </c>
      <c r="S35" s="142">
        <f t="shared" si="5"/>
        <v>335.52</v>
      </c>
      <c r="T35" s="434"/>
      <c r="U35" s="440">
        <f t="shared" si="6"/>
        <v>100</v>
      </c>
    </row>
    <row r="36" ht="15.75" customHeight="1">
      <c r="A36" s="153">
        <v>2103.0</v>
      </c>
      <c r="B36" s="457" t="s">
        <v>935</v>
      </c>
      <c r="C36" s="35"/>
      <c r="D36" s="443"/>
      <c r="F36" s="176">
        <v>1.0</v>
      </c>
      <c r="G36" s="439">
        <v>100.0</v>
      </c>
      <c r="O36" s="446">
        <v>266.78</v>
      </c>
      <c r="P36" s="432">
        <f t="shared" si="3"/>
        <v>220.4793388</v>
      </c>
      <c r="Q36" s="433">
        <f t="shared" si="4"/>
        <v>386.831</v>
      </c>
      <c r="S36" s="142">
        <f t="shared" si="5"/>
        <v>400.17</v>
      </c>
      <c r="T36" s="434"/>
      <c r="U36" s="440">
        <f t="shared" si="6"/>
        <v>100</v>
      </c>
    </row>
    <row r="37" ht="15.75" customHeight="1">
      <c r="A37" s="153">
        <v>2106.0</v>
      </c>
      <c r="B37" s="457" t="s">
        <v>936</v>
      </c>
      <c r="C37" s="35"/>
      <c r="D37" s="443"/>
      <c r="F37" s="176">
        <v>1.0</v>
      </c>
      <c r="G37" s="439">
        <v>100.0</v>
      </c>
      <c r="O37" s="446">
        <v>316.33</v>
      </c>
      <c r="P37" s="432">
        <f t="shared" si="3"/>
        <v>261.4297521</v>
      </c>
      <c r="Q37" s="433">
        <f t="shared" si="4"/>
        <v>458.6785</v>
      </c>
      <c r="S37" s="142">
        <f t="shared" si="5"/>
        <v>474.495</v>
      </c>
      <c r="T37" s="434"/>
      <c r="U37" s="440">
        <f t="shared" si="6"/>
        <v>100</v>
      </c>
    </row>
    <row r="38" ht="15.75" customHeight="1">
      <c r="A38" s="153">
        <v>2107.0</v>
      </c>
      <c r="B38" s="457" t="s">
        <v>937</v>
      </c>
      <c r="C38" s="35"/>
      <c r="D38" s="443"/>
      <c r="F38" s="176">
        <v>1.0</v>
      </c>
      <c r="G38" s="439">
        <v>100.0</v>
      </c>
      <c r="O38" s="446">
        <v>339.73</v>
      </c>
      <c r="P38" s="432">
        <f t="shared" si="3"/>
        <v>280.768595</v>
      </c>
      <c r="Q38" s="433">
        <f t="shared" si="4"/>
        <v>492.6085</v>
      </c>
      <c r="S38" s="142">
        <f t="shared" si="5"/>
        <v>509.595</v>
      </c>
      <c r="T38" s="434"/>
      <c r="U38" s="440">
        <f t="shared" si="6"/>
        <v>100</v>
      </c>
    </row>
    <row r="39" ht="15.75" customHeight="1">
      <c r="A39" s="153">
        <v>2109.0</v>
      </c>
      <c r="B39" s="457" t="s">
        <v>938</v>
      </c>
      <c r="C39" s="35"/>
      <c r="D39" s="443"/>
      <c r="F39" s="176">
        <v>1.0</v>
      </c>
      <c r="G39" s="439">
        <v>100.0</v>
      </c>
      <c r="O39" s="446">
        <v>594.73</v>
      </c>
      <c r="P39" s="432">
        <f t="shared" si="3"/>
        <v>491.5123967</v>
      </c>
      <c r="Q39" s="433">
        <f t="shared" si="4"/>
        <v>862.3585</v>
      </c>
      <c r="S39" s="142">
        <f t="shared" si="5"/>
        <v>892.095</v>
      </c>
      <c r="T39" s="434"/>
      <c r="U39" s="440">
        <f t="shared" si="6"/>
        <v>100</v>
      </c>
    </row>
    <row r="40" ht="15.75" customHeight="1">
      <c r="A40" s="153" t="s">
        <v>939</v>
      </c>
      <c r="B40" s="458" t="s">
        <v>940</v>
      </c>
      <c r="C40" s="35"/>
      <c r="D40" s="443"/>
      <c r="F40" s="176">
        <v>100.0</v>
      </c>
      <c r="G40" s="444">
        <v>100.0</v>
      </c>
      <c r="O40" s="446">
        <v>395.74</v>
      </c>
      <c r="P40" s="432">
        <f t="shared" si="3"/>
        <v>327.0578512</v>
      </c>
      <c r="Q40" s="433">
        <f t="shared" si="4"/>
        <v>573.823</v>
      </c>
      <c r="S40" s="142">
        <f t="shared" si="5"/>
        <v>593.61</v>
      </c>
      <c r="T40" s="434"/>
      <c r="U40" s="440">
        <f t="shared" si="6"/>
        <v>100</v>
      </c>
    </row>
    <row r="41" ht="15.75" customHeight="1">
      <c r="A41" s="153" t="s">
        <v>941</v>
      </c>
      <c r="B41" s="458" t="s">
        <v>942</v>
      </c>
      <c r="C41" s="35"/>
      <c r="D41" s="443"/>
      <c r="F41" s="176">
        <v>100.0</v>
      </c>
      <c r="G41" s="444">
        <v>100.0</v>
      </c>
      <c r="O41" s="446">
        <v>404.34</v>
      </c>
      <c r="P41" s="432">
        <f t="shared" si="3"/>
        <v>334.1652893</v>
      </c>
      <c r="Q41" s="433">
        <f t="shared" si="4"/>
        <v>586.293</v>
      </c>
      <c r="S41" s="142">
        <f t="shared" si="5"/>
        <v>606.51</v>
      </c>
      <c r="T41" s="434"/>
      <c r="U41" s="440">
        <f t="shared" si="6"/>
        <v>100</v>
      </c>
    </row>
    <row r="42" ht="15.75" customHeight="1">
      <c r="A42" s="153" t="s">
        <v>943</v>
      </c>
      <c r="B42" s="458" t="s">
        <v>944</v>
      </c>
      <c r="C42" s="35"/>
      <c r="D42" s="443"/>
      <c r="F42" s="176">
        <v>100.0</v>
      </c>
      <c r="G42" s="444">
        <v>100.0</v>
      </c>
      <c r="O42" s="446">
        <v>412.94</v>
      </c>
      <c r="P42" s="432">
        <f t="shared" si="3"/>
        <v>341.2727273</v>
      </c>
      <c r="Q42" s="433">
        <f t="shared" si="4"/>
        <v>598.763</v>
      </c>
      <c r="S42" s="142">
        <f t="shared" si="5"/>
        <v>619.41</v>
      </c>
      <c r="T42" s="434"/>
      <c r="U42" s="440">
        <f t="shared" si="6"/>
        <v>100</v>
      </c>
    </row>
    <row r="43" ht="15.75" customHeight="1">
      <c r="A43" s="153" t="s">
        <v>945</v>
      </c>
      <c r="B43" s="458" t="s">
        <v>946</v>
      </c>
      <c r="C43" s="35"/>
      <c r="D43" s="443"/>
      <c r="F43" s="176">
        <v>100.0</v>
      </c>
      <c r="G43" s="444">
        <v>100.0</v>
      </c>
      <c r="O43" s="446">
        <v>447.36</v>
      </c>
      <c r="P43" s="432">
        <f t="shared" si="3"/>
        <v>369.7190083</v>
      </c>
      <c r="Q43" s="433">
        <f t="shared" si="4"/>
        <v>648.672</v>
      </c>
      <c r="S43" s="142">
        <f t="shared" si="5"/>
        <v>671.04</v>
      </c>
      <c r="T43" s="434"/>
      <c r="U43" s="440">
        <f t="shared" si="6"/>
        <v>100</v>
      </c>
    </row>
    <row r="44" ht="15.75" customHeight="1">
      <c r="A44" s="153" t="s">
        <v>947</v>
      </c>
      <c r="B44" s="458" t="s">
        <v>948</v>
      </c>
      <c r="C44" s="35"/>
      <c r="D44" s="443"/>
      <c r="F44" s="176">
        <v>50.0</v>
      </c>
      <c r="G44" s="444">
        <v>50.0</v>
      </c>
      <c r="O44" s="446">
        <v>653.83</v>
      </c>
      <c r="P44" s="432">
        <f t="shared" si="3"/>
        <v>540.3553719</v>
      </c>
      <c r="Q44" s="433">
        <f t="shared" si="4"/>
        <v>948.0535</v>
      </c>
      <c r="S44" s="142">
        <f t="shared" si="5"/>
        <v>980.745</v>
      </c>
      <c r="T44" s="448">
        <v>1.0</v>
      </c>
      <c r="U44" s="440">
        <f t="shared" si="6"/>
        <v>49</v>
      </c>
    </row>
    <row r="45" ht="15.75" customHeight="1">
      <c r="A45" s="153" t="s">
        <v>949</v>
      </c>
      <c r="B45" s="458" t="s">
        <v>950</v>
      </c>
      <c r="C45" s="35"/>
      <c r="D45" s="443"/>
      <c r="F45" s="176">
        <v>50.0</v>
      </c>
      <c r="G45" s="444">
        <v>50.0</v>
      </c>
      <c r="O45" s="446">
        <v>739.86</v>
      </c>
      <c r="P45" s="432">
        <f t="shared" si="3"/>
        <v>611.4545455</v>
      </c>
      <c r="Q45" s="433">
        <f t="shared" si="4"/>
        <v>1072.797</v>
      </c>
      <c r="S45" s="142">
        <f t="shared" si="5"/>
        <v>1109.79</v>
      </c>
      <c r="T45" s="434"/>
      <c r="U45" s="440">
        <f t="shared" si="6"/>
        <v>50</v>
      </c>
    </row>
    <row r="46" ht="15.75" customHeight="1">
      <c r="A46" s="153" t="s">
        <v>951</v>
      </c>
      <c r="B46" s="458" t="s">
        <v>952</v>
      </c>
      <c r="C46" s="35"/>
      <c r="D46" s="443"/>
      <c r="F46" s="176">
        <v>25.0</v>
      </c>
      <c r="G46" s="444">
        <v>25.0</v>
      </c>
      <c r="O46" s="446">
        <v>1230.24</v>
      </c>
      <c r="P46" s="432">
        <f t="shared" si="3"/>
        <v>1016.727273</v>
      </c>
      <c r="Q46" s="433">
        <f t="shared" si="4"/>
        <v>1783.848</v>
      </c>
      <c r="S46" s="142">
        <f t="shared" si="5"/>
        <v>1845.36</v>
      </c>
      <c r="T46" s="434"/>
      <c r="U46" s="440">
        <f t="shared" si="6"/>
        <v>25</v>
      </c>
    </row>
    <row r="47" ht="15.75" customHeight="1">
      <c r="A47" s="153" t="s">
        <v>953</v>
      </c>
      <c r="B47" s="458" t="s">
        <v>954</v>
      </c>
      <c r="C47" s="35"/>
      <c r="D47" s="443"/>
      <c r="F47" s="176">
        <v>25.0</v>
      </c>
      <c r="G47" s="444">
        <v>25.0</v>
      </c>
      <c r="O47" s="446">
        <v>2176.58</v>
      </c>
      <c r="P47" s="432">
        <f t="shared" si="3"/>
        <v>1798.826446</v>
      </c>
      <c r="Q47" s="433">
        <f t="shared" si="4"/>
        <v>3156.041</v>
      </c>
      <c r="S47" s="142">
        <f t="shared" si="5"/>
        <v>3264.87</v>
      </c>
      <c r="T47" s="434"/>
      <c r="U47" s="440">
        <f t="shared" si="6"/>
        <v>25</v>
      </c>
    </row>
    <row r="48" ht="15.75" customHeight="1">
      <c r="A48" s="153" t="s">
        <v>955</v>
      </c>
      <c r="B48" s="458" t="s">
        <v>956</v>
      </c>
      <c r="C48" s="35"/>
      <c r="D48" s="443"/>
      <c r="F48" s="176">
        <v>25.0</v>
      </c>
      <c r="G48" s="444">
        <v>25.0</v>
      </c>
      <c r="O48" s="446">
        <v>2684.16</v>
      </c>
      <c r="P48" s="432">
        <f t="shared" si="3"/>
        <v>2218.31405</v>
      </c>
      <c r="Q48" s="433">
        <f t="shared" si="4"/>
        <v>3892.032</v>
      </c>
      <c r="S48" s="142">
        <f t="shared" si="5"/>
        <v>4026.24</v>
      </c>
      <c r="T48" s="434"/>
      <c r="U48" s="440">
        <f t="shared" si="6"/>
        <v>25</v>
      </c>
    </row>
    <row r="49" ht="15.75" customHeight="1">
      <c r="A49" s="153" t="s">
        <v>957</v>
      </c>
      <c r="B49" s="458" t="s">
        <v>958</v>
      </c>
      <c r="C49" s="35"/>
      <c r="D49" s="443"/>
      <c r="F49" s="176">
        <v>25.0</v>
      </c>
      <c r="G49" s="444">
        <v>25.0</v>
      </c>
      <c r="O49" s="446">
        <v>3140.13</v>
      </c>
      <c r="P49" s="432">
        <f t="shared" si="3"/>
        <v>2595.14876</v>
      </c>
      <c r="Q49" s="433">
        <f t="shared" si="4"/>
        <v>4553.1885</v>
      </c>
      <c r="S49" s="142">
        <f t="shared" si="5"/>
        <v>4710.195</v>
      </c>
      <c r="T49" s="434"/>
      <c r="U49" s="440">
        <f t="shared" si="6"/>
        <v>25</v>
      </c>
    </row>
    <row r="50">
      <c r="P50" s="459"/>
    </row>
    <row r="51" ht="15.75" customHeight="1">
      <c r="P51" s="459"/>
    </row>
    <row r="52" ht="15.75" customHeight="1">
      <c r="P52" s="459"/>
    </row>
    <row r="53" ht="15.75" customHeight="1">
      <c r="P53" s="459"/>
    </row>
    <row r="54" ht="15.75" customHeight="1">
      <c r="P54" s="459"/>
    </row>
    <row r="55" ht="15.75" customHeight="1">
      <c r="P55" s="459"/>
    </row>
    <row r="56" ht="15.75" customHeight="1">
      <c r="P56" s="459"/>
    </row>
    <row r="57" ht="15.75" customHeight="1">
      <c r="P57" s="459"/>
    </row>
    <row r="58" ht="15.75" customHeight="1">
      <c r="P58" s="459"/>
    </row>
    <row r="59" ht="15.75" customHeight="1">
      <c r="P59" s="459"/>
    </row>
    <row r="60" ht="15.75" customHeight="1">
      <c r="P60" s="459"/>
    </row>
    <row r="61" ht="15.75" customHeight="1">
      <c r="P61" s="459"/>
    </row>
    <row r="62" ht="15.75" customHeight="1">
      <c r="P62" s="459"/>
    </row>
    <row r="63" ht="15.75" customHeight="1">
      <c r="P63" s="459"/>
    </row>
    <row r="64" ht="15.75" customHeight="1">
      <c r="P64" s="459"/>
    </row>
    <row r="65" ht="15.75" customHeight="1">
      <c r="P65" s="459"/>
    </row>
    <row r="66" ht="15.75" customHeight="1">
      <c r="P66" s="459"/>
    </row>
    <row r="67" ht="15.75" customHeight="1">
      <c r="P67" s="459"/>
    </row>
    <row r="68" ht="15.75" customHeight="1">
      <c r="P68" s="459"/>
    </row>
    <row r="69" ht="15.75" customHeight="1">
      <c r="P69" s="459"/>
    </row>
    <row r="70" ht="15.75" customHeight="1">
      <c r="P70" s="459"/>
    </row>
    <row r="71" ht="15.75" customHeight="1">
      <c r="P71" s="459"/>
    </row>
    <row r="72" ht="15.75" customHeight="1">
      <c r="P72" s="459"/>
    </row>
    <row r="73" ht="15.75" customHeight="1">
      <c r="P73" s="459"/>
    </row>
    <row r="74" ht="15.75" customHeight="1">
      <c r="P74" s="459"/>
    </row>
    <row r="75" ht="15.75" customHeight="1">
      <c r="P75" s="459"/>
    </row>
    <row r="76" ht="15.75" customHeight="1">
      <c r="P76" s="459"/>
    </row>
    <row r="77" ht="15.75" customHeight="1">
      <c r="P77" s="459"/>
    </row>
    <row r="78" ht="15.75" customHeight="1">
      <c r="P78" s="459"/>
    </row>
    <row r="79" ht="15.75" customHeight="1">
      <c r="P79" s="459"/>
    </row>
    <row r="80" ht="15.75" customHeight="1">
      <c r="P80" s="459"/>
    </row>
    <row r="81" ht="15.75" customHeight="1">
      <c r="P81" s="459"/>
    </row>
    <row r="82" ht="15.75" customHeight="1">
      <c r="P82" s="459"/>
    </row>
    <row r="83" ht="15.75" customHeight="1">
      <c r="P83" s="459"/>
    </row>
    <row r="84" ht="15.75" customHeight="1">
      <c r="P84" s="459"/>
    </row>
    <row r="85" ht="15.75" customHeight="1">
      <c r="P85" s="459"/>
    </row>
    <row r="86" ht="15.75" customHeight="1">
      <c r="P86" s="459"/>
    </row>
    <row r="87" ht="15.75" customHeight="1">
      <c r="P87" s="459"/>
    </row>
    <row r="88" ht="15.75" customHeight="1">
      <c r="P88" s="459"/>
    </row>
    <row r="89" ht="15.75" customHeight="1">
      <c r="P89" s="459"/>
    </row>
    <row r="90" ht="15.75" customHeight="1">
      <c r="P90" s="459"/>
    </row>
    <row r="91" ht="15.75" customHeight="1">
      <c r="P91" s="459"/>
    </row>
    <row r="92" ht="15.75" customHeight="1">
      <c r="P92" s="459"/>
    </row>
    <row r="93" ht="15.75" customHeight="1">
      <c r="P93" s="459"/>
    </row>
    <row r="94" ht="15.75" customHeight="1">
      <c r="P94" s="459"/>
    </row>
    <row r="95" ht="15.75" customHeight="1">
      <c r="P95" s="459"/>
    </row>
    <row r="96" ht="15.75" customHeight="1">
      <c r="P96" s="459"/>
    </row>
    <row r="97" ht="15.75" customHeight="1">
      <c r="P97" s="459"/>
    </row>
    <row r="98" ht="15.75" customHeight="1">
      <c r="P98" s="459"/>
    </row>
    <row r="99" ht="15.75" customHeight="1">
      <c r="P99" s="459"/>
    </row>
    <row r="100" ht="15.75" customHeight="1">
      <c r="P100" s="459"/>
    </row>
    <row r="101" ht="15.75" customHeight="1">
      <c r="P101" s="459"/>
    </row>
    <row r="102" ht="15.75" customHeight="1">
      <c r="P102" s="459"/>
    </row>
    <row r="103" ht="15.75" customHeight="1">
      <c r="P103" s="459"/>
    </row>
    <row r="104" ht="15.75" customHeight="1">
      <c r="P104" s="459"/>
    </row>
    <row r="105" ht="15.75" customHeight="1">
      <c r="P105" s="459"/>
    </row>
    <row r="106" ht="15.75" customHeight="1">
      <c r="P106" s="459"/>
    </row>
    <row r="107" ht="15.75" customHeight="1">
      <c r="P107" s="459"/>
    </row>
    <row r="108" ht="15.75" customHeight="1">
      <c r="P108" s="459"/>
    </row>
    <row r="109" ht="15.75" customHeight="1">
      <c r="P109" s="459"/>
    </row>
    <row r="110" ht="15.75" customHeight="1">
      <c r="P110" s="459"/>
    </row>
    <row r="111" ht="15.75" customHeight="1">
      <c r="P111" s="459"/>
    </row>
    <row r="112" ht="15.75" customHeight="1">
      <c r="P112" s="459"/>
    </row>
    <row r="113" ht="15.75" customHeight="1">
      <c r="P113" s="459"/>
    </row>
    <row r="114" ht="15.75" customHeight="1">
      <c r="P114" s="459"/>
    </row>
    <row r="115" ht="15.75" customHeight="1">
      <c r="P115" s="459"/>
    </row>
    <row r="116" ht="15.75" customHeight="1">
      <c r="P116" s="459"/>
    </row>
    <row r="117" ht="15.75" customHeight="1">
      <c r="P117" s="459"/>
    </row>
    <row r="118" ht="15.75" customHeight="1">
      <c r="P118" s="459"/>
    </row>
    <row r="119" ht="15.75" customHeight="1">
      <c r="P119" s="459"/>
    </row>
    <row r="120" ht="15.75" customHeight="1">
      <c r="P120" s="459"/>
    </row>
    <row r="121" ht="15.75" customHeight="1">
      <c r="P121" s="459"/>
    </row>
    <row r="122" ht="15.75" customHeight="1">
      <c r="P122" s="459"/>
    </row>
    <row r="123" ht="15.75" customHeight="1">
      <c r="P123" s="459"/>
    </row>
    <row r="124" ht="15.75" customHeight="1">
      <c r="P124" s="459"/>
    </row>
    <row r="125" ht="15.75" customHeight="1">
      <c r="P125" s="459"/>
    </row>
    <row r="126" ht="15.75" customHeight="1">
      <c r="P126" s="459"/>
    </row>
    <row r="127" ht="15.75" customHeight="1">
      <c r="P127" s="459"/>
    </row>
    <row r="128" ht="15.75" customHeight="1">
      <c r="P128" s="459"/>
    </row>
    <row r="129" ht="15.75" customHeight="1">
      <c r="P129" s="459"/>
    </row>
    <row r="130" ht="15.75" customHeight="1">
      <c r="P130" s="459"/>
    </row>
    <row r="131" ht="15.75" customHeight="1">
      <c r="P131" s="459"/>
    </row>
    <row r="132" ht="15.75" customHeight="1">
      <c r="P132" s="459"/>
    </row>
    <row r="133" ht="15.75" customHeight="1">
      <c r="P133" s="459"/>
    </row>
    <row r="134" ht="15.75" customHeight="1">
      <c r="P134" s="459"/>
    </row>
    <row r="135" ht="15.75" customHeight="1">
      <c r="P135" s="459"/>
    </row>
    <row r="136" ht="15.75" customHeight="1">
      <c r="P136" s="459"/>
    </row>
    <row r="137" ht="15.75" customHeight="1">
      <c r="P137" s="459"/>
    </row>
    <row r="138" ht="15.75" customHeight="1">
      <c r="P138" s="459"/>
    </row>
    <row r="139" ht="15.75" customHeight="1">
      <c r="P139" s="459"/>
    </row>
    <row r="140" ht="15.75" customHeight="1">
      <c r="P140" s="459"/>
    </row>
    <row r="141" ht="15.75" customHeight="1">
      <c r="P141" s="459"/>
    </row>
    <row r="142" ht="15.75" customHeight="1">
      <c r="P142" s="459"/>
    </row>
    <row r="143" ht="15.75" customHeight="1">
      <c r="P143" s="459"/>
    </row>
    <row r="144" ht="15.75" customHeight="1">
      <c r="P144" s="459"/>
    </row>
    <row r="145" ht="15.75" customHeight="1">
      <c r="P145" s="459"/>
    </row>
    <row r="146" ht="15.75" customHeight="1">
      <c r="P146" s="459"/>
    </row>
    <row r="147" ht="15.75" customHeight="1">
      <c r="P147" s="459"/>
    </row>
    <row r="148" ht="15.75" customHeight="1">
      <c r="P148" s="459"/>
    </row>
    <row r="149" ht="15.75" customHeight="1">
      <c r="P149" s="459"/>
    </row>
    <row r="150" ht="15.75" customHeight="1">
      <c r="P150" s="459"/>
    </row>
    <row r="151" ht="15.75" customHeight="1">
      <c r="P151" s="459"/>
    </row>
    <row r="152" ht="15.75" customHeight="1">
      <c r="P152" s="459"/>
    </row>
    <row r="153" ht="15.75" customHeight="1">
      <c r="P153" s="459"/>
    </row>
    <row r="154" ht="15.75" customHeight="1">
      <c r="P154" s="459"/>
    </row>
    <row r="155" ht="15.75" customHeight="1">
      <c r="P155" s="459"/>
    </row>
    <row r="156" ht="15.75" customHeight="1">
      <c r="P156" s="459"/>
    </row>
    <row r="157" ht="15.75" customHeight="1">
      <c r="P157" s="459"/>
    </row>
    <row r="158" ht="15.75" customHeight="1">
      <c r="P158" s="459"/>
    </row>
    <row r="159" ht="15.75" customHeight="1">
      <c r="P159" s="459"/>
    </row>
    <row r="160" ht="15.75" customHeight="1">
      <c r="P160" s="459"/>
    </row>
    <row r="161" ht="15.75" customHeight="1">
      <c r="P161" s="459"/>
    </row>
    <row r="162" ht="15.75" customHeight="1">
      <c r="P162" s="459"/>
    </row>
    <row r="163" ht="15.75" customHeight="1">
      <c r="P163" s="459"/>
    </row>
    <row r="164" ht="15.75" customHeight="1">
      <c r="P164" s="459"/>
    </row>
    <row r="165" ht="15.75" customHeight="1">
      <c r="P165" s="459"/>
    </row>
    <row r="166" ht="15.75" customHeight="1">
      <c r="P166" s="459"/>
    </row>
    <row r="167" ht="15.75" customHeight="1">
      <c r="P167" s="459"/>
    </row>
    <row r="168" ht="15.75" customHeight="1">
      <c r="P168" s="459"/>
    </row>
    <row r="169" ht="15.75" customHeight="1">
      <c r="P169" s="459"/>
    </row>
    <row r="170" ht="15.75" customHeight="1">
      <c r="P170" s="459"/>
    </row>
    <row r="171" ht="15.75" customHeight="1">
      <c r="P171" s="459"/>
    </row>
    <row r="172" ht="15.75" customHeight="1">
      <c r="P172" s="459"/>
    </row>
    <row r="173" ht="15.75" customHeight="1">
      <c r="P173" s="459"/>
    </row>
    <row r="174" ht="15.75" customHeight="1">
      <c r="P174" s="459"/>
    </row>
    <row r="175" ht="15.75" customHeight="1">
      <c r="P175" s="459"/>
    </row>
    <row r="176" ht="15.75" customHeight="1">
      <c r="P176" s="459"/>
    </row>
    <row r="177" ht="15.75" customHeight="1">
      <c r="P177" s="459"/>
    </row>
    <row r="178" ht="15.75" customHeight="1">
      <c r="P178" s="459"/>
    </row>
    <row r="179" ht="15.75" customHeight="1">
      <c r="P179" s="459"/>
    </row>
    <row r="180" ht="15.75" customHeight="1">
      <c r="P180" s="459"/>
    </row>
    <row r="181" ht="15.75" customHeight="1">
      <c r="P181" s="459"/>
    </row>
    <row r="182" ht="15.75" customHeight="1">
      <c r="P182" s="459"/>
    </row>
    <row r="183" ht="15.75" customHeight="1">
      <c r="P183" s="459"/>
    </row>
    <row r="184" ht="15.75" customHeight="1">
      <c r="P184" s="459"/>
    </row>
    <row r="185" ht="15.75" customHeight="1">
      <c r="P185" s="459"/>
    </row>
    <row r="186" ht="15.75" customHeight="1">
      <c r="P186" s="459"/>
    </row>
    <row r="187" ht="15.75" customHeight="1">
      <c r="P187" s="459"/>
    </row>
    <row r="188" ht="15.75" customHeight="1">
      <c r="P188" s="459"/>
    </row>
    <row r="189" ht="15.75" customHeight="1">
      <c r="P189" s="459"/>
    </row>
    <row r="190" ht="15.75" customHeight="1">
      <c r="P190" s="459"/>
    </row>
    <row r="191" ht="15.75" customHeight="1">
      <c r="P191" s="459"/>
    </row>
    <row r="192" ht="15.75" customHeight="1">
      <c r="P192" s="459"/>
    </row>
    <row r="193" ht="15.75" customHeight="1">
      <c r="P193" s="459"/>
    </row>
    <row r="194" ht="15.75" customHeight="1">
      <c r="P194" s="459"/>
    </row>
    <row r="195" ht="15.75" customHeight="1">
      <c r="P195" s="459"/>
    </row>
    <row r="196" ht="15.75" customHeight="1">
      <c r="P196" s="459"/>
    </row>
    <row r="197" ht="15.75" customHeight="1">
      <c r="P197" s="459"/>
    </row>
    <row r="198" ht="15.75" customHeight="1">
      <c r="P198" s="459"/>
    </row>
    <row r="199" ht="15.75" customHeight="1">
      <c r="P199" s="459"/>
    </row>
    <row r="200" ht="15.75" customHeight="1">
      <c r="P200" s="459"/>
    </row>
    <row r="201" ht="15.75" customHeight="1">
      <c r="P201" s="459"/>
    </row>
    <row r="202" ht="15.75" customHeight="1">
      <c r="P202" s="459"/>
    </row>
    <row r="203" ht="15.75" customHeight="1">
      <c r="P203" s="459"/>
    </row>
    <row r="204" ht="15.75" customHeight="1">
      <c r="P204" s="459"/>
    </row>
    <row r="205" ht="15.75" customHeight="1">
      <c r="P205" s="459"/>
    </row>
    <row r="206" ht="15.75" customHeight="1">
      <c r="P206" s="459"/>
    </row>
    <row r="207" ht="15.75" customHeight="1">
      <c r="P207" s="459"/>
    </row>
    <row r="208" ht="15.75" customHeight="1">
      <c r="P208" s="459"/>
    </row>
    <row r="209" ht="15.75" customHeight="1">
      <c r="P209" s="459"/>
    </row>
    <row r="210" ht="15.75" customHeight="1">
      <c r="P210" s="459"/>
    </row>
    <row r="211" ht="15.75" customHeight="1">
      <c r="P211" s="459"/>
    </row>
    <row r="212" ht="15.75" customHeight="1">
      <c r="P212" s="459"/>
    </row>
    <row r="213" ht="15.75" customHeight="1">
      <c r="P213" s="459"/>
    </row>
    <row r="214" ht="15.75" customHeight="1">
      <c r="P214" s="459"/>
    </row>
    <row r="215" ht="15.75" customHeight="1">
      <c r="P215" s="459"/>
    </row>
    <row r="216" ht="15.75" customHeight="1">
      <c r="P216" s="459"/>
    </row>
    <row r="217" ht="15.75" customHeight="1">
      <c r="P217" s="459"/>
    </row>
    <row r="218" ht="15.75" customHeight="1">
      <c r="P218" s="459"/>
    </row>
    <row r="219" ht="15.75" customHeight="1">
      <c r="P219" s="459"/>
    </row>
    <row r="220" ht="15.75" customHeight="1">
      <c r="P220" s="459"/>
    </row>
    <row r="221" ht="15.75" customHeight="1">
      <c r="P221" s="459"/>
    </row>
    <row r="222" ht="15.75" customHeight="1">
      <c r="P222" s="459"/>
    </row>
    <row r="223" ht="15.75" customHeight="1">
      <c r="P223" s="459"/>
    </row>
    <row r="224" ht="15.75" customHeight="1">
      <c r="P224" s="459"/>
    </row>
    <row r="225" ht="15.75" customHeight="1">
      <c r="P225" s="459"/>
    </row>
    <row r="226" ht="15.75" customHeight="1">
      <c r="P226" s="459"/>
    </row>
    <row r="227" ht="15.75" customHeight="1">
      <c r="P227" s="459"/>
    </row>
    <row r="228" ht="15.75" customHeight="1">
      <c r="P228" s="459"/>
    </row>
    <row r="229" ht="15.75" customHeight="1">
      <c r="P229" s="459"/>
    </row>
    <row r="230" ht="15.75" customHeight="1">
      <c r="P230" s="459"/>
    </row>
    <row r="231" ht="15.75" customHeight="1">
      <c r="P231" s="459"/>
    </row>
    <row r="232" ht="15.75" customHeight="1">
      <c r="P232" s="459"/>
    </row>
    <row r="233" ht="15.75" customHeight="1">
      <c r="P233" s="459"/>
    </row>
    <row r="234" ht="15.75" customHeight="1">
      <c r="P234" s="459"/>
    </row>
    <row r="235" ht="15.75" customHeight="1">
      <c r="P235" s="459"/>
    </row>
    <row r="236" ht="15.75" customHeight="1">
      <c r="P236" s="459"/>
    </row>
    <row r="237" ht="15.75" customHeight="1">
      <c r="P237" s="459"/>
    </row>
    <row r="238" ht="15.75" customHeight="1">
      <c r="P238" s="459"/>
    </row>
    <row r="239" ht="15.75" customHeight="1">
      <c r="P239" s="459"/>
    </row>
    <row r="240" ht="15.75" customHeight="1">
      <c r="P240" s="459"/>
    </row>
    <row r="241" ht="15.75" customHeight="1">
      <c r="P241" s="459"/>
    </row>
    <row r="242" ht="15.75" customHeight="1">
      <c r="P242" s="459"/>
    </row>
    <row r="243" ht="15.75" customHeight="1">
      <c r="P243" s="459"/>
    </row>
    <row r="244" ht="15.75" customHeight="1">
      <c r="P244" s="459"/>
    </row>
    <row r="245" ht="15.75" customHeight="1">
      <c r="P245" s="459"/>
    </row>
    <row r="246" ht="15.75" customHeight="1">
      <c r="P246" s="459"/>
    </row>
    <row r="247" ht="15.75" customHeight="1">
      <c r="P247" s="459"/>
    </row>
    <row r="248" ht="15.75" customHeight="1">
      <c r="P248" s="459"/>
    </row>
    <row r="249" ht="15.75" customHeight="1">
      <c r="P249" s="459"/>
    </row>
    <row r="250" ht="15.75" customHeight="1">
      <c r="P250" s="459"/>
    </row>
    <row r="251" ht="15.75" customHeight="1">
      <c r="P251" s="459"/>
    </row>
    <row r="252" ht="15.75" customHeight="1">
      <c r="P252" s="459"/>
    </row>
    <row r="253" ht="15.75" customHeight="1">
      <c r="P253" s="459"/>
    </row>
    <row r="254" ht="15.75" customHeight="1">
      <c r="P254" s="459"/>
    </row>
    <row r="255" ht="15.75" customHeight="1">
      <c r="P255" s="459"/>
    </row>
    <row r="256" ht="15.75" customHeight="1">
      <c r="P256" s="459"/>
    </row>
    <row r="257" ht="15.75" customHeight="1">
      <c r="P257" s="459"/>
    </row>
    <row r="258" ht="15.75" customHeight="1">
      <c r="P258" s="459"/>
    </row>
    <row r="259" ht="15.75" customHeight="1">
      <c r="P259" s="459"/>
    </row>
    <row r="260" ht="15.75" customHeight="1">
      <c r="P260" s="459"/>
    </row>
    <row r="261" ht="15.75" customHeight="1">
      <c r="P261" s="459"/>
    </row>
    <row r="262" ht="15.75" customHeight="1">
      <c r="P262" s="459"/>
    </row>
    <row r="263" ht="15.75" customHeight="1">
      <c r="P263" s="459"/>
    </row>
    <row r="264" ht="15.75" customHeight="1">
      <c r="P264" s="459"/>
    </row>
    <row r="265" ht="15.75" customHeight="1">
      <c r="P265" s="459"/>
    </row>
    <row r="266" ht="15.75" customHeight="1">
      <c r="P266" s="459"/>
    </row>
    <row r="267" ht="15.75" customHeight="1">
      <c r="P267" s="459"/>
    </row>
    <row r="268" ht="15.75" customHeight="1">
      <c r="P268" s="459"/>
    </row>
    <row r="269" ht="15.75" customHeight="1">
      <c r="P269" s="459"/>
    </row>
    <row r="270" ht="15.75" customHeight="1">
      <c r="P270" s="459"/>
    </row>
    <row r="271" ht="15.75" customHeight="1">
      <c r="P271" s="459"/>
    </row>
    <row r="272" ht="15.75" customHeight="1">
      <c r="P272" s="459"/>
    </row>
    <row r="273" ht="15.75" customHeight="1">
      <c r="P273" s="459"/>
    </row>
    <row r="274" ht="15.75" customHeight="1">
      <c r="P274" s="459"/>
    </row>
    <row r="275" ht="15.75" customHeight="1">
      <c r="P275" s="459"/>
    </row>
    <row r="276" ht="15.75" customHeight="1">
      <c r="P276" s="459"/>
    </row>
    <row r="277" ht="15.75" customHeight="1">
      <c r="P277" s="459"/>
    </row>
    <row r="278" ht="15.75" customHeight="1">
      <c r="P278" s="459"/>
    </row>
    <row r="279" ht="15.75" customHeight="1">
      <c r="P279" s="459"/>
    </row>
    <row r="280" ht="15.75" customHeight="1">
      <c r="P280" s="459"/>
    </row>
    <row r="281" ht="15.75" customHeight="1">
      <c r="P281" s="459"/>
    </row>
    <row r="282" ht="15.75" customHeight="1">
      <c r="P282" s="459"/>
    </row>
    <row r="283" ht="15.75" customHeight="1">
      <c r="P283" s="459"/>
    </row>
    <row r="284" ht="15.75" customHeight="1">
      <c r="P284" s="459"/>
    </row>
    <row r="285" ht="15.75" customHeight="1">
      <c r="P285" s="459"/>
    </row>
    <row r="286" ht="15.75" customHeight="1">
      <c r="P286" s="459"/>
    </row>
    <row r="287" ht="15.75" customHeight="1">
      <c r="P287" s="459"/>
    </row>
    <row r="288" ht="15.75" customHeight="1">
      <c r="P288" s="459"/>
    </row>
    <row r="289" ht="15.75" customHeight="1">
      <c r="P289" s="459"/>
    </row>
    <row r="290" ht="15.75" customHeight="1">
      <c r="P290" s="459"/>
    </row>
    <row r="291" ht="15.75" customHeight="1">
      <c r="P291" s="459"/>
    </row>
    <row r="292" ht="15.75" customHeight="1">
      <c r="P292" s="459"/>
    </row>
    <row r="293" ht="15.75" customHeight="1">
      <c r="P293" s="459"/>
    </row>
    <row r="294" ht="15.75" customHeight="1">
      <c r="P294" s="459"/>
    </row>
    <row r="295" ht="15.75" customHeight="1">
      <c r="P295" s="459"/>
    </row>
    <row r="296" ht="15.75" customHeight="1">
      <c r="P296" s="459"/>
    </row>
    <row r="297" ht="15.75" customHeight="1">
      <c r="P297" s="459"/>
    </row>
    <row r="298" ht="15.75" customHeight="1">
      <c r="P298" s="459"/>
    </row>
    <row r="299" ht="15.75" customHeight="1">
      <c r="P299" s="459"/>
    </row>
    <row r="300" ht="15.75" customHeight="1">
      <c r="P300" s="459"/>
    </row>
    <row r="301" ht="15.75" customHeight="1">
      <c r="P301" s="459"/>
    </row>
    <row r="302" ht="15.75" customHeight="1">
      <c r="P302" s="459"/>
    </row>
    <row r="303" ht="15.75" customHeight="1">
      <c r="P303" s="459"/>
    </row>
    <row r="304" ht="15.75" customHeight="1">
      <c r="P304" s="459"/>
    </row>
    <row r="305" ht="15.75" customHeight="1">
      <c r="P305" s="459"/>
    </row>
    <row r="306" ht="15.75" customHeight="1">
      <c r="P306" s="459"/>
    </row>
    <row r="307" ht="15.75" customHeight="1">
      <c r="P307" s="459"/>
    </row>
    <row r="308" ht="15.75" customHeight="1">
      <c r="P308" s="459"/>
    </row>
    <row r="309" ht="15.75" customHeight="1">
      <c r="P309" s="459"/>
    </row>
    <row r="310" ht="15.75" customHeight="1">
      <c r="P310" s="459"/>
    </row>
    <row r="311" ht="15.75" customHeight="1">
      <c r="P311" s="459"/>
    </row>
    <row r="312" ht="15.75" customHeight="1">
      <c r="P312" s="459"/>
    </row>
    <row r="313" ht="15.75" customHeight="1">
      <c r="P313" s="459"/>
    </row>
    <row r="314" ht="15.75" customHeight="1">
      <c r="P314" s="459"/>
    </row>
    <row r="315" ht="15.75" customHeight="1">
      <c r="P315" s="459"/>
    </row>
    <row r="316" ht="15.75" customHeight="1">
      <c r="P316" s="459"/>
    </row>
    <row r="317" ht="15.75" customHeight="1">
      <c r="P317" s="459"/>
    </row>
    <row r="318" ht="15.75" customHeight="1">
      <c r="P318" s="459"/>
    </row>
    <row r="319" ht="15.75" customHeight="1">
      <c r="P319" s="459"/>
    </row>
    <row r="320" ht="15.75" customHeight="1">
      <c r="P320" s="459"/>
    </row>
    <row r="321" ht="15.75" customHeight="1">
      <c r="P321" s="459"/>
    </row>
    <row r="322" ht="15.75" customHeight="1">
      <c r="P322" s="459"/>
    </row>
    <row r="323" ht="15.75" customHeight="1">
      <c r="P323" s="459"/>
    </row>
    <row r="324" ht="15.75" customHeight="1">
      <c r="P324" s="459"/>
    </row>
    <row r="325" ht="15.75" customHeight="1">
      <c r="P325" s="459"/>
    </row>
    <row r="326" ht="15.75" customHeight="1">
      <c r="P326" s="459"/>
    </row>
    <row r="327" ht="15.75" customHeight="1">
      <c r="P327" s="459"/>
    </row>
    <row r="328" ht="15.75" customHeight="1">
      <c r="P328" s="459"/>
    </row>
    <row r="329" ht="15.75" customHeight="1">
      <c r="P329" s="459"/>
    </row>
    <row r="330" ht="15.75" customHeight="1">
      <c r="P330" s="459"/>
    </row>
    <row r="331" ht="15.75" customHeight="1">
      <c r="P331" s="459"/>
    </row>
    <row r="332" ht="15.75" customHeight="1">
      <c r="P332" s="459"/>
    </row>
    <row r="333" ht="15.75" customHeight="1">
      <c r="P333" s="459"/>
    </row>
    <row r="334" ht="15.75" customHeight="1">
      <c r="P334" s="459"/>
    </row>
    <row r="335" ht="15.75" customHeight="1">
      <c r="P335" s="459"/>
    </row>
    <row r="336" ht="15.75" customHeight="1">
      <c r="P336" s="459"/>
    </row>
    <row r="337" ht="15.75" customHeight="1">
      <c r="P337" s="459"/>
    </row>
    <row r="338" ht="15.75" customHeight="1">
      <c r="P338" s="459"/>
    </row>
    <row r="339" ht="15.75" customHeight="1">
      <c r="P339" s="459"/>
    </row>
    <row r="340" ht="15.75" customHeight="1">
      <c r="P340" s="459"/>
    </row>
    <row r="341" ht="15.75" customHeight="1">
      <c r="P341" s="459"/>
    </row>
    <row r="342" ht="15.75" customHeight="1">
      <c r="P342" s="459"/>
    </row>
    <row r="343" ht="15.75" customHeight="1">
      <c r="P343" s="459"/>
    </row>
    <row r="344" ht="15.75" customHeight="1">
      <c r="P344" s="459"/>
    </row>
    <row r="345" ht="15.75" customHeight="1">
      <c r="P345" s="459"/>
    </row>
    <row r="346" ht="15.75" customHeight="1">
      <c r="P346" s="459"/>
    </row>
    <row r="347" ht="15.75" customHeight="1">
      <c r="P347" s="459"/>
    </row>
    <row r="348" ht="15.75" customHeight="1">
      <c r="P348" s="459"/>
    </row>
    <row r="349" ht="15.75" customHeight="1">
      <c r="P349" s="459"/>
    </row>
    <row r="350" ht="15.75" customHeight="1">
      <c r="P350" s="459"/>
    </row>
    <row r="351" ht="15.75" customHeight="1">
      <c r="P351" s="459"/>
    </row>
    <row r="352" ht="15.75" customHeight="1">
      <c r="P352" s="459"/>
    </row>
    <row r="353" ht="15.75" customHeight="1">
      <c r="P353" s="459"/>
    </row>
    <row r="354" ht="15.75" customHeight="1">
      <c r="P354" s="459"/>
    </row>
    <row r="355" ht="15.75" customHeight="1">
      <c r="P355" s="459"/>
    </row>
    <row r="356" ht="15.75" customHeight="1">
      <c r="P356" s="459"/>
    </row>
    <row r="357" ht="15.75" customHeight="1">
      <c r="P357" s="459"/>
    </row>
    <row r="358" ht="15.75" customHeight="1">
      <c r="P358" s="459"/>
    </row>
    <row r="359" ht="15.75" customHeight="1">
      <c r="P359" s="459"/>
    </row>
    <row r="360" ht="15.75" customHeight="1">
      <c r="P360" s="459"/>
    </row>
    <row r="361" ht="15.75" customHeight="1">
      <c r="P361" s="459"/>
    </row>
    <row r="362" ht="15.75" customHeight="1">
      <c r="P362" s="459"/>
    </row>
    <row r="363" ht="15.75" customHeight="1">
      <c r="P363" s="459"/>
    </row>
    <row r="364" ht="15.75" customHeight="1">
      <c r="P364" s="459"/>
    </row>
    <row r="365" ht="15.75" customHeight="1">
      <c r="P365" s="459"/>
    </row>
    <row r="366" ht="15.75" customHeight="1">
      <c r="P366" s="459"/>
    </row>
    <row r="367" ht="15.75" customHeight="1">
      <c r="P367" s="459"/>
    </row>
    <row r="368" ht="15.75" customHeight="1">
      <c r="P368" s="459"/>
    </row>
    <row r="369" ht="15.75" customHeight="1">
      <c r="P369" s="459"/>
    </row>
    <row r="370" ht="15.75" customHeight="1">
      <c r="P370" s="459"/>
    </row>
    <row r="371" ht="15.75" customHeight="1">
      <c r="P371" s="459"/>
    </row>
    <row r="372" ht="15.75" customHeight="1">
      <c r="P372" s="459"/>
    </row>
    <row r="373" ht="15.75" customHeight="1">
      <c r="P373" s="459"/>
    </row>
    <row r="374" ht="15.75" customHeight="1">
      <c r="P374" s="459"/>
    </row>
    <row r="375" ht="15.75" customHeight="1">
      <c r="P375" s="459"/>
    </row>
    <row r="376" ht="15.75" customHeight="1">
      <c r="P376" s="459"/>
    </row>
    <row r="377" ht="15.75" customHeight="1">
      <c r="P377" s="459"/>
    </row>
    <row r="378" ht="15.75" customHeight="1">
      <c r="P378" s="459"/>
    </row>
    <row r="379" ht="15.75" customHeight="1">
      <c r="P379" s="459"/>
    </row>
    <row r="380" ht="15.75" customHeight="1">
      <c r="P380" s="459"/>
    </row>
    <row r="381" ht="15.75" customHeight="1">
      <c r="P381" s="459"/>
    </row>
    <row r="382" ht="15.75" customHeight="1">
      <c r="P382" s="459"/>
    </row>
    <row r="383" ht="15.75" customHeight="1">
      <c r="P383" s="459"/>
    </row>
    <row r="384" ht="15.75" customHeight="1">
      <c r="P384" s="459"/>
    </row>
    <row r="385" ht="15.75" customHeight="1">
      <c r="P385" s="459"/>
    </row>
    <row r="386" ht="15.75" customHeight="1">
      <c r="P386" s="459"/>
    </row>
    <row r="387" ht="15.75" customHeight="1">
      <c r="P387" s="459"/>
    </row>
    <row r="388" ht="15.75" customHeight="1">
      <c r="P388" s="459"/>
    </row>
    <row r="389" ht="15.75" customHeight="1">
      <c r="P389" s="459"/>
    </row>
    <row r="390" ht="15.75" customHeight="1">
      <c r="P390" s="459"/>
    </row>
    <row r="391" ht="15.75" customHeight="1">
      <c r="P391" s="459"/>
    </row>
    <row r="392" ht="15.75" customHeight="1">
      <c r="P392" s="459"/>
    </row>
    <row r="393" ht="15.75" customHeight="1">
      <c r="P393" s="459"/>
    </row>
    <row r="394" ht="15.75" customHeight="1">
      <c r="P394" s="459"/>
    </row>
    <row r="395" ht="15.75" customHeight="1">
      <c r="P395" s="459"/>
    </row>
    <row r="396" ht="15.75" customHeight="1">
      <c r="P396" s="459"/>
    </row>
    <row r="397" ht="15.75" customHeight="1">
      <c r="P397" s="459"/>
    </row>
    <row r="398" ht="15.75" customHeight="1">
      <c r="P398" s="459"/>
    </row>
    <row r="399" ht="15.75" customHeight="1">
      <c r="P399" s="459"/>
    </row>
    <row r="400" ht="15.75" customHeight="1">
      <c r="P400" s="459"/>
    </row>
    <row r="401" ht="15.75" customHeight="1">
      <c r="P401" s="459"/>
    </row>
    <row r="402" ht="15.75" customHeight="1">
      <c r="P402" s="459"/>
    </row>
    <row r="403" ht="15.75" customHeight="1">
      <c r="P403" s="459"/>
    </row>
    <row r="404" ht="15.75" customHeight="1">
      <c r="P404" s="459"/>
    </row>
    <row r="405" ht="15.75" customHeight="1">
      <c r="P405" s="459"/>
    </row>
    <row r="406" ht="15.75" customHeight="1">
      <c r="P406" s="459"/>
    </row>
    <row r="407" ht="15.75" customHeight="1">
      <c r="P407" s="459"/>
    </row>
    <row r="408" ht="15.75" customHeight="1">
      <c r="P408" s="459"/>
    </row>
    <row r="409" ht="15.75" customHeight="1">
      <c r="P409" s="459"/>
    </row>
    <row r="410" ht="15.75" customHeight="1">
      <c r="P410" s="459"/>
    </row>
    <row r="411" ht="15.75" customHeight="1">
      <c r="P411" s="459"/>
    </row>
    <row r="412" ht="15.75" customHeight="1">
      <c r="P412" s="459"/>
    </row>
    <row r="413" ht="15.75" customHeight="1">
      <c r="P413" s="459"/>
    </row>
    <row r="414" ht="15.75" customHeight="1">
      <c r="P414" s="459"/>
    </row>
    <row r="415" ht="15.75" customHeight="1">
      <c r="P415" s="459"/>
    </row>
    <row r="416" ht="15.75" customHeight="1">
      <c r="P416" s="459"/>
    </row>
    <row r="417" ht="15.75" customHeight="1">
      <c r="P417" s="459"/>
    </row>
    <row r="418" ht="15.75" customHeight="1">
      <c r="P418" s="459"/>
    </row>
    <row r="419" ht="15.75" customHeight="1">
      <c r="P419" s="459"/>
    </row>
    <row r="420" ht="15.75" customHeight="1">
      <c r="P420" s="459"/>
    </row>
    <row r="421" ht="15.75" customHeight="1">
      <c r="P421" s="459"/>
    </row>
    <row r="422" ht="15.75" customHeight="1">
      <c r="P422" s="459"/>
    </row>
    <row r="423" ht="15.75" customHeight="1">
      <c r="P423" s="459"/>
    </row>
    <row r="424" ht="15.75" customHeight="1">
      <c r="P424" s="459"/>
    </row>
    <row r="425" ht="15.75" customHeight="1">
      <c r="P425" s="459"/>
    </row>
    <row r="426" ht="15.75" customHeight="1">
      <c r="P426" s="459"/>
    </row>
    <row r="427" ht="15.75" customHeight="1">
      <c r="P427" s="459"/>
    </row>
    <row r="428" ht="15.75" customHeight="1">
      <c r="P428" s="459"/>
    </row>
    <row r="429" ht="15.75" customHeight="1">
      <c r="P429" s="459"/>
    </row>
    <row r="430" ht="15.75" customHeight="1">
      <c r="P430" s="459"/>
    </row>
    <row r="431" ht="15.75" customHeight="1">
      <c r="P431" s="459"/>
    </row>
    <row r="432" ht="15.75" customHeight="1">
      <c r="P432" s="459"/>
    </row>
    <row r="433" ht="15.75" customHeight="1">
      <c r="P433" s="459"/>
    </row>
    <row r="434" ht="15.75" customHeight="1">
      <c r="P434" s="459"/>
    </row>
    <row r="435" ht="15.75" customHeight="1">
      <c r="P435" s="459"/>
    </row>
    <row r="436" ht="15.75" customHeight="1">
      <c r="P436" s="459"/>
    </row>
    <row r="437" ht="15.75" customHeight="1">
      <c r="P437" s="459"/>
    </row>
    <row r="438" ht="15.75" customHeight="1">
      <c r="P438" s="459"/>
    </row>
    <row r="439" ht="15.75" customHeight="1">
      <c r="P439" s="459"/>
    </row>
    <row r="440" ht="15.75" customHeight="1">
      <c r="P440" s="459"/>
    </row>
    <row r="441" ht="15.75" customHeight="1">
      <c r="P441" s="459"/>
    </row>
    <row r="442" ht="15.75" customHeight="1">
      <c r="P442" s="459"/>
    </row>
    <row r="443" ht="15.75" customHeight="1">
      <c r="P443" s="459"/>
    </row>
    <row r="444" ht="15.75" customHeight="1">
      <c r="P444" s="459"/>
    </row>
    <row r="445" ht="15.75" customHeight="1">
      <c r="P445" s="459"/>
    </row>
    <row r="446" ht="15.75" customHeight="1">
      <c r="P446" s="459"/>
    </row>
    <row r="447" ht="15.75" customHeight="1">
      <c r="P447" s="459"/>
    </row>
    <row r="448" ht="15.75" customHeight="1">
      <c r="P448" s="459"/>
    </row>
    <row r="449" ht="15.75" customHeight="1">
      <c r="P449" s="459"/>
    </row>
    <row r="450" ht="15.75" customHeight="1">
      <c r="P450" s="459"/>
    </row>
    <row r="451" ht="15.75" customHeight="1">
      <c r="P451" s="459"/>
    </row>
    <row r="452" ht="15.75" customHeight="1">
      <c r="P452" s="459"/>
    </row>
    <row r="453" ht="15.75" customHeight="1">
      <c r="P453" s="459"/>
    </row>
    <row r="454" ht="15.75" customHeight="1">
      <c r="P454" s="459"/>
    </row>
    <row r="455" ht="15.75" customHeight="1">
      <c r="P455" s="459"/>
    </row>
    <row r="456" ht="15.75" customHeight="1">
      <c r="P456" s="459"/>
    </row>
    <row r="457" ht="15.75" customHeight="1">
      <c r="P457" s="459"/>
    </row>
    <row r="458" ht="15.75" customHeight="1">
      <c r="P458" s="459"/>
    </row>
    <row r="459" ht="15.75" customHeight="1">
      <c r="P459" s="459"/>
    </row>
    <row r="460" ht="15.75" customHeight="1">
      <c r="P460" s="459"/>
    </row>
    <row r="461" ht="15.75" customHeight="1">
      <c r="P461" s="459"/>
    </row>
    <row r="462" ht="15.75" customHeight="1">
      <c r="P462" s="459"/>
    </row>
    <row r="463" ht="15.75" customHeight="1">
      <c r="P463" s="459"/>
    </row>
    <row r="464" ht="15.75" customHeight="1">
      <c r="P464" s="459"/>
    </row>
    <row r="465" ht="15.75" customHeight="1">
      <c r="P465" s="459"/>
    </row>
    <row r="466" ht="15.75" customHeight="1">
      <c r="P466" s="459"/>
    </row>
    <row r="467" ht="15.75" customHeight="1">
      <c r="P467" s="459"/>
    </row>
    <row r="468" ht="15.75" customHeight="1">
      <c r="P468" s="459"/>
    </row>
    <row r="469" ht="15.75" customHeight="1">
      <c r="P469" s="459"/>
    </row>
    <row r="470" ht="15.75" customHeight="1">
      <c r="P470" s="459"/>
    </row>
    <row r="471" ht="15.75" customHeight="1">
      <c r="P471" s="459"/>
    </row>
    <row r="472" ht="15.75" customHeight="1">
      <c r="P472" s="459"/>
    </row>
    <row r="473" ht="15.75" customHeight="1">
      <c r="P473" s="459"/>
    </row>
    <row r="474" ht="15.75" customHeight="1">
      <c r="P474" s="459"/>
    </row>
    <row r="475" ht="15.75" customHeight="1">
      <c r="P475" s="459"/>
    </row>
    <row r="476" ht="15.75" customHeight="1">
      <c r="P476" s="459"/>
    </row>
    <row r="477" ht="15.75" customHeight="1">
      <c r="P477" s="459"/>
    </row>
    <row r="478" ht="15.75" customHeight="1">
      <c r="P478" s="459"/>
    </row>
    <row r="479" ht="15.75" customHeight="1">
      <c r="P479" s="459"/>
    </row>
    <row r="480" ht="15.75" customHeight="1">
      <c r="P480" s="459"/>
    </row>
    <row r="481" ht="15.75" customHeight="1">
      <c r="P481" s="459"/>
    </row>
    <row r="482" ht="15.75" customHeight="1">
      <c r="P482" s="459"/>
    </row>
    <row r="483" ht="15.75" customHeight="1">
      <c r="P483" s="459"/>
    </row>
    <row r="484" ht="15.75" customHeight="1">
      <c r="P484" s="459"/>
    </row>
    <row r="485" ht="15.75" customHeight="1">
      <c r="P485" s="459"/>
    </row>
    <row r="486" ht="15.75" customHeight="1">
      <c r="P486" s="459"/>
    </row>
    <row r="487" ht="15.75" customHeight="1">
      <c r="P487" s="459"/>
    </row>
    <row r="488" ht="15.75" customHeight="1">
      <c r="P488" s="459"/>
    </row>
    <row r="489" ht="15.75" customHeight="1">
      <c r="P489" s="459"/>
    </row>
    <row r="490" ht="15.75" customHeight="1">
      <c r="P490" s="459"/>
    </row>
    <row r="491" ht="15.75" customHeight="1">
      <c r="P491" s="459"/>
    </row>
    <row r="492" ht="15.75" customHeight="1">
      <c r="P492" s="459"/>
    </row>
    <row r="493" ht="15.75" customHeight="1">
      <c r="P493" s="459"/>
    </row>
    <row r="494" ht="15.75" customHeight="1">
      <c r="P494" s="459"/>
    </row>
    <row r="495" ht="15.75" customHeight="1">
      <c r="P495" s="459"/>
    </row>
    <row r="496" ht="15.75" customHeight="1">
      <c r="P496" s="459"/>
    </row>
    <row r="497" ht="15.75" customHeight="1">
      <c r="P497" s="459"/>
    </row>
    <row r="498" ht="15.75" customHeight="1">
      <c r="P498" s="459"/>
    </row>
    <row r="499" ht="15.75" customHeight="1">
      <c r="P499" s="459"/>
    </row>
    <row r="500" ht="15.75" customHeight="1">
      <c r="P500" s="459"/>
    </row>
    <row r="501" ht="15.75" customHeight="1">
      <c r="P501" s="459"/>
    </row>
    <row r="502" ht="15.75" customHeight="1">
      <c r="P502" s="459"/>
    </row>
    <row r="503" ht="15.75" customHeight="1">
      <c r="P503" s="459"/>
    </row>
    <row r="504" ht="15.75" customHeight="1">
      <c r="P504" s="459"/>
    </row>
    <row r="505" ht="15.75" customHeight="1">
      <c r="P505" s="459"/>
    </row>
    <row r="506" ht="15.75" customHeight="1">
      <c r="P506" s="459"/>
    </row>
    <row r="507" ht="15.75" customHeight="1">
      <c r="P507" s="459"/>
    </row>
    <row r="508" ht="15.75" customHeight="1">
      <c r="P508" s="459"/>
    </row>
    <row r="509" ht="15.75" customHeight="1">
      <c r="P509" s="459"/>
    </row>
    <row r="510" ht="15.75" customHeight="1">
      <c r="P510" s="459"/>
    </row>
    <row r="511" ht="15.75" customHeight="1">
      <c r="P511" s="459"/>
    </row>
    <row r="512" ht="15.75" customHeight="1">
      <c r="P512" s="459"/>
    </row>
    <row r="513" ht="15.75" customHeight="1">
      <c r="P513" s="459"/>
    </row>
    <row r="514" ht="15.75" customHeight="1">
      <c r="P514" s="459"/>
    </row>
    <row r="515" ht="15.75" customHeight="1">
      <c r="P515" s="459"/>
    </row>
    <row r="516" ht="15.75" customHeight="1">
      <c r="P516" s="459"/>
    </row>
    <row r="517" ht="15.75" customHeight="1">
      <c r="P517" s="459"/>
    </row>
    <row r="518" ht="15.75" customHeight="1">
      <c r="P518" s="459"/>
    </row>
    <row r="519" ht="15.75" customHeight="1">
      <c r="P519" s="459"/>
    </row>
    <row r="520" ht="15.75" customHeight="1">
      <c r="P520" s="459"/>
    </row>
    <row r="521" ht="15.75" customHeight="1">
      <c r="P521" s="459"/>
    </row>
    <row r="522" ht="15.75" customHeight="1">
      <c r="P522" s="459"/>
    </row>
    <row r="523" ht="15.75" customHeight="1">
      <c r="P523" s="459"/>
    </row>
    <row r="524" ht="15.75" customHeight="1">
      <c r="P524" s="459"/>
    </row>
    <row r="525" ht="15.75" customHeight="1">
      <c r="P525" s="459"/>
    </row>
    <row r="526" ht="15.75" customHeight="1">
      <c r="P526" s="459"/>
    </row>
    <row r="527" ht="15.75" customHeight="1">
      <c r="P527" s="459"/>
    </row>
    <row r="528" ht="15.75" customHeight="1">
      <c r="P528" s="459"/>
    </row>
    <row r="529" ht="15.75" customHeight="1">
      <c r="P529" s="459"/>
    </row>
    <row r="530" ht="15.75" customHeight="1">
      <c r="P530" s="459"/>
    </row>
    <row r="531" ht="15.75" customHeight="1">
      <c r="P531" s="459"/>
    </row>
    <row r="532" ht="15.75" customHeight="1">
      <c r="P532" s="459"/>
    </row>
    <row r="533" ht="15.75" customHeight="1">
      <c r="P533" s="459"/>
    </row>
    <row r="534" ht="15.75" customHeight="1">
      <c r="P534" s="459"/>
    </row>
    <row r="535" ht="15.75" customHeight="1">
      <c r="P535" s="459"/>
    </row>
    <row r="536" ht="15.75" customHeight="1">
      <c r="P536" s="459"/>
    </row>
    <row r="537" ht="15.75" customHeight="1">
      <c r="P537" s="459"/>
    </row>
    <row r="538" ht="15.75" customHeight="1">
      <c r="P538" s="459"/>
    </row>
    <row r="539" ht="15.75" customHeight="1">
      <c r="P539" s="459"/>
    </row>
    <row r="540" ht="15.75" customHeight="1">
      <c r="P540" s="459"/>
    </row>
    <row r="541" ht="15.75" customHeight="1">
      <c r="P541" s="459"/>
    </row>
    <row r="542" ht="15.75" customHeight="1">
      <c r="P542" s="459"/>
    </row>
    <row r="543" ht="15.75" customHeight="1">
      <c r="P543" s="459"/>
    </row>
    <row r="544" ht="15.75" customHeight="1">
      <c r="P544" s="459"/>
    </row>
    <row r="545" ht="15.75" customHeight="1">
      <c r="P545" s="459"/>
    </row>
    <row r="546" ht="15.75" customHeight="1">
      <c r="P546" s="459"/>
    </row>
    <row r="547" ht="15.75" customHeight="1">
      <c r="P547" s="459"/>
    </row>
    <row r="548" ht="15.75" customHeight="1">
      <c r="P548" s="459"/>
    </row>
    <row r="549" ht="15.75" customHeight="1">
      <c r="P549" s="459"/>
    </row>
    <row r="550" ht="15.75" customHeight="1">
      <c r="P550" s="459"/>
    </row>
    <row r="551" ht="15.75" customHeight="1">
      <c r="P551" s="459"/>
    </row>
    <row r="552" ht="15.75" customHeight="1">
      <c r="P552" s="459"/>
    </row>
    <row r="553" ht="15.75" customHeight="1">
      <c r="P553" s="459"/>
    </row>
    <row r="554" ht="15.75" customHeight="1">
      <c r="P554" s="459"/>
    </row>
    <row r="555" ht="15.75" customHeight="1">
      <c r="P555" s="459"/>
    </row>
    <row r="556" ht="15.75" customHeight="1">
      <c r="P556" s="459"/>
    </row>
    <row r="557" ht="15.75" customHeight="1">
      <c r="P557" s="459"/>
    </row>
    <row r="558" ht="15.75" customHeight="1">
      <c r="P558" s="459"/>
    </row>
    <row r="559" ht="15.75" customHeight="1">
      <c r="P559" s="459"/>
    </row>
    <row r="560" ht="15.75" customHeight="1">
      <c r="P560" s="459"/>
    </row>
    <row r="561" ht="15.75" customHeight="1">
      <c r="P561" s="459"/>
    </row>
    <row r="562" ht="15.75" customHeight="1">
      <c r="P562" s="459"/>
    </row>
    <row r="563" ht="15.75" customHeight="1">
      <c r="P563" s="459"/>
    </row>
    <row r="564" ht="15.75" customHeight="1">
      <c r="P564" s="459"/>
    </row>
    <row r="565" ht="15.75" customHeight="1">
      <c r="P565" s="459"/>
    </row>
    <row r="566" ht="15.75" customHeight="1">
      <c r="P566" s="459"/>
    </row>
    <row r="567" ht="15.75" customHeight="1">
      <c r="P567" s="459"/>
    </row>
    <row r="568" ht="15.75" customHeight="1">
      <c r="P568" s="459"/>
    </row>
    <row r="569" ht="15.75" customHeight="1">
      <c r="P569" s="459"/>
    </row>
    <row r="570" ht="15.75" customHeight="1">
      <c r="P570" s="459"/>
    </row>
    <row r="571" ht="15.75" customHeight="1">
      <c r="P571" s="459"/>
    </row>
    <row r="572" ht="15.75" customHeight="1">
      <c r="P572" s="459"/>
    </row>
    <row r="573" ht="15.75" customHeight="1">
      <c r="P573" s="459"/>
    </row>
    <row r="574" ht="15.75" customHeight="1">
      <c r="P574" s="459"/>
    </row>
    <row r="575" ht="15.75" customHeight="1">
      <c r="P575" s="459"/>
    </row>
    <row r="576" ht="15.75" customHeight="1">
      <c r="P576" s="459"/>
    </row>
    <row r="577" ht="15.75" customHeight="1">
      <c r="P577" s="459"/>
    </row>
    <row r="578" ht="15.75" customHeight="1">
      <c r="P578" s="459"/>
    </row>
    <row r="579" ht="15.75" customHeight="1">
      <c r="P579" s="459"/>
    </row>
    <row r="580" ht="15.75" customHeight="1">
      <c r="P580" s="459"/>
    </row>
    <row r="581" ht="15.75" customHeight="1">
      <c r="P581" s="459"/>
    </row>
    <row r="582" ht="15.75" customHeight="1">
      <c r="P582" s="459"/>
    </row>
    <row r="583" ht="15.75" customHeight="1">
      <c r="P583" s="459"/>
    </row>
    <row r="584" ht="15.75" customHeight="1">
      <c r="P584" s="459"/>
    </row>
    <row r="585" ht="15.75" customHeight="1">
      <c r="P585" s="459"/>
    </row>
    <row r="586" ht="15.75" customHeight="1">
      <c r="P586" s="459"/>
    </row>
    <row r="587" ht="15.75" customHeight="1">
      <c r="P587" s="459"/>
    </row>
    <row r="588" ht="15.75" customHeight="1">
      <c r="P588" s="459"/>
    </row>
    <row r="589" ht="15.75" customHeight="1">
      <c r="P589" s="459"/>
    </row>
    <row r="590" ht="15.75" customHeight="1">
      <c r="P590" s="459"/>
    </row>
    <row r="591" ht="15.75" customHeight="1">
      <c r="P591" s="459"/>
    </row>
    <row r="592" ht="15.75" customHeight="1">
      <c r="P592" s="459"/>
    </row>
    <row r="593" ht="15.75" customHeight="1">
      <c r="P593" s="459"/>
    </row>
    <row r="594" ht="15.75" customHeight="1">
      <c r="P594" s="459"/>
    </row>
    <row r="595" ht="15.75" customHeight="1">
      <c r="P595" s="459"/>
    </row>
    <row r="596" ht="15.75" customHeight="1">
      <c r="P596" s="459"/>
    </row>
    <row r="597" ht="15.75" customHeight="1">
      <c r="P597" s="459"/>
    </row>
    <row r="598" ht="15.75" customHeight="1">
      <c r="P598" s="459"/>
    </row>
    <row r="599" ht="15.75" customHeight="1">
      <c r="P599" s="459"/>
    </row>
    <row r="600" ht="15.75" customHeight="1">
      <c r="P600" s="459"/>
    </row>
    <row r="601" ht="15.75" customHeight="1">
      <c r="P601" s="459"/>
    </row>
    <row r="602" ht="15.75" customHeight="1">
      <c r="P602" s="459"/>
    </row>
    <row r="603" ht="15.75" customHeight="1">
      <c r="P603" s="459"/>
    </row>
    <row r="604" ht="15.75" customHeight="1">
      <c r="P604" s="459"/>
    </row>
    <row r="605" ht="15.75" customHeight="1">
      <c r="P605" s="459"/>
    </row>
    <row r="606" ht="15.75" customHeight="1">
      <c r="P606" s="459"/>
    </row>
    <row r="607" ht="15.75" customHeight="1">
      <c r="P607" s="459"/>
    </row>
    <row r="608" ht="15.75" customHeight="1">
      <c r="P608" s="459"/>
    </row>
    <row r="609" ht="15.75" customHeight="1">
      <c r="P609" s="459"/>
    </row>
    <row r="610" ht="15.75" customHeight="1">
      <c r="P610" s="459"/>
    </row>
    <row r="611" ht="15.75" customHeight="1">
      <c r="P611" s="459"/>
    </row>
    <row r="612" ht="15.75" customHeight="1">
      <c r="P612" s="459"/>
    </row>
    <row r="613" ht="15.75" customHeight="1">
      <c r="P613" s="459"/>
    </row>
    <row r="614" ht="15.75" customHeight="1">
      <c r="P614" s="459"/>
    </row>
    <row r="615" ht="15.75" customHeight="1">
      <c r="P615" s="459"/>
    </row>
    <row r="616" ht="15.75" customHeight="1">
      <c r="P616" s="459"/>
    </row>
    <row r="617" ht="15.75" customHeight="1">
      <c r="P617" s="459"/>
    </row>
    <row r="618" ht="15.75" customHeight="1">
      <c r="P618" s="459"/>
    </row>
    <row r="619" ht="15.75" customHeight="1">
      <c r="P619" s="459"/>
    </row>
    <row r="620" ht="15.75" customHeight="1">
      <c r="P620" s="459"/>
    </row>
    <row r="621" ht="15.75" customHeight="1">
      <c r="P621" s="459"/>
    </row>
    <row r="622" ht="15.75" customHeight="1">
      <c r="P622" s="459"/>
    </row>
    <row r="623" ht="15.75" customHeight="1">
      <c r="P623" s="459"/>
    </row>
    <row r="624" ht="15.75" customHeight="1">
      <c r="P624" s="459"/>
    </row>
    <row r="625" ht="15.75" customHeight="1">
      <c r="P625" s="459"/>
    </row>
    <row r="626" ht="15.75" customHeight="1">
      <c r="P626" s="459"/>
    </row>
    <row r="627" ht="15.75" customHeight="1">
      <c r="P627" s="459"/>
    </row>
    <row r="628" ht="15.75" customHeight="1">
      <c r="P628" s="459"/>
    </row>
    <row r="629" ht="15.75" customHeight="1">
      <c r="P629" s="459"/>
    </row>
    <row r="630" ht="15.75" customHeight="1">
      <c r="P630" s="459"/>
    </row>
    <row r="631" ht="15.75" customHeight="1">
      <c r="P631" s="459"/>
    </row>
    <row r="632" ht="15.75" customHeight="1">
      <c r="P632" s="459"/>
    </row>
    <row r="633" ht="15.75" customHeight="1">
      <c r="P633" s="459"/>
    </row>
    <row r="634" ht="15.75" customHeight="1">
      <c r="P634" s="459"/>
    </row>
    <row r="635" ht="15.75" customHeight="1">
      <c r="P635" s="459"/>
    </row>
    <row r="636" ht="15.75" customHeight="1">
      <c r="P636" s="459"/>
    </row>
    <row r="637" ht="15.75" customHeight="1">
      <c r="P637" s="459"/>
    </row>
    <row r="638" ht="15.75" customHeight="1">
      <c r="P638" s="459"/>
    </row>
    <row r="639" ht="15.75" customHeight="1">
      <c r="P639" s="459"/>
    </row>
    <row r="640" ht="15.75" customHeight="1">
      <c r="P640" s="459"/>
    </row>
    <row r="641" ht="15.75" customHeight="1">
      <c r="P641" s="459"/>
    </row>
    <row r="642" ht="15.75" customHeight="1">
      <c r="P642" s="459"/>
    </row>
    <row r="643" ht="15.75" customHeight="1">
      <c r="P643" s="459"/>
    </row>
    <row r="644" ht="15.75" customHeight="1">
      <c r="P644" s="459"/>
    </row>
    <row r="645" ht="15.75" customHeight="1">
      <c r="P645" s="459"/>
    </row>
    <row r="646" ht="15.75" customHeight="1">
      <c r="P646" s="459"/>
    </row>
    <row r="647" ht="15.75" customHeight="1">
      <c r="P647" s="459"/>
    </row>
    <row r="648" ht="15.75" customHeight="1">
      <c r="P648" s="459"/>
    </row>
    <row r="649" ht="15.75" customHeight="1">
      <c r="P649" s="459"/>
    </row>
    <row r="650" ht="15.75" customHeight="1">
      <c r="P650" s="459"/>
    </row>
    <row r="651" ht="15.75" customHeight="1">
      <c r="P651" s="459"/>
    </row>
    <row r="652" ht="15.75" customHeight="1">
      <c r="P652" s="459"/>
    </row>
    <row r="653" ht="15.75" customHeight="1">
      <c r="P653" s="459"/>
    </row>
    <row r="654" ht="15.75" customHeight="1">
      <c r="P654" s="459"/>
    </row>
    <row r="655" ht="15.75" customHeight="1">
      <c r="P655" s="459"/>
    </row>
    <row r="656" ht="15.75" customHeight="1">
      <c r="P656" s="459"/>
    </row>
    <row r="657" ht="15.75" customHeight="1">
      <c r="P657" s="459"/>
    </row>
    <row r="658" ht="15.75" customHeight="1">
      <c r="P658" s="459"/>
    </row>
    <row r="659" ht="15.75" customHeight="1">
      <c r="P659" s="459"/>
    </row>
    <row r="660" ht="15.75" customHeight="1">
      <c r="P660" s="459"/>
    </row>
    <row r="661" ht="15.75" customHeight="1">
      <c r="P661" s="459"/>
    </row>
    <row r="662" ht="15.75" customHeight="1">
      <c r="P662" s="459"/>
    </row>
    <row r="663" ht="15.75" customHeight="1">
      <c r="P663" s="459"/>
    </row>
    <row r="664" ht="15.75" customHeight="1">
      <c r="P664" s="459"/>
    </row>
    <row r="665" ht="15.75" customHeight="1">
      <c r="P665" s="459"/>
    </row>
    <row r="666" ht="15.75" customHeight="1">
      <c r="P666" s="459"/>
    </row>
    <row r="667" ht="15.75" customHeight="1">
      <c r="P667" s="459"/>
    </row>
    <row r="668" ht="15.75" customHeight="1">
      <c r="P668" s="459"/>
    </row>
    <row r="669" ht="15.75" customHeight="1">
      <c r="P669" s="459"/>
    </row>
    <row r="670" ht="15.75" customHeight="1">
      <c r="P670" s="459"/>
    </row>
    <row r="671" ht="15.75" customHeight="1">
      <c r="P671" s="459"/>
    </row>
    <row r="672" ht="15.75" customHeight="1">
      <c r="P672" s="459"/>
    </row>
    <row r="673" ht="15.75" customHeight="1">
      <c r="P673" s="459"/>
    </row>
    <row r="674" ht="15.75" customHeight="1">
      <c r="P674" s="459"/>
    </row>
    <row r="675" ht="15.75" customHeight="1">
      <c r="P675" s="459"/>
    </row>
    <row r="676" ht="15.75" customHeight="1">
      <c r="P676" s="459"/>
    </row>
    <row r="677" ht="15.75" customHeight="1">
      <c r="P677" s="459"/>
    </row>
    <row r="678" ht="15.75" customHeight="1">
      <c r="P678" s="459"/>
    </row>
    <row r="679" ht="15.75" customHeight="1">
      <c r="P679" s="459"/>
    </row>
    <row r="680" ht="15.75" customHeight="1">
      <c r="P680" s="459"/>
    </row>
    <row r="681" ht="15.75" customHeight="1">
      <c r="P681" s="459"/>
    </row>
    <row r="682" ht="15.75" customHeight="1">
      <c r="P682" s="459"/>
    </row>
    <row r="683" ht="15.75" customHeight="1">
      <c r="P683" s="459"/>
    </row>
    <row r="684" ht="15.75" customHeight="1">
      <c r="P684" s="459"/>
    </row>
    <row r="685" ht="15.75" customHeight="1">
      <c r="P685" s="459"/>
    </row>
    <row r="686" ht="15.75" customHeight="1">
      <c r="P686" s="459"/>
    </row>
    <row r="687" ht="15.75" customHeight="1">
      <c r="P687" s="459"/>
    </row>
    <row r="688" ht="15.75" customHeight="1">
      <c r="P688" s="459"/>
    </row>
    <row r="689" ht="15.75" customHeight="1">
      <c r="P689" s="459"/>
    </row>
    <row r="690" ht="15.75" customHeight="1">
      <c r="P690" s="459"/>
    </row>
    <row r="691" ht="15.75" customHeight="1">
      <c r="P691" s="459"/>
    </row>
    <row r="692" ht="15.75" customHeight="1">
      <c r="P692" s="459"/>
    </row>
    <row r="693" ht="15.75" customHeight="1">
      <c r="P693" s="459"/>
    </row>
    <row r="694" ht="15.75" customHeight="1">
      <c r="P694" s="459"/>
    </row>
    <row r="695" ht="15.75" customHeight="1">
      <c r="P695" s="459"/>
    </row>
    <row r="696" ht="15.75" customHeight="1">
      <c r="P696" s="459"/>
    </row>
    <row r="697" ht="15.75" customHeight="1">
      <c r="P697" s="459"/>
    </row>
    <row r="698" ht="15.75" customHeight="1">
      <c r="P698" s="459"/>
    </row>
    <row r="699" ht="15.75" customHeight="1">
      <c r="P699" s="459"/>
    </row>
    <row r="700" ht="15.75" customHeight="1">
      <c r="P700" s="459"/>
    </row>
    <row r="701" ht="15.75" customHeight="1">
      <c r="P701" s="459"/>
    </row>
    <row r="702" ht="15.75" customHeight="1">
      <c r="P702" s="459"/>
    </row>
    <row r="703" ht="15.75" customHeight="1">
      <c r="P703" s="459"/>
    </row>
    <row r="704" ht="15.75" customHeight="1">
      <c r="P704" s="459"/>
    </row>
    <row r="705" ht="15.75" customHeight="1">
      <c r="P705" s="459"/>
    </row>
    <row r="706" ht="15.75" customHeight="1">
      <c r="P706" s="459"/>
    </row>
    <row r="707" ht="15.75" customHeight="1">
      <c r="P707" s="459"/>
    </row>
    <row r="708" ht="15.75" customHeight="1">
      <c r="P708" s="459"/>
    </row>
    <row r="709" ht="15.75" customHeight="1">
      <c r="P709" s="459"/>
    </row>
    <row r="710" ht="15.75" customHeight="1">
      <c r="P710" s="459"/>
    </row>
    <row r="711" ht="15.75" customHeight="1">
      <c r="P711" s="459"/>
    </row>
    <row r="712" ht="15.75" customHeight="1">
      <c r="P712" s="459"/>
    </row>
    <row r="713" ht="15.75" customHeight="1">
      <c r="P713" s="459"/>
    </row>
    <row r="714" ht="15.75" customHeight="1">
      <c r="P714" s="459"/>
    </row>
    <row r="715" ht="15.75" customHeight="1">
      <c r="P715" s="459"/>
    </row>
    <row r="716" ht="15.75" customHeight="1">
      <c r="P716" s="459"/>
    </row>
    <row r="717" ht="15.75" customHeight="1">
      <c r="P717" s="459"/>
    </row>
    <row r="718" ht="15.75" customHeight="1">
      <c r="P718" s="459"/>
    </row>
    <row r="719" ht="15.75" customHeight="1">
      <c r="P719" s="459"/>
    </row>
    <row r="720" ht="15.75" customHeight="1">
      <c r="P720" s="459"/>
    </row>
    <row r="721" ht="15.75" customHeight="1">
      <c r="P721" s="459"/>
    </row>
    <row r="722" ht="15.75" customHeight="1">
      <c r="P722" s="459"/>
    </row>
    <row r="723" ht="15.75" customHeight="1">
      <c r="P723" s="459"/>
    </row>
    <row r="724" ht="15.75" customHeight="1">
      <c r="P724" s="459"/>
    </row>
    <row r="725" ht="15.75" customHeight="1">
      <c r="P725" s="459"/>
    </row>
    <row r="726" ht="15.75" customHeight="1">
      <c r="P726" s="459"/>
    </row>
    <row r="727" ht="15.75" customHeight="1">
      <c r="P727" s="459"/>
    </row>
    <row r="728" ht="15.75" customHeight="1">
      <c r="P728" s="459"/>
    </row>
    <row r="729" ht="15.75" customHeight="1">
      <c r="P729" s="459"/>
    </row>
    <row r="730" ht="15.75" customHeight="1">
      <c r="P730" s="459"/>
    </row>
    <row r="731" ht="15.75" customHeight="1">
      <c r="P731" s="459"/>
    </row>
    <row r="732" ht="15.75" customHeight="1">
      <c r="P732" s="459"/>
    </row>
    <row r="733" ht="15.75" customHeight="1">
      <c r="P733" s="459"/>
    </row>
    <row r="734" ht="15.75" customHeight="1">
      <c r="P734" s="459"/>
    </row>
    <row r="735" ht="15.75" customHeight="1">
      <c r="P735" s="459"/>
    </row>
    <row r="736" ht="15.75" customHeight="1">
      <c r="P736" s="459"/>
    </row>
    <row r="737" ht="15.75" customHeight="1">
      <c r="P737" s="459"/>
    </row>
    <row r="738" ht="15.75" customHeight="1">
      <c r="P738" s="459"/>
    </row>
    <row r="739" ht="15.75" customHeight="1">
      <c r="P739" s="459"/>
    </row>
    <row r="740" ht="15.75" customHeight="1">
      <c r="P740" s="459"/>
    </row>
    <row r="741" ht="15.75" customHeight="1">
      <c r="P741" s="459"/>
    </row>
    <row r="742" ht="15.75" customHeight="1">
      <c r="P742" s="459"/>
    </row>
    <row r="743" ht="15.75" customHeight="1">
      <c r="P743" s="459"/>
    </row>
    <row r="744" ht="15.75" customHeight="1">
      <c r="P744" s="459"/>
    </row>
    <row r="745" ht="15.75" customHeight="1">
      <c r="P745" s="459"/>
    </row>
    <row r="746" ht="15.75" customHeight="1">
      <c r="P746" s="459"/>
    </row>
    <row r="747" ht="15.75" customHeight="1">
      <c r="P747" s="459"/>
    </row>
    <row r="748" ht="15.75" customHeight="1">
      <c r="P748" s="459"/>
    </row>
    <row r="749" ht="15.75" customHeight="1">
      <c r="P749" s="459"/>
    </row>
    <row r="750" ht="15.75" customHeight="1">
      <c r="P750" s="459"/>
    </row>
    <row r="751" ht="15.75" customHeight="1">
      <c r="P751" s="459"/>
    </row>
    <row r="752" ht="15.75" customHeight="1">
      <c r="P752" s="459"/>
    </row>
    <row r="753" ht="15.75" customHeight="1">
      <c r="P753" s="459"/>
    </row>
    <row r="754" ht="15.75" customHeight="1">
      <c r="P754" s="459"/>
    </row>
    <row r="755" ht="15.75" customHeight="1">
      <c r="P755" s="459"/>
    </row>
    <row r="756" ht="15.75" customHeight="1">
      <c r="P756" s="459"/>
    </row>
    <row r="757" ht="15.75" customHeight="1">
      <c r="P757" s="459"/>
    </row>
    <row r="758" ht="15.75" customHeight="1">
      <c r="P758" s="459"/>
    </row>
    <row r="759" ht="15.75" customHeight="1">
      <c r="P759" s="459"/>
    </row>
    <row r="760" ht="15.75" customHeight="1">
      <c r="P760" s="459"/>
    </row>
    <row r="761" ht="15.75" customHeight="1">
      <c r="P761" s="459"/>
    </row>
    <row r="762" ht="15.75" customHeight="1">
      <c r="P762" s="459"/>
    </row>
    <row r="763" ht="15.75" customHeight="1">
      <c r="P763" s="459"/>
    </row>
    <row r="764" ht="15.75" customHeight="1">
      <c r="P764" s="459"/>
    </row>
    <row r="765" ht="15.75" customHeight="1">
      <c r="P765" s="459"/>
    </row>
    <row r="766" ht="15.75" customHeight="1">
      <c r="P766" s="459"/>
    </row>
    <row r="767" ht="15.75" customHeight="1">
      <c r="P767" s="459"/>
    </row>
    <row r="768" ht="15.75" customHeight="1">
      <c r="P768" s="459"/>
    </row>
    <row r="769" ht="15.75" customHeight="1">
      <c r="P769" s="459"/>
    </row>
    <row r="770" ht="15.75" customHeight="1">
      <c r="P770" s="459"/>
    </row>
    <row r="771" ht="15.75" customHeight="1">
      <c r="P771" s="459"/>
    </row>
    <row r="772" ht="15.75" customHeight="1">
      <c r="P772" s="459"/>
    </row>
    <row r="773" ht="15.75" customHeight="1">
      <c r="P773" s="459"/>
    </row>
    <row r="774" ht="15.75" customHeight="1">
      <c r="P774" s="459"/>
    </row>
    <row r="775" ht="15.75" customHeight="1">
      <c r="P775" s="459"/>
    </row>
    <row r="776" ht="15.75" customHeight="1">
      <c r="P776" s="459"/>
    </row>
    <row r="777" ht="15.75" customHeight="1">
      <c r="P777" s="459"/>
    </row>
    <row r="778" ht="15.75" customHeight="1">
      <c r="P778" s="459"/>
    </row>
    <row r="779" ht="15.75" customHeight="1">
      <c r="P779" s="459"/>
    </row>
    <row r="780" ht="15.75" customHeight="1">
      <c r="P780" s="459"/>
    </row>
    <row r="781" ht="15.75" customHeight="1">
      <c r="P781" s="459"/>
    </row>
    <row r="782" ht="15.75" customHeight="1">
      <c r="P782" s="459"/>
    </row>
    <row r="783" ht="15.75" customHeight="1">
      <c r="P783" s="459"/>
    </row>
    <row r="784" ht="15.75" customHeight="1">
      <c r="P784" s="459"/>
    </row>
    <row r="785" ht="15.75" customHeight="1">
      <c r="P785" s="459"/>
    </row>
    <row r="786" ht="15.75" customHeight="1">
      <c r="P786" s="459"/>
    </row>
    <row r="787" ht="15.75" customHeight="1">
      <c r="P787" s="459"/>
    </row>
    <row r="788" ht="15.75" customHeight="1">
      <c r="P788" s="459"/>
    </row>
    <row r="789" ht="15.75" customHeight="1">
      <c r="P789" s="459"/>
    </row>
    <row r="790" ht="15.75" customHeight="1">
      <c r="P790" s="459"/>
    </row>
    <row r="791" ht="15.75" customHeight="1">
      <c r="P791" s="459"/>
    </row>
    <row r="792" ht="15.75" customHeight="1">
      <c r="P792" s="459"/>
    </row>
    <row r="793" ht="15.75" customHeight="1">
      <c r="P793" s="459"/>
    </row>
    <row r="794" ht="15.75" customHeight="1">
      <c r="P794" s="459"/>
    </row>
    <row r="795" ht="15.75" customHeight="1">
      <c r="P795" s="459"/>
    </row>
    <row r="796" ht="15.75" customHeight="1">
      <c r="P796" s="459"/>
    </row>
    <row r="797" ht="15.75" customHeight="1">
      <c r="P797" s="459"/>
    </row>
    <row r="798" ht="15.75" customHeight="1">
      <c r="P798" s="459"/>
    </row>
    <row r="799" ht="15.75" customHeight="1">
      <c r="P799" s="459"/>
    </row>
    <row r="800" ht="15.75" customHeight="1">
      <c r="P800" s="459"/>
    </row>
    <row r="801" ht="15.75" customHeight="1">
      <c r="P801" s="459"/>
    </row>
    <row r="802" ht="15.75" customHeight="1">
      <c r="P802" s="459"/>
    </row>
    <row r="803" ht="15.75" customHeight="1">
      <c r="P803" s="459"/>
    </row>
    <row r="804" ht="15.75" customHeight="1">
      <c r="P804" s="459"/>
    </row>
    <row r="805" ht="15.75" customHeight="1">
      <c r="P805" s="459"/>
    </row>
    <row r="806" ht="15.75" customHeight="1">
      <c r="P806" s="459"/>
    </row>
    <row r="807" ht="15.75" customHeight="1">
      <c r="P807" s="459"/>
    </row>
    <row r="808" ht="15.75" customHeight="1">
      <c r="P808" s="459"/>
    </row>
    <row r="809" ht="15.75" customHeight="1">
      <c r="P809" s="459"/>
    </row>
    <row r="810" ht="15.75" customHeight="1">
      <c r="P810" s="459"/>
    </row>
    <row r="811" ht="15.75" customHeight="1">
      <c r="P811" s="459"/>
    </row>
    <row r="812" ht="15.75" customHeight="1">
      <c r="P812" s="459"/>
    </row>
    <row r="813" ht="15.75" customHeight="1">
      <c r="P813" s="459"/>
    </row>
    <row r="814" ht="15.75" customHeight="1">
      <c r="P814" s="459"/>
    </row>
    <row r="815" ht="15.75" customHeight="1">
      <c r="P815" s="459"/>
    </row>
    <row r="816" ht="15.75" customHeight="1">
      <c r="P816" s="459"/>
    </row>
    <row r="817" ht="15.75" customHeight="1">
      <c r="P817" s="459"/>
    </row>
    <row r="818" ht="15.75" customHeight="1">
      <c r="P818" s="459"/>
    </row>
    <row r="819" ht="15.75" customHeight="1">
      <c r="P819" s="459"/>
    </row>
    <row r="820" ht="15.75" customHeight="1">
      <c r="P820" s="459"/>
    </row>
    <row r="821" ht="15.75" customHeight="1">
      <c r="P821" s="459"/>
    </row>
    <row r="822" ht="15.75" customHeight="1">
      <c r="P822" s="459"/>
    </row>
    <row r="823" ht="15.75" customHeight="1">
      <c r="P823" s="459"/>
    </row>
    <row r="824" ht="15.75" customHeight="1">
      <c r="P824" s="459"/>
    </row>
    <row r="825" ht="15.75" customHeight="1">
      <c r="P825" s="459"/>
    </row>
    <row r="826" ht="15.75" customHeight="1">
      <c r="P826" s="459"/>
    </row>
    <row r="827" ht="15.75" customHeight="1">
      <c r="P827" s="459"/>
    </row>
    <row r="828" ht="15.75" customHeight="1">
      <c r="P828" s="459"/>
    </row>
    <row r="829" ht="15.75" customHeight="1">
      <c r="P829" s="459"/>
    </row>
    <row r="830" ht="15.75" customHeight="1">
      <c r="P830" s="459"/>
    </row>
    <row r="831" ht="15.75" customHeight="1">
      <c r="P831" s="459"/>
    </row>
    <row r="832" ht="15.75" customHeight="1">
      <c r="P832" s="459"/>
    </row>
    <row r="833" ht="15.75" customHeight="1">
      <c r="P833" s="459"/>
    </row>
    <row r="834" ht="15.75" customHeight="1">
      <c r="P834" s="459"/>
    </row>
    <row r="835" ht="15.75" customHeight="1">
      <c r="P835" s="459"/>
    </row>
    <row r="836" ht="15.75" customHeight="1">
      <c r="P836" s="459"/>
    </row>
    <row r="837" ht="15.75" customHeight="1">
      <c r="P837" s="459"/>
    </row>
    <row r="838" ht="15.75" customHeight="1">
      <c r="P838" s="459"/>
    </row>
    <row r="839" ht="15.75" customHeight="1">
      <c r="P839" s="459"/>
    </row>
    <row r="840" ht="15.75" customHeight="1">
      <c r="P840" s="459"/>
    </row>
    <row r="841" ht="15.75" customHeight="1">
      <c r="P841" s="459"/>
    </row>
    <row r="842" ht="15.75" customHeight="1">
      <c r="P842" s="459"/>
    </row>
    <row r="843" ht="15.75" customHeight="1">
      <c r="P843" s="459"/>
    </row>
    <row r="844" ht="15.75" customHeight="1">
      <c r="P844" s="459"/>
    </row>
    <row r="845" ht="15.75" customHeight="1">
      <c r="P845" s="459"/>
    </row>
    <row r="846" ht="15.75" customHeight="1">
      <c r="P846" s="459"/>
    </row>
    <row r="847" ht="15.75" customHeight="1">
      <c r="P847" s="459"/>
    </row>
    <row r="848" ht="15.75" customHeight="1">
      <c r="P848" s="459"/>
    </row>
    <row r="849" ht="15.75" customHeight="1">
      <c r="P849" s="459"/>
    </row>
    <row r="850" ht="15.75" customHeight="1">
      <c r="P850" s="459"/>
    </row>
    <row r="851" ht="15.75" customHeight="1">
      <c r="P851" s="459"/>
    </row>
    <row r="852" ht="15.75" customHeight="1">
      <c r="P852" s="459"/>
    </row>
    <row r="853" ht="15.75" customHeight="1">
      <c r="P853" s="459"/>
    </row>
    <row r="854" ht="15.75" customHeight="1">
      <c r="P854" s="459"/>
    </row>
    <row r="855" ht="15.75" customHeight="1">
      <c r="P855" s="459"/>
    </row>
    <row r="856" ht="15.75" customHeight="1">
      <c r="P856" s="459"/>
    </row>
    <row r="857" ht="15.75" customHeight="1">
      <c r="P857" s="459"/>
    </row>
    <row r="858" ht="15.75" customHeight="1">
      <c r="P858" s="459"/>
    </row>
    <row r="859" ht="15.75" customHeight="1">
      <c r="P859" s="459"/>
    </row>
    <row r="860" ht="15.75" customHeight="1">
      <c r="P860" s="459"/>
    </row>
    <row r="861" ht="15.75" customHeight="1">
      <c r="P861" s="459"/>
    </row>
    <row r="862" ht="15.75" customHeight="1">
      <c r="P862" s="459"/>
    </row>
    <row r="863" ht="15.75" customHeight="1">
      <c r="P863" s="459"/>
    </row>
    <row r="864" ht="15.75" customHeight="1">
      <c r="P864" s="459"/>
    </row>
    <row r="865" ht="15.75" customHeight="1">
      <c r="P865" s="459"/>
    </row>
    <row r="866" ht="15.75" customHeight="1">
      <c r="P866" s="459"/>
    </row>
    <row r="867" ht="15.75" customHeight="1">
      <c r="P867" s="459"/>
    </row>
    <row r="868" ht="15.75" customHeight="1">
      <c r="P868" s="459"/>
    </row>
    <row r="869" ht="15.75" customHeight="1">
      <c r="P869" s="459"/>
    </row>
    <row r="870" ht="15.75" customHeight="1">
      <c r="P870" s="459"/>
    </row>
    <row r="871" ht="15.75" customHeight="1">
      <c r="P871" s="459"/>
    </row>
    <row r="872" ht="15.75" customHeight="1">
      <c r="P872" s="459"/>
    </row>
    <row r="873" ht="15.75" customHeight="1">
      <c r="P873" s="459"/>
    </row>
    <row r="874" ht="15.75" customHeight="1">
      <c r="P874" s="459"/>
    </row>
    <row r="875" ht="15.75" customHeight="1">
      <c r="P875" s="459"/>
    </row>
    <row r="876" ht="15.75" customHeight="1">
      <c r="P876" s="459"/>
    </row>
    <row r="877" ht="15.75" customHeight="1">
      <c r="P877" s="459"/>
    </row>
    <row r="878" ht="15.75" customHeight="1">
      <c r="P878" s="459"/>
    </row>
    <row r="879" ht="15.75" customHeight="1">
      <c r="P879" s="459"/>
    </row>
    <row r="880" ht="15.75" customHeight="1">
      <c r="P880" s="459"/>
    </row>
    <row r="881" ht="15.75" customHeight="1">
      <c r="P881" s="459"/>
    </row>
    <row r="882" ht="15.75" customHeight="1">
      <c r="P882" s="459"/>
    </row>
    <row r="883" ht="15.75" customHeight="1">
      <c r="P883" s="459"/>
    </row>
    <row r="884" ht="15.75" customHeight="1">
      <c r="P884" s="459"/>
    </row>
    <row r="885" ht="15.75" customHeight="1">
      <c r="P885" s="459"/>
    </row>
    <row r="886" ht="15.75" customHeight="1">
      <c r="P886" s="459"/>
    </row>
    <row r="887" ht="15.75" customHeight="1">
      <c r="P887" s="459"/>
    </row>
    <row r="888" ht="15.75" customHeight="1">
      <c r="P888" s="459"/>
    </row>
    <row r="889" ht="15.75" customHeight="1">
      <c r="P889" s="459"/>
    </row>
    <row r="890" ht="15.75" customHeight="1">
      <c r="P890" s="459"/>
    </row>
    <row r="891" ht="15.75" customHeight="1">
      <c r="P891" s="459"/>
    </row>
    <row r="892" ht="15.75" customHeight="1">
      <c r="P892" s="459"/>
    </row>
    <row r="893" ht="15.75" customHeight="1">
      <c r="P893" s="459"/>
    </row>
    <row r="894" ht="15.75" customHeight="1">
      <c r="P894" s="459"/>
    </row>
    <row r="895" ht="15.75" customHeight="1">
      <c r="P895" s="459"/>
    </row>
    <row r="896" ht="15.75" customHeight="1">
      <c r="P896" s="459"/>
    </row>
    <row r="897" ht="15.75" customHeight="1">
      <c r="P897" s="459"/>
    </row>
    <row r="898" ht="15.75" customHeight="1">
      <c r="P898" s="459"/>
    </row>
    <row r="899" ht="15.75" customHeight="1">
      <c r="P899" s="459"/>
    </row>
    <row r="900" ht="15.75" customHeight="1">
      <c r="P900" s="459"/>
    </row>
    <row r="901" ht="15.75" customHeight="1">
      <c r="P901" s="459"/>
    </row>
    <row r="902" ht="15.75" customHeight="1">
      <c r="P902" s="459"/>
    </row>
    <row r="903" ht="15.75" customHeight="1">
      <c r="P903" s="459"/>
    </row>
    <row r="904" ht="15.75" customHeight="1">
      <c r="P904" s="459"/>
    </row>
    <row r="905" ht="15.75" customHeight="1">
      <c r="P905" s="459"/>
    </row>
    <row r="906" ht="15.75" customHeight="1">
      <c r="P906" s="459"/>
    </row>
    <row r="907" ht="15.75" customHeight="1">
      <c r="P907" s="459"/>
    </row>
    <row r="908" ht="15.75" customHeight="1">
      <c r="P908" s="459"/>
    </row>
    <row r="909" ht="15.75" customHeight="1">
      <c r="P909" s="459"/>
    </row>
    <row r="910" ht="15.75" customHeight="1">
      <c r="P910" s="459"/>
    </row>
    <row r="911" ht="15.75" customHeight="1">
      <c r="P911" s="459"/>
    </row>
    <row r="912" ht="15.75" customHeight="1">
      <c r="P912" s="459"/>
    </row>
    <row r="913" ht="15.75" customHeight="1">
      <c r="P913" s="459"/>
    </row>
    <row r="914" ht="15.75" customHeight="1">
      <c r="P914" s="459"/>
    </row>
    <row r="915" ht="15.75" customHeight="1">
      <c r="P915" s="459"/>
    </row>
    <row r="916" ht="15.75" customHeight="1">
      <c r="P916" s="459"/>
    </row>
    <row r="917" ht="15.75" customHeight="1">
      <c r="P917" s="459"/>
    </row>
    <row r="918" ht="15.75" customHeight="1">
      <c r="P918" s="459"/>
    </row>
    <row r="919" ht="15.75" customHeight="1">
      <c r="P919" s="459"/>
    </row>
    <row r="920" ht="15.75" customHeight="1">
      <c r="P920" s="459"/>
    </row>
    <row r="921" ht="15.75" customHeight="1">
      <c r="P921" s="459"/>
    </row>
    <row r="922" ht="15.75" customHeight="1">
      <c r="P922" s="459"/>
    </row>
    <row r="923" ht="15.75" customHeight="1">
      <c r="P923" s="459"/>
    </row>
    <row r="924" ht="15.75" customHeight="1">
      <c r="P924" s="459"/>
    </row>
    <row r="925" ht="15.75" customHeight="1">
      <c r="P925" s="459"/>
    </row>
    <row r="926" ht="15.75" customHeight="1">
      <c r="P926" s="459"/>
    </row>
    <row r="927" ht="15.75" customHeight="1">
      <c r="P927" s="459"/>
    </row>
    <row r="928" ht="15.75" customHeight="1">
      <c r="P928" s="459"/>
    </row>
    <row r="929" ht="15.75" customHeight="1">
      <c r="P929" s="459"/>
    </row>
    <row r="930" ht="15.75" customHeight="1">
      <c r="P930" s="459"/>
    </row>
    <row r="931" ht="15.75" customHeight="1">
      <c r="P931" s="459"/>
    </row>
    <row r="932" ht="15.75" customHeight="1">
      <c r="P932" s="459"/>
    </row>
    <row r="933" ht="15.75" customHeight="1">
      <c r="P933" s="459"/>
    </row>
    <row r="934" ht="15.75" customHeight="1">
      <c r="P934" s="459"/>
    </row>
    <row r="935" ht="15.75" customHeight="1">
      <c r="P935" s="459"/>
    </row>
    <row r="936" ht="15.75" customHeight="1">
      <c r="P936" s="459"/>
    </row>
    <row r="937" ht="15.75" customHeight="1">
      <c r="P937" s="459"/>
    </row>
    <row r="938" ht="15.75" customHeight="1">
      <c r="P938" s="459"/>
    </row>
    <row r="939" ht="15.75" customHeight="1">
      <c r="P939" s="459"/>
    </row>
    <row r="940" ht="15.75" customHeight="1">
      <c r="P940" s="459"/>
    </row>
    <row r="941" ht="15.75" customHeight="1">
      <c r="P941" s="459"/>
    </row>
    <row r="942" ht="15.75" customHeight="1">
      <c r="P942" s="459"/>
    </row>
    <row r="943" ht="15.75" customHeight="1">
      <c r="P943" s="459"/>
    </row>
    <row r="944" ht="15.75" customHeight="1">
      <c r="P944" s="459"/>
    </row>
    <row r="945" ht="15.75" customHeight="1">
      <c r="P945" s="459"/>
    </row>
    <row r="946" ht="15.75" customHeight="1">
      <c r="P946" s="459"/>
    </row>
    <row r="947" ht="15.75" customHeight="1">
      <c r="P947" s="459"/>
    </row>
    <row r="948" ht="15.75" customHeight="1">
      <c r="P948" s="459"/>
    </row>
    <row r="949" ht="15.75" customHeight="1">
      <c r="P949" s="459"/>
    </row>
    <row r="950" ht="15.75" customHeight="1">
      <c r="P950" s="459"/>
    </row>
    <row r="951" ht="15.75" customHeight="1">
      <c r="P951" s="459"/>
    </row>
    <row r="952" ht="15.75" customHeight="1">
      <c r="P952" s="459"/>
    </row>
    <row r="953" ht="15.75" customHeight="1">
      <c r="P953" s="459"/>
    </row>
    <row r="954" ht="15.75" customHeight="1">
      <c r="P954" s="459"/>
    </row>
    <row r="955" ht="15.75" customHeight="1">
      <c r="P955" s="459"/>
    </row>
    <row r="956" ht="15.75" customHeight="1">
      <c r="P956" s="459"/>
    </row>
    <row r="957" ht="15.75" customHeight="1">
      <c r="P957" s="459"/>
    </row>
    <row r="958" ht="15.75" customHeight="1">
      <c r="P958" s="459"/>
    </row>
    <row r="959" ht="15.75" customHeight="1">
      <c r="P959" s="459"/>
    </row>
    <row r="960" ht="15.75" customHeight="1">
      <c r="P960" s="459"/>
    </row>
    <row r="961" ht="15.75" customHeight="1">
      <c r="P961" s="459"/>
    </row>
    <row r="962" ht="15.75" customHeight="1">
      <c r="P962" s="459"/>
    </row>
    <row r="963" ht="15.75" customHeight="1">
      <c r="P963" s="459"/>
    </row>
    <row r="964" ht="15.75" customHeight="1">
      <c r="P964" s="459"/>
    </row>
    <row r="965" ht="15.75" customHeight="1">
      <c r="P965" s="459"/>
    </row>
    <row r="966" ht="15.75" customHeight="1">
      <c r="P966" s="459"/>
    </row>
    <row r="967" ht="15.75" customHeight="1">
      <c r="P967" s="459"/>
    </row>
    <row r="968" ht="15.75" customHeight="1">
      <c r="P968" s="459"/>
    </row>
    <row r="969" ht="15.75" customHeight="1">
      <c r="P969" s="459"/>
    </row>
    <row r="970" ht="15.75" customHeight="1">
      <c r="P970" s="459"/>
    </row>
    <row r="971" ht="15.75" customHeight="1">
      <c r="P971" s="459"/>
    </row>
  </sheetData>
  <mergeCells count="154">
    <mergeCell ref="A1:S1"/>
    <mergeCell ref="B2:C2"/>
    <mergeCell ref="B3:C3"/>
    <mergeCell ref="D3:F3"/>
    <mergeCell ref="G3:H3"/>
    <mergeCell ref="I3:K3"/>
    <mergeCell ref="L3:M3"/>
    <mergeCell ref="G5:H5"/>
    <mergeCell ref="I5:K5"/>
    <mergeCell ref="I6:K6"/>
    <mergeCell ref="L6:M6"/>
    <mergeCell ref="I7:K7"/>
    <mergeCell ref="L7:M7"/>
    <mergeCell ref="B4:C4"/>
    <mergeCell ref="D4:F4"/>
    <mergeCell ref="G4:H4"/>
    <mergeCell ref="I4:K4"/>
    <mergeCell ref="L4:M4"/>
    <mergeCell ref="D5:F5"/>
    <mergeCell ref="L5:M5"/>
    <mergeCell ref="B5:C5"/>
    <mergeCell ref="B6:C6"/>
    <mergeCell ref="D6:F6"/>
    <mergeCell ref="G6:H6"/>
    <mergeCell ref="B7:C7"/>
    <mergeCell ref="D7:F7"/>
    <mergeCell ref="G7:H7"/>
    <mergeCell ref="G9:H9"/>
    <mergeCell ref="I9:K9"/>
    <mergeCell ref="I10:K10"/>
    <mergeCell ref="L10:M10"/>
    <mergeCell ref="I11:K11"/>
    <mergeCell ref="L11:M11"/>
    <mergeCell ref="B8:C8"/>
    <mergeCell ref="D8:F8"/>
    <mergeCell ref="G8:H8"/>
    <mergeCell ref="I8:K8"/>
    <mergeCell ref="L8:M8"/>
    <mergeCell ref="D9:F9"/>
    <mergeCell ref="L9:M9"/>
    <mergeCell ref="B9:C9"/>
    <mergeCell ref="B10:C10"/>
    <mergeCell ref="D10:F10"/>
    <mergeCell ref="G10:H10"/>
    <mergeCell ref="B11:C11"/>
    <mergeCell ref="D11:F11"/>
    <mergeCell ref="G11:H11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45:C45"/>
    <mergeCell ref="B46:C46"/>
    <mergeCell ref="B47:C47"/>
    <mergeCell ref="B48:C48"/>
    <mergeCell ref="B49:C49"/>
    <mergeCell ref="B38:C38"/>
    <mergeCell ref="B39:C39"/>
    <mergeCell ref="B40:C40"/>
    <mergeCell ref="B41:C41"/>
    <mergeCell ref="B42:C42"/>
    <mergeCell ref="B43:C43"/>
    <mergeCell ref="B44:C44"/>
    <mergeCell ref="J25:K25"/>
    <mergeCell ref="L25:M25"/>
    <mergeCell ref="H23:I23"/>
    <mergeCell ref="J23:K23"/>
    <mergeCell ref="L23:M23"/>
    <mergeCell ref="H24:I24"/>
    <mergeCell ref="J24:K24"/>
    <mergeCell ref="L24:M24"/>
    <mergeCell ref="H25:I25"/>
    <mergeCell ref="J28:K28"/>
    <mergeCell ref="L28:M28"/>
    <mergeCell ref="H26:I26"/>
    <mergeCell ref="J26:K26"/>
    <mergeCell ref="L26:M26"/>
    <mergeCell ref="H27:I27"/>
    <mergeCell ref="J27:K27"/>
    <mergeCell ref="L27:M27"/>
    <mergeCell ref="H28:I28"/>
    <mergeCell ref="J32:K32"/>
    <mergeCell ref="L32:M32"/>
    <mergeCell ref="H30:I30"/>
    <mergeCell ref="J30:K30"/>
    <mergeCell ref="L30:M30"/>
    <mergeCell ref="H31:I31"/>
    <mergeCell ref="J31:K31"/>
    <mergeCell ref="L31:M31"/>
    <mergeCell ref="H32:I32"/>
    <mergeCell ref="G13:H13"/>
    <mergeCell ref="I13:K13"/>
    <mergeCell ref="I14:K14"/>
    <mergeCell ref="L14:M14"/>
    <mergeCell ref="I15:K15"/>
    <mergeCell ref="L15:M15"/>
    <mergeCell ref="B12:C12"/>
    <mergeCell ref="D12:F12"/>
    <mergeCell ref="G12:H12"/>
    <mergeCell ref="I12:K12"/>
    <mergeCell ref="L12:M12"/>
    <mergeCell ref="D13:F13"/>
    <mergeCell ref="L13:M13"/>
    <mergeCell ref="B13:C13"/>
    <mergeCell ref="B14:C14"/>
    <mergeCell ref="D14:F14"/>
    <mergeCell ref="G14:H14"/>
    <mergeCell ref="B15:C15"/>
    <mergeCell ref="D15:F15"/>
    <mergeCell ref="G15:H15"/>
    <mergeCell ref="B16:C16"/>
    <mergeCell ref="D16:F16"/>
    <mergeCell ref="G16:H16"/>
    <mergeCell ref="I16:K16"/>
    <mergeCell ref="L16:M16"/>
    <mergeCell ref="D17:F17"/>
    <mergeCell ref="L17:M17"/>
    <mergeCell ref="G17:H17"/>
    <mergeCell ref="I17:K17"/>
    <mergeCell ref="H19:I19"/>
    <mergeCell ref="J19:K19"/>
    <mergeCell ref="L19:M19"/>
    <mergeCell ref="J20:K20"/>
    <mergeCell ref="L20:M20"/>
    <mergeCell ref="H20:I20"/>
    <mergeCell ref="H21:I21"/>
    <mergeCell ref="J21:K21"/>
    <mergeCell ref="L21:M21"/>
    <mergeCell ref="H22:I22"/>
    <mergeCell ref="J22:K22"/>
    <mergeCell ref="L22:M22"/>
    <mergeCell ref="H33:I33"/>
    <mergeCell ref="J33:K33"/>
    <mergeCell ref="L33:M33"/>
    <mergeCell ref="H34:I34"/>
    <mergeCell ref="J34:K34"/>
    <mergeCell ref="L34:M34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17.86"/>
    <col customWidth="1" min="4" max="4" width="63.29"/>
    <col customWidth="1" hidden="1" min="5" max="5" width="5.57"/>
    <col customWidth="1" hidden="1" min="6" max="6" width="17.71"/>
    <col customWidth="1" hidden="1" min="7" max="7" width="8.29"/>
    <col customWidth="1" hidden="1" min="8" max="8" width="12.0"/>
    <col customWidth="1" hidden="1" min="9" max="9" width="15.14"/>
    <col customWidth="1" hidden="1" min="10" max="10" width="10.29"/>
    <col customWidth="1" hidden="1" min="11" max="11" width="11.57"/>
    <col customWidth="1" hidden="1" min="12" max="12" width="14.0"/>
    <col customWidth="1" hidden="1" min="13" max="13" width="11.71"/>
    <col customWidth="1" hidden="1" min="14" max="14" width="26.0"/>
    <col customWidth="1" min="15" max="15" width="16.86"/>
    <col customWidth="1" min="16" max="16" width="12.86"/>
    <col customWidth="1" min="17" max="17" width="15.71"/>
    <col customWidth="1" min="18" max="18" width="8.71"/>
    <col customWidth="1" min="19" max="19" width="10.57"/>
    <col customWidth="1" min="20" max="26" width="8.71"/>
  </cols>
  <sheetData>
    <row r="1" ht="57.75" customHeight="1">
      <c r="A1" s="460"/>
      <c r="B1" s="424"/>
      <c r="C1" s="424"/>
      <c r="R1" s="372"/>
      <c r="S1" s="461"/>
    </row>
    <row r="2" ht="35.25" customHeight="1">
      <c r="A2" s="124" t="s">
        <v>831</v>
      </c>
      <c r="B2" s="126"/>
      <c r="C2" s="125" t="s">
        <v>16</v>
      </c>
      <c r="D2" s="35"/>
      <c r="E2" s="126"/>
      <c r="F2" s="462" t="s">
        <v>395</v>
      </c>
      <c r="G2" s="126"/>
      <c r="H2" s="126" t="s">
        <v>1023</v>
      </c>
      <c r="I2" s="126"/>
      <c r="J2" s="126"/>
      <c r="K2" s="126" t="s">
        <v>1024</v>
      </c>
      <c r="L2" s="425" t="s">
        <v>1025</v>
      </c>
      <c r="M2" s="425" t="s">
        <v>837</v>
      </c>
      <c r="N2" s="426" t="s">
        <v>838</v>
      </c>
      <c r="O2" s="128" t="s">
        <v>263</v>
      </c>
      <c r="P2" s="126"/>
      <c r="Q2" s="463" t="s">
        <v>24</v>
      </c>
      <c r="R2" s="464" t="s">
        <v>25</v>
      </c>
      <c r="S2" s="465" t="s">
        <v>26</v>
      </c>
    </row>
    <row r="3" ht="15.75" customHeight="1">
      <c r="A3" s="136" t="s">
        <v>1026</v>
      </c>
      <c r="B3" s="466">
        <f t="shared" ref="B3:B89" si="1">(Q3*100)/121</f>
        <v>4198</v>
      </c>
      <c r="C3" s="138" t="s">
        <v>1027</v>
      </c>
      <c r="D3" s="35"/>
      <c r="E3" s="136"/>
      <c r="F3" s="467">
        <v>140.0</v>
      </c>
      <c r="G3" s="35"/>
      <c r="M3" s="389">
        <f t="shared" ref="M3:M89" si="2">N3/1.21</f>
        <v>2099</v>
      </c>
      <c r="N3" s="132">
        <v>2539.79</v>
      </c>
      <c r="O3" s="468">
        <f t="shared" ref="O3:O18" si="3">N3/(1-0.45)</f>
        <v>4617.8</v>
      </c>
      <c r="P3" s="469" t="s">
        <v>1028</v>
      </c>
      <c r="Q3" s="470">
        <f t="shared" ref="Q3:Q18" si="4">N3/(1-0.5)</f>
        <v>5079.58</v>
      </c>
      <c r="R3" s="448">
        <v>1.0</v>
      </c>
      <c r="S3" s="471">
        <f t="shared" ref="S3:S86" si="5">F3-R3</f>
        <v>139</v>
      </c>
    </row>
    <row r="4" ht="15.75" customHeight="1">
      <c r="A4" s="472" t="s">
        <v>1029</v>
      </c>
      <c r="B4" s="466">
        <f t="shared" si="1"/>
        <v>349.8181818</v>
      </c>
      <c r="C4" s="436" t="s">
        <v>1030</v>
      </c>
      <c r="D4" s="35"/>
      <c r="E4" s="136"/>
      <c r="F4" s="467">
        <v>480.0</v>
      </c>
      <c r="G4" s="35"/>
      <c r="M4" s="473">
        <f t="shared" si="2"/>
        <v>174.9090909</v>
      </c>
      <c r="N4" s="132">
        <v>211.64</v>
      </c>
      <c r="O4" s="468">
        <f t="shared" si="3"/>
        <v>384.8</v>
      </c>
      <c r="P4" s="474"/>
      <c r="Q4" s="470">
        <f t="shared" si="4"/>
        <v>423.28</v>
      </c>
      <c r="R4" s="448">
        <v>19.0</v>
      </c>
      <c r="S4" s="471">
        <f t="shared" si="5"/>
        <v>461</v>
      </c>
    </row>
    <row r="5" ht="15.75" customHeight="1">
      <c r="A5" s="136" t="s">
        <v>1031</v>
      </c>
      <c r="B5" s="466">
        <f t="shared" si="1"/>
        <v>4198</v>
      </c>
      <c r="C5" s="138" t="s">
        <v>1032</v>
      </c>
      <c r="D5" s="35"/>
      <c r="E5" s="136"/>
      <c r="F5" s="467">
        <v>140.0</v>
      </c>
      <c r="G5" s="35"/>
      <c r="M5" s="473">
        <f t="shared" si="2"/>
        <v>2099</v>
      </c>
      <c r="N5" s="132">
        <v>2539.79</v>
      </c>
      <c r="O5" s="468">
        <f t="shared" si="3"/>
        <v>4617.8</v>
      </c>
      <c r="P5" s="469" t="s">
        <v>1028</v>
      </c>
      <c r="Q5" s="470">
        <f t="shared" si="4"/>
        <v>5079.58</v>
      </c>
      <c r="R5" s="434"/>
      <c r="S5" s="471">
        <f t="shared" si="5"/>
        <v>140</v>
      </c>
    </row>
    <row r="6" ht="15.75" customHeight="1">
      <c r="A6" s="472" t="s">
        <v>1033</v>
      </c>
      <c r="B6" s="466">
        <f t="shared" si="1"/>
        <v>349.8181818</v>
      </c>
      <c r="C6" s="436" t="s">
        <v>1034</v>
      </c>
      <c r="D6" s="35"/>
      <c r="E6" s="136"/>
      <c r="F6" s="467">
        <v>480.0</v>
      </c>
      <c r="G6" s="35"/>
      <c r="M6" s="473">
        <f t="shared" si="2"/>
        <v>174.9090909</v>
      </c>
      <c r="N6" s="132">
        <v>211.64</v>
      </c>
      <c r="O6" s="468">
        <f t="shared" si="3"/>
        <v>384.8</v>
      </c>
      <c r="P6" s="423"/>
      <c r="Q6" s="470">
        <f t="shared" si="4"/>
        <v>423.28</v>
      </c>
      <c r="R6" s="448">
        <v>2.0</v>
      </c>
      <c r="S6" s="471">
        <f t="shared" si="5"/>
        <v>478</v>
      </c>
    </row>
    <row r="7" ht="16.5" customHeight="1">
      <c r="A7" s="136" t="s">
        <v>1035</v>
      </c>
      <c r="B7" s="466">
        <f t="shared" si="1"/>
        <v>17132.42975</v>
      </c>
      <c r="C7" s="150" t="s">
        <v>1036</v>
      </c>
      <c r="D7" s="35"/>
      <c r="E7" s="136"/>
      <c r="F7" s="135">
        <v>5.0</v>
      </c>
      <c r="G7" s="35"/>
      <c r="M7" s="473">
        <f t="shared" si="2"/>
        <v>8566.214876</v>
      </c>
      <c r="N7" s="132">
        <v>10365.12</v>
      </c>
      <c r="O7" s="468">
        <f t="shared" si="3"/>
        <v>18845.67273</v>
      </c>
      <c r="Q7" s="470">
        <f t="shared" si="4"/>
        <v>20730.24</v>
      </c>
      <c r="R7" s="448">
        <v>5.0</v>
      </c>
      <c r="S7" s="471">
        <f t="shared" si="5"/>
        <v>0</v>
      </c>
    </row>
    <row r="8" ht="15.75" customHeight="1">
      <c r="A8" s="136" t="s">
        <v>1037</v>
      </c>
      <c r="B8" s="466">
        <f t="shared" si="1"/>
        <v>25540.04959</v>
      </c>
      <c r="C8" s="150" t="s">
        <v>1038</v>
      </c>
      <c r="D8" s="35"/>
      <c r="E8" s="136"/>
      <c r="F8" s="135">
        <v>15.0</v>
      </c>
      <c r="G8" s="35"/>
      <c r="M8" s="473">
        <f t="shared" si="2"/>
        <v>12770.02479</v>
      </c>
      <c r="N8" s="132">
        <v>15451.73</v>
      </c>
      <c r="O8" s="468">
        <f t="shared" si="3"/>
        <v>28094.05455</v>
      </c>
      <c r="Q8" s="470">
        <f t="shared" si="4"/>
        <v>30903.46</v>
      </c>
      <c r="R8" s="448">
        <v>15.0</v>
      </c>
      <c r="S8" s="471">
        <f t="shared" si="5"/>
        <v>0</v>
      </c>
    </row>
    <row r="9" ht="15.75" customHeight="1">
      <c r="A9" s="136" t="s">
        <v>1039</v>
      </c>
      <c r="B9" s="466">
        <f t="shared" si="1"/>
        <v>34592.09917</v>
      </c>
      <c r="C9" s="150" t="s">
        <v>1040</v>
      </c>
      <c r="D9" s="35"/>
      <c r="E9" s="136"/>
      <c r="F9" s="135">
        <v>5.0</v>
      </c>
      <c r="G9" s="35"/>
      <c r="M9" s="473">
        <f t="shared" si="2"/>
        <v>17296.04959</v>
      </c>
      <c r="N9" s="132">
        <v>20928.22</v>
      </c>
      <c r="O9" s="468">
        <f t="shared" si="3"/>
        <v>38051.30909</v>
      </c>
      <c r="Q9" s="470">
        <f t="shared" si="4"/>
        <v>41856.44</v>
      </c>
      <c r="R9" s="448">
        <v>5.0</v>
      </c>
      <c r="S9" s="471">
        <f t="shared" si="5"/>
        <v>0</v>
      </c>
    </row>
    <row r="10" ht="15.75" customHeight="1">
      <c r="A10" s="136" t="s">
        <v>1041</v>
      </c>
      <c r="B10" s="466">
        <f t="shared" si="1"/>
        <v>50553.93388</v>
      </c>
      <c r="C10" s="150" t="s">
        <v>1042</v>
      </c>
      <c r="D10" s="35"/>
      <c r="E10" s="136"/>
      <c r="F10" s="135">
        <v>5.0</v>
      </c>
      <c r="G10" s="35"/>
      <c r="M10" s="473">
        <f t="shared" si="2"/>
        <v>25276.96694</v>
      </c>
      <c r="N10" s="132">
        <v>30585.13</v>
      </c>
      <c r="O10" s="468">
        <f t="shared" si="3"/>
        <v>55609.32727</v>
      </c>
      <c r="Q10" s="470">
        <f t="shared" si="4"/>
        <v>61170.26</v>
      </c>
      <c r="R10" s="448">
        <v>5.0</v>
      </c>
      <c r="S10" s="471">
        <f t="shared" si="5"/>
        <v>0</v>
      </c>
    </row>
    <row r="11" ht="15.75" customHeight="1">
      <c r="A11" s="136" t="s">
        <v>1043</v>
      </c>
      <c r="B11" s="466">
        <f t="shared" si="1"/>
        <v>23692.04959</v>
      </c>
      <c r="C11" s="150" t="s">
        <v>1044</v>
      </c>
      <c r="D11" s="35"/>
      <c r="E11" s="136"/>
      <c r="F11" s="135">
        <v>5.0</v>
      </c>
      <c r="G11" s="35"/>
      <c r="M11" s="473">
        <f t="shared" si="2"/>
        <v>11846.02479</v>
      </c>
      <c r="N11" s="132">
        <v>14333.69</v>
      </c>
      <c r="O11" s="468">
        <f t="shared" si="3"/>
        <v>26061.25455</v>
      </c>
      <c r="Q11" s="470">
        <f t="shared" si="4"/>
        <v>28667.38</v>
      </c>
      <c r="R11" s="448">
        <v>5.0</v>
      </c>
      <c r="S11" s="471">
        <f t="shared" si="5"/>
        <v>0</v>
      </c>
    </row>
    <row r="12" ht="15.75" customHeight="1">
      <c r="A12" s="136" t="s">
        <v>1045</v>
      </c>
      <c r="B12" s="466">
        <f t="shared" si="1"/>
        <v>33820.21488</v>
      </c>
      <c r="C12" s="150" t="s">
        <v>1046</v>
      </c>
      <c r="D12" s="35"/>
      <c r="E12" s="136"/>
      <c r="F12" s="135">
        <v>5.0</v>
      </c>
      <c r="G12" s="35"/>
      <c r="M12" s="473">
        <f t="shared" si="2"/>
        <v>16910.10744</v>
      </c>
      <c r="N12" s="132">
        <v>20461.23</v>
      </c>
      <c r="O12" s="468">
        <f t="shared" si="3"/>
        <v>37202.23636</v>
      </c>
      <c r="Q12" s="470">
        <f t="shared" si="4"/>
        <v>40922.46</v>
      </c>
      <c r="R12" s="448">
        <v>5.0</v>
      </c>
      <c r="S12" s="471">
        <f t="shared" si="5"/>
        <v>0</v>
      </c>
      <c r="W12" s="475"/>
    </row>
    <row r="13" ht="15.75" customHeight="1">
      <c r="A13" s="136" t="s">
        <v>1047</v>
      </c>
      <c r="B13" s="466">
        <f t="shared" si="1"/>
        <v>44639.96694</v>
      </c>
      <c r="C13" s="150" t="s">
        <v>1048</v>
      </c>
      <c r="D13" s="35"/>
      <c r="E13" s="136"/>
      <c r="F13" s="135">
        <v>5.0</v>
      </c>
      <c r="G13" s="35"/>
      <c r="M13" s="473">
        <f t="shared" si="2"/>
        <v>22319.98347</v>
      </c>
      <c r="N13" s="132">
        <v>27007.18</v>
      </c>
      <c r="O13" s="468">
        <f t="shared" si="3"/>
        <v>49103.96364</v>
      </c>
      <c r="Q13" s="470">
        <f t="shared" si="4"/>
        <v>54014.36</v>
      </c>
      <c r="R13" s="448">
        <v>5.0</v>
      </c>
      <c r="S13" s="471">
        <f t="shared" si="5"/>
        <v>0</v>
      </c>
    </row>
    <row r="14" ht="15.75" customHeight="1">
      <c r="A14" s="136" t="s">
        <v>1049</v>
      </c>
      <c r="B14" s="466">
        <f t="shared" si="1"/>
        <v>66756.87603</v>
      </c>
      <c r="C14" s="150" t="s">
        <v>1050</v>
      </c>
      <c r="D14" s="35"/>
      <c r="E14" s="136"/>
      <c r="F14" s="135">
        <v>5.0</v>
      </c>
      <c r="G14" s="35"/>
      <c r="M14" s="473">
        <f t="shared" si="2"/>
        <v>33378.43802</v>
      </c>
      <c r="N14" s="132">
        <v>40387.91</v>
      </c>
      <c r="O14" s="468">
        <f t="shared" si="3"/>
        <v>73432.56364</v>
      </c>
      <c r="Q14" s="470">
        <f t="shared" si="4"/>
        <v>80775.82</v>
      </c>
      <c r="R14" s="448">
        <v>5.0</v>
      </c>
      <c r="S14" s="471">
        <f t="shared" si="5"/>
        <v>0</v>
      </c>
    </row>
    <row r="15" ht="15.75" customHeight="1">
      <c r="A15" s="136" t="s">
        <v>1051</v>
      </c>
      <c r="B15" s="466">
        <f t="shared" si="1"/>
        <v>14996.14876</v>
      </c>
      <c r="C15" s="150" t="s">
        <v>1052</v>
      </c>
      <c r="D15" s="35"/>
      <c r="E15" s="136"/>
      <c r="F15" s="135">
        <v>10.0</v>
      </c>
      <c r="G15" s="35"/>
      <c r="M15" s="473">
        <f t="shared" si="2"/>
        <v>7498.07438</v>
      </c>
      <c r="N15" s="132">
        <v>9072.67</v>
      </c>
      <c r="O15" s="468">
        <f t="shared" si="3"/>
        <v>16495.76364</v>
      </c>
      <c r="Q15" s="470">
        <f t="shared" si="4"/>
        <v>18145.34</v>
      </c>
      <c r="R15" s="448">
        <v>10.0</v>
      </c>
      <c r="S15" s="471">
        <f t="shared" si="5"/>
        <v>0</v>
      </c>
    </row>
    <row r="16" ht="15.75" customHeight="1">
      <c r="A16" s="136" t="s">
        <v>1053</v>
      </c>
      <c r="B16" s="466">
        <f t="shared" si="1"/>
        <v>21020.03306</v>
      </c>
      <c r="C16" s="150" t="s">
        <v>1054</v>
      </c>
      <c r="D16" s="35"/>
      <c r="E16" s="136"/>
      <c r="F16" s="135">
        <v>10.0</v>
      </c>
      <c r="G16" s="35"/>
      <c r="M16" s="473">
        <f t="shared" si="2"/>
        <v>10510.01653</v>
      </c>
      <c r="N16" s="132">
        <v>12717.12</v>
      </c>
      <c r="O16" s="468">
        <f t="shared" si="3"/>
        <v>23122.03636</v>
      </c>
      <c r="Q16" s="470">
        <f t="shared" si="4"/>
        <v>25434.24</v>
      </c>
      <c r="R16" s="448">
        <v>10.0</v>
      </c>
      <c r="S16" s="471">
        <f t="shared" si="5"/>
        <v>0</v>
      </c>
    </row>
    <row r="17" ht="15.75" customHeight="1">
      <c r="A17" s="136" t="s">
        <v>1055</v>
      </c>
      <c r="B17" s="466">
        <f t="shared" si="1"/>
        <v>21236.79339</v>
      </c>
      <c r="C17" s="150" t="s">
        <v>1056</v>
      </c>
      <c r="D17" s="35"/>
      <c r="E17" s="136"/>
      <c r="F17" s="135">
        <v>10.0</v>
      </c>
      <c r="G17" s="35"/>
      <c r="M17" s="473">
        <f t="shared" si="2"/>
        <v>10618.39669</v>
      </c>
      <c r="N17" s="132">
        <v>12848.26</v>
      </c>
      <c r="O17" s="468">
        <f t="shared" si="3"/>
        <v>23360.47273</v>
      </c>
      <c r="Q17" s="470">
        <f t="shared" si="4"/>
        <v>25696.52</v>
      </c>
      <c r="R17" s="448">
        <v>10.0</v>
      </c>
      <c r="S17" s="471">
        <f t="shared" si="5"/>
        <v>0</v>
      </c>
    </row>
    <row r="18" ht="15.75" customHeight="1">
      <c r="A18" s="136" t="s">
        <v>1057</v>
      </c>
      <c r="B18" s="466">
        <f t="shared" si="1"/>
        <v>29090.09917</v>
      </c>
      <c r="C18" s="150" t="s">
        <v>1058</v>
      </c>
      <c r="D18" s="35"/>
      <c r="E18" s="136"/>
      <c r="F18" s="135">
        <v>10.0</v>
      </c>
      <c r="G18" s="35"/>
      <c r="M18" s="473">
        <f t="shared" si="2"/>
        <v>14545.04959</v>
      </c>
      <c r="N18" s="132">
        <v>17599.51</v>
      </c>
      <c r="O18" s="468">
        <f t="shared" si="3"/>
        <v>31999.10909</v>
      </c>
      <c r="Q18" s="470">
        <f t="shared" si="4"/>
        <v>35199.02</v>
      </c>
      <c r="R18" s="448">
        <v>10.0</v>
      </c>
      <c r="S18" s="471">
        <f t="shared" si="5"/>
        <v>0</v>
      </c>
    </row>
    <row r="19" ht="15.75" customHeight="1">
      <c r="A19" s="472" t="s">
        <v>1059</v>
      </c>
      <c r="B19" s="466">
        <f t="shared" si="1"/>
        <v>14254.4</v>
      </c>
      <c r="C19" s="458" t="s">
        <v>1060</v>
      </c>
      <c r="D19" s="35"/>
      <c r="E19" s="136"/>
      <c r="F19" s="476">
        <v>10.0</v>
      </c>
      <c r="G19" s="137"/>
      <c r="M19" s="473">
        <f t="shared" si="2"/>
        <v>0</v>
      </c>
      <c r="O19" s="468">
        <f>T19/(1-0.45)</f>
        <v>15679.84</v>
      </c>
      <c r="Q19" s="477">
        <f>T19/(1-0.5)</f>
        <v>17247.824</v>
      </c>
      <c r="R19" s="448">
        <v>10.0</v>
      </c>
      <c r="S19" s="471">
        <f t="shared" si="5"/>
        <v>0</v>
      </c>
      <c r="T19" s="132">
        <f>7127.2*1.21</f>
        <v>8623.912</v>
      </c>
    </row>
    <row r="20" ht="15.75" customHeight="1">
      <c r="A20" s="136">
        <v>2410050.0</v>
      </c>
      <c r="B20" s="466">
        <f t="shared" si="1"/>
        <v>8552.727273</v>
      </c>
      <c r="C20" s="478" t="s">
        <v>1061</v>
      </c>
      <c r="D20" s="35"/>
      <c r="E20" s="136"/>
      <c r="F20" s="135">
        <v>84.0</v>
      </c>
      <c r="G20" s="35"/>
      <c r="M20" s="473">
        <f t="shared" si="2"/>
        <v>4276.363636</v>
      </c>
      <c r="N20" s="132">
        <v>5174.4</v>
      </c>
      <c r="O20" s="468">
        <f>N20/(1-0.45)</f>
        <v>9408</v>
      </c>
      <c r="Q20" s="477">
        <f>N20/(1-0.5)</f>
        <v>10348.8</v>
      </c>
      <c r="R20" s="434"/>
      <c r="S20" s="471">
        <f t="shared" si="5"/>
        <v>84</v>
      </c>
    </row>
    <row r="21" ht="15.75" customHeight="1">
      <c r="A21" s="136">
        <v>241407.0</v>
      </c>
      <c r="B21" s="466">
        <f t="shared" si="1"/>
        <v>1062.214876</v>
      </c>
      <c r="C21" s="478" t="s">
        <v>1062</v>
      </c>
      <c r="D21" s="35"/>
      <c r="E21" s="136"/>
      <c r="F21" s="135">
        <v>1470.0</v>
      </c>
      <c r="G21" s="35"/>
      <c r="M21" s="473">
        <f t="shared" si="2"/>
        <v>265.553719</v>
      </c>
      <c r="N21" s="132">
        <v>321.32</v>
      </c>
      <c r="O21" s="468">
        <f t="shared" ref="O21:O28" si="6">N21/(1-0.7)</f>
        <v>1071.066667</v>
      </c>
      <c r="P21" s="479"/>
      <c r="Q21" s="477">
        <f t="shared" ref="Q21:Q28" si="7">N21/(1-0.75)</f>
        <v>1285.28</v>
      </c>
      <c r="R21" s="434"/>
      <c r="S21" s="471">
        <f t="shared" si="5"/>
        <v>1470</v>
      </c>
    </row>
    <row r="22" ht="15.75" customHeight="1">
      <c r="A22" s="136">
        <v>241821.0</v>
      </c>
      <c r="B22" s="466">
        <f t="shared" si="1"/>
        <v>2205.22314</v>
      </c>
      <c r="C22" s="478" t="s">
        <v>1063</v>
      </c>
      <c r="D22" s="35"/>
      <c r="E22" s="136"/>
      <c r="F22" s="135">
        <v>440.0</v>
      </c>
      <c r="G22" s="35"/>
      <c r="M22" s="473">
        <f t="shared" si="2"/>
        <v>551.3057851</v>
      </c>
      <c r="N22" s="132">
        <v>667.08</v>
      </c>
      <c r="O22" s="468">
        <f t="shared" si="6"/>
        <v>2223.6</v>
      </c>
      <c r="Q22" s="477">
        <f t="shared" si="7"/>
        <v>2668.32</v>
      </c>
      <c r="R22" s="434"/>
      <c r="S22" s="471">
        <f t="shared" si="5"/>
        <v>440</v>
      </c>
    </row>
    <row r="23" ht="15.75" customHeight="1">
      <c r="A23" s="136" t="s">
        <v>1064</v>
      </c>
      <c r="B23" s="466">
        <f t="shared" si="1"/>
        <v>2638.77686</v>
      </c>
      <c r="C23" s="478" t="s">
        <v>1065</v>
      </c>
      <c r="D23" s="35"/>
      <c r="E23" s="136"/>
      <c r="F23" s="135">
        <v>440.0</v>
      </c>
      <c r="G23" s="35"/>
      <c r="M23" s="473">
        <f t="shared" si="2"/>
        <v>659.6942149</v>
      </c>
      <c r="N23" s="132">
        <v>798.23</v>
      </c>
      <c r="O23" s="468">
        <f t="shared" si="6"/>
        <v>2660.766667</v>
      </c>
      <c r="Q23" s="477">
        <f t="shared" si="7"/>
        <v>3192.92</v>
      </c>
      <c r="R23" s="434"/>
      <c r="S23" s="471">
        <f t="shared" si="5"/>
        <v>440</v>
      </c>
    </row>
    <row r="24" ht="15.75" customHeight="1">
      <c r="A24" s="136">
        <v>242010.0</v>
      </c>
      <c r="B24" s="466">
        <f t="shared" si="1"/>
        <v>1377.553719</v>
      </c>
      <c r="C24" s="478" t="s">
        <v>1066</v>
      </c>
      <c r="D24" s="35"/>
      <c r="E24" s="136"/>
      <c r="F24" s="135">
        <v>300.0</v>
      </c>
      <c r="G24" s="35"/>
      <c r="M24" s="473">
        <f t="shared" si="2"/>
        <v>344.3884298</v>
      </c>
      <c r="N24" s="132">
        <v>416.71</v>
      </c>
      <c r="O24" s="468">
        <f t="shared" si="6"/>
        <v>1389.033333</v>
      </c>
      <c r="Q24" s="477">
        <f t="shared" si="7"/>
        <v>1666.84</v>
      </c>
      <c r="R24" s="434"/>
      <c r="S24" s="471">
        <f t="shared" si="5"/>
        <v>300</v>
      </c>
    </row>
    <row r="25" ht="15.75" customHeight="1">
      <c r="A25" s="136" t="s">
        <v>1067</v>
      </c>
      <c r="B25" s="466">
        <f t="shared" si="1"/>
        <v>1476.066116</v>
      </c>
      <c r="C25" s="480" t="s">
        <v>1068</v>
      </c>
      <c r="D25" s="35"/>
      <c r="E25" s="472"/>
      <c r="F25" s="135">
        <v>300.0</v>
      </c>
      <c r="G25" s="35"/>
      <c r="M25" s="473">
        <f t="shared" si="2"/>
        <v>369.0165289</v>
      </c>
      <c r="N25" s="132">
        <v>446.51</v>
      </c>
      <c r="O25" s="468">
        <f t="shared" si="6"/>
        <v>1488.366667</v>
      </c>
      <c r="Q25" s="477">
        <f t="shared" si="7"/>
        <v>1786.04</v>
      </c>
      <c r="R25" s="434"/>
      <c r="S25" s="471">
        <f t="shared" si="5"/>
        <v>300</v>
      </c>
    </row>
    <row r="26" ht="15.75" customHeight="1">
      <c r="A26" s="136" t="s">
        <v>1069</v>
      </c>
      <c r="B26" s="466">
        <f t="shared" si="1"/>
        <v>1515.471074</v>
      </c>
      <c r="C26" s="478" t="s">
        <v>1070</v>
      </c>
      <c r="D26" s="35"/>
      <c r="E26" s="136"/>
      <c r="F26" s="135">
        <v>300.0</v>
      </c>
      <c r="G26" s="35"/>
      <c r="M26" s="473">
        <f t="shared" si="2"/>
        <v>378.8677686</v>
      </c>
      <c r="N26" s="132">
        <v>458.43</v>
      </c>
      <c r="O26" s="468">
        <f t="shared" si="6"/>
        <v>1528.1</v>
      </c>
      <c r="Q26" s="477">
        <f t="shared" si="7"/>
        <v>1833.72</v>
      </c>
      <c r="R26" s="434"/>
      <c r="S26" s="471">
        <f t="shared" si="5"/>
        <v>300</v>
      </c>
    </row>
    <row r="27" ht="15.75" customHeight="1">
      <c r="A27" s="136">
        <v>242730.0</v>
      </c>
      <c r="B27" s="466">
        <f t="shared" si="1"/>
        <v>5244.628099</v>
      </c>
      <c r="C27" s="478" t="s">
        <v>1071</v>
      </c>
      <c r="D27" s="35"/>
      <c r="E27" s="136"/>
      <c r="F27" s="135">
        <v>90.0</v>
      </c>
      <c r="G27" s="35"/>
      <c r="M27" s="473">
        <f t="shared" si="2"/>
        <v>1311.157025</v>
      </c>
      <c r="N27" s="132">
        <v>1586.5</v>
      </c>
      <c r="O27" s="468">
        <f t="shared" si="6"/>
        <v>5288.333333</v>
      </c>
      <c r="Q27" s="477">
        <f t="shared" si="7"/>
        <v>6346</v>
      </c>
      <c r="R27" s="434"/>
      <c r="S27" s="471">
        <f t="shared" si="5"/>
        <v>90</v>
      </c>
    </row>
    <row r="28" ht="15.75" customHeight="1">
      <c r="A28" s="136">
        <v>243012.0</v>
      </c>
      <c r="B28" s="466">
        <f t="shared" si="1"/>
        <v>4310.512397</v>
      </c>
      <c r="C28" s="478" t="s">
        <v>1072</v>
      </c>
      <c r="D28" s="35"/>
      <c r="E28" s="136"/>
      <c r="F28" s="135">
        <v>162.0</v>
      </c>
      <c r="G28" s="35"/>
      <c r="M28" s="473">
        <f t="shared" si="2"/>
        <v>1077.628099</v>
      </c>
      <c r="N28" s="132">
        <v>1303.93</v>
      </c>
      <c r="O28" s="468">
        <f t="shared" si="6"/>
        <v>4346.433333</v>
      </c>
      <c r="Q28" s="477">
        <f t="shared" si="7"/>
        <v>5215.72</v>
      </c>
      <c r="R28" s="434"/>
      <c r="S28" s="471">
        <f t="shared" si="5"/>
        <v>162</v>
      </c>
    </row>
    <row r="29" ht="15.75" customHeight="1">
      <c r="A29" s="472" t="s">
        <v>1073</v>
      </c>
      <c r="B29" s="466">
        <f t="shared" si="1"/>
        <v>642.8264463</v>
      </c>
      <c r="C29" s="481" t="s">
        <v>1074</v>
      </c>
      <c r="D29" s="35"/>
      <c r="E29" s="136"/>
      <c r="F29" s="482">
        <v>850.0</v>
      </c>
      <c r="G29" s="137"/>
      <c r="M29" s="473">
        <f t="shared" si="2"/>
        <v>321.4132231</v>
      </c>
      <c r="N29" s="132">
        <v>388.91</v>
      </c>
      <c r="O29" s="468">
        <f t="shared" ref="O29:O88" si="8">N29/(1-0.45)</f>
        <v>707.1090909</v>
      </c>
      <c r="P29" s="132"/>
      <c r="Q29" s="477">
        <f t="shared" ref="Q29:Q88" si="9">N29/(1-0.5)</f>
        <v>777.82</v>
      </c>
      <c r="R29" s="434"/>
      <c r="S29" s="471">
        <f t="shared" si="5"/>
        <v>850</v>
      </c>
    </row>
    <row r="30" ht="15.75" customHeight="1">
      <c r="A30" s="136" t="s">
        <v>1075</v>
      </c>
      <c r="B30" s="466">
        <f t="shared" si="1"/>
        <v>763.9338843</v>
      </c>
      <c r="C30" s="483" t="s">
        <v>1076</v>
      </c>
      <c r="D30" s="35"/>
      <c r="E30" s="136"/>
      <c r="F30" s="467">
        <v>850.0</v>
      </c>
      <c r="G30" s="35"/>
      <c r="M30" s="473">
        <f t="shared" si="2"/>
        <v>381.9669421</v>
      </c>
      <c r="N30" s="389">
        <v>462.18</v>
      </c>
      <c r="O30" s="468">
        <f t="shared" si="8"/>
        <v>840.3272727</v>
      </c>
      <c r="Q30" s="477">
        <f t="shared" si="9"/>
        <v>924.36</v>
      </c>
      <c r="R30" s="448">
        <v>25.0</v>
      </c>
      <c r="S30" s="471">
        <f t="shared" si="5"/>
        <v>825</v>
      </c>
    </row>
    <row r="31" ht="15.75" customHeight="1">
      <c r="A31" s="136" t="s">
        <v>1077</v>
      </c>
      <c r="B31" s="466">
        <f t="shared" si="1"/>
        <v>959.6694215</v>
      </c>
      <c r="C31" s="483" t="s">
        <v>1078</v>
      </c>
      <c r="D31" s="35"/>
      <c r="E31" s="136"/>
      <c r="F31" s="467">
        <v>850.0</v>
      </c>
      <c r="G31" s="35"/>
      <c r="M31" s="473">
        <f t="shared" si="2"/>
        <v>479.8347107</v>
      </c>
      <c r="N31" s="132">
        <v>580.6</v>
      </c>
      <c r="O31" s="468">
        <f t="shared" si="8"/>
        <v>1055.636364</v>
      </c>
      <c r="Q31" s="484">
        <f t="shared" si="9"/>
        <v>1161.2</v>
      </c>
      <c r="R31" s="434"/>
      <c r="S31" s="471">
        <f t="shared" si="5"/>
        <v>850</v>
      </c>
    </row>
    <row r="32" ht="15.75" customHeight="1">
      <c r="A32" s="136" t="s">
        <v>1079</v>
      </c>
      <c r="B32" s="466">
        <f t="shared" si="1"/>
        <v>1800.644628</v>
      </c>
      <c r="C32" s="436" t="s">
        <v>1080</v>
      </c>
      <c r="D32" s="35"/>
      <c r="E32" s="136"/>
      <c r="F32" s="135">
        <v>1845.0</v>
      </c>
      <c r="G32" s="35"/>
      <c r="M32" s="473">
        <f t="shared" si="2"/>
        <v>900.322314</v>
      </c>
      <c r="N32" s="132">
        <v>1089.39</v>
      </c>
      <c r="O32" s="468">
        <f t="shared" si="8"/>
        <v>1980.709091</v>
      </c>
      <c r="P32" s="479"/>
      <c r="Q32" s="484">
        <f t="shared" si="9"/>
        <v>2178.78</v>
      </c>
      <c r="R32" s="434"/>
      <c r="S32" s="471">
        <f t="shared" si="5"/>
        <v>1845</v>
      </c>
    </row>
    <row r="33" ht="15.75" customHeight="1">
      <c r="A33" s="136" t="s">
        <v>1081</v>
      </c>
      <c r="B33" s="466">
        <f t="shared" si="1"/>
        <v>2170.247934</v>
      </c>
      <c r="C33" s="436" t="s">
        <v>1082</v>
      </c>
      <c r="D33" s="35"/>
      <c r="E33" s="136"/>
      <c r="F33" s="135">
        <v>1665.0</v>
      </c>
      <c r="G33" s="35"/>
      <c r="M33" s="473">
        <f t="shared" si="2"/>
        <v>1085.123967</v>
      </c>
      <c r="N33" s="132">
        <v>1313.0</v>
      </c>
      <c r="O33" s="468">
        <f t="shared" si="8"/>
        <v>2387.272727</v>
      </c>
      <c r="P33" s="479"/>
      <c r="Q33" s="484">
        <f t="shared" si="9"/>
        <v>2626</v>
      </c>
      <c r="R33" s="448">
        <v>3.0</v>
      </c>
      <c r="S33" s="471">
        <f t="shared" si="5"/>
        <v>1662</v>
      </c>
    </row>
    <row r="34" ht="15.75" customHeight="1">
      <c r="A34" s="136" t="s">
        <v>1083</v>
      </c>
      <c r="B34" s="466">
        <f t="shared" si="1"/>
        <v>2921.157025</v>
      </c>
      <c r="C34" s="436" t="s">
        <v>1084</v>
      </c>
      <c r="D34" s="35"/>
      <c r="E34" s="136"/>
      <c r="F34" s="135">
        <v>1080.0</v>
      </c>
      <c r="G34" s="35"/>
      <c r="M34" s="473">
        <f t="shared" si="2"/>
        <v>1460.578512</v>
      </c>
      <c r="N34" s="132">
        <v>1767.3</v>
      </c>
      <c r="O34" s="468">
        <f t="shared" si="8"/>
        <v>3213.272727</v>
      </c>
      <c r="P34" s="479"/>
      <c r="Q34" s="484">
        <f t="shared" si="9"/>
        <v>3534.6</v>
      </c>
      <c r="R34" s="434"/>
      <c r="S34" s="471">
        <f t="shared" si="5"/>
        <v>1080</v>
      </c>
    </row>
    <row r="35" ht="15.75" customHeight="1">
      <c r="A35" s="136" t="s">
        <v>1085</v>
      </c>
      <c r="B35" s="466">
        <f t="shared" si="1"/>
        <v>3065.338843</v>
      </c>
      <c r="C35" s="436" t="s">
        <v>1086</v>
      </c>
      <c r="D35" s="35"/>
      <c r="E35" s="136"/>
      <c r="F35" s="135">
        <v>1080.0</v>
      </c>
      <c r="G35" s="35"/>
      <c r="M35" s="473">
        <f t="shared" si="2"/>
        <v>1532.669421</v>
      </c>
      <c r="N35" s="132">
        <v>1854.53</v>
      </c>
      <c r="O35" s="468">
        <f t="shared" si="8"/>
        <v>3371.872727</v>
      </c>
      <c r="P35" s="479"/>
      <c r="Q35" s="484">
        <f t="shared" si="9"/>
        <v>3709.06</v>
      </c>
      <c r="R35" s="434"/>
      <c r="S35" s="471">
        <f t="shared" si="5"/>
        <v>1080</v>
      </c>
    </row>
    <row r="36" ht="15.75" customHeight="1">
      <c r="A36" s="136" t="s">
        <v>1087</v>
      </c>
      <c r="B36" s="466">
        <f t="shared" si="1"/>
        <v>1403.884298</v>
      </c>
      <c r="C36" s="138" t="s">
        <v>1088</v>
      </c>
      <c r="D36" s="35"/>
      <c r="E36" s="136"/>
      <c r="F36" s="135">
        <v>45.0</v>
      </c>
      <c r="G36" s="35"/>
      <c r="M36" s="473">
        <f t="shared" si="2"/>
        <v>701.9421488</v>
      </c>
      <c r="N36" s="132">
        <v>849.35</v>
      </c>
      <c r="O36" s="468">
        <f t="shared" si="8"/>
        <v>1544.272727</v>
      </c>
      <c r="Q36" s="484">
        <f t="shared" si="9"/>
        <v>1698.7</v>
      </c>
      <c r="R36" s="434"/>
      <c r="S36" s="471">
        <f t="shared" si="5"/>
        <v>45</v>
      </c>
    </row>
    <row r="37" ht="15.75" customHeight="1">
      <c r="A37" s="485">
        <v>12450.0</v>
      </c>
      <c r="B37" s="466">
        <f t="shared" si="1"/>
        <v>40809.19008</v>
      </c>
      <c r="C37" s="138" t="s">
        <v>1089</v>
      </c>
      <c r="D37" s="35"/>
      <c r="E37" s="136"/>
      <c r="F37" s="135">
        <v>3.0</v>
      </c>
      <c r="G37" s="35"/>
      <c r="M37" s="473">
        <f t="shared" si="2"/>
        <v>20404.59504</v>
      </c>
      <c r="N37" s="132">
        <v>24689.56</v>
      </c>
      <c r="O37" s="468">
        <f t="shared" si="8"/>
        <v>44890.10909</v>
      </c>
      <c r="Q37" s="484">
        <f t="shared" si="9"/>
        <v>49379.12</v>
      </c>
      <c r="R37" s="434"/>
      <c r="S37" s="471">
        <f t="shared" si="5"/>
        <v>3</v>
      </c>
    </row>
    <row r="38" ht="15.75" customHeight="1">
      <c r="A38" s="485">
        <v>12050.0</v>
      </c>
      <c r="B38" s="466">
        <f t="shared" si="1"/>
        <v>40505.58678</v>
      </c>
      <c r="C38" s="138" t="s">
        <v>1090</v>
      </c>
      <c r="D38" s="35"/>
      <c r="E38" s="136"/>
      <c r="F38" s="135">
        <v>3.0</v>
      </c>
      <c r="G38" s="35"/>
      <c r="M38" s="473">
        <f t="shared" si="2"/>
        <v>20252.79339</v>
      </c>
      <c r="N38" s="132">
        <v>24505.88</v>
      </c>
      <c r="O38" s="468">
        <f t="shared" si="8"/>
        <v>44556.14545</v>
      </c>
      <c r="Q38" s="484">
        <f t="shared" si="9"/>
        <v>49011.76</v>
      </c>
      <c r="R38" s="434"/>
      <c r="S38" s="471">
        <f t="shared" si="5"/>
        <v>3</v>
      </c>
    </row>
    <row r="39" ht="15.75" customHeight="1">
      <c r="A39" s="485">
        <v>12350.0</v>
      </c>
      <c r="B39" s="466">
        <f t="shared" si="1"/>
        <v>45688.72727</v>
      </c>
      <c r="C39" s="138" t="s">
        <v>1091</v>
      </c>
      <c r="D39" s="35"/>
      <c r="E39" s="136"/>
      <c r="F39" s="135">
        <v>3.0</v>
      </c>
      <c r="G39" s="35"/>
      <c r="M39" s="473">
        <f t="shared" si="2"/>
        <v>22844.36364</v>
      </c>
      <c r="N39" s="132">
        <v>27641.68</v>
      </c>
      <c r="O39" s="468">
        <f t="shared" si="8"/>
        <v>50257.6</v>
      </c>
      <c r="Q39" s="484">
        <f t="shared" si="9"/>
        <v>55283.36</v>
      </c>
      <c r="R39" s="434"/>
      <c r="S39" s="471">
        <f t="shared" si="5"/>
        <v>3</v>
      </c>
    </row>
    <row r="40" ht="15.75" customHeight="1">
      <c r="A40" s="485">
        <v>12780.0</v>
      </c>
      <c r="B40" s="466">
        <f t="shared" si="1"/>
        <v>63418.54545</v>
      </c>
      <c r="C40" s="138" t="s">
        <v>1092</v>
      </c>
      <c r="D40" s="35"/>
      <c r="E40" s="136"/>
      <c r="F40" s="135">
        <v>3.0</v>
      </c>
      <c r="G40" s="35"/>
      <c r="M40" s="473">
        <f t="shared" si="2"/>
        <v>31709.27273</v>
      </c>
      <c r="N40" s="132">
        <v>38368.22</v>
      </c>
      <c r="O40" s="468">
        <f t="shared" si="8"/>
        <v>69760.4</v>
      </c>
      <c r="Q40" s="484">
        <f t="shared" si="9"/>
        <v>76736.44</v>
      </c>
      <c r="R40" s="434"/>
      <c r="S40" s="471">
        <f t="shared" si="5"/>
        <v>3</v>
      </c>
    </row>
    <row r="41" ht="15.75" customHeight="1">
      <c r="A41" s="485">
        <v>12280.0</v>
      </c>
      <c r="B41" s="466">
        <f t="shared" si="1"/>
        <v>89836.61157</v>
      </c>
      <c r="C41" s="138" t="s">
        <v>1093</v>
      </c>
      <c r="D41" s="35"/>
      <c r="E41" s="136"/>
      <c r="F41" s="135">
        <v>3.0</v>
      </c>
      <c r="G41" s="35"/>
      <c r="M41" s="473">
        <f t="shared" si="2"/>
        <v>44918.30579</v>
      </c>
      <c r="N41" s="132">
        <v>54351.15</v>
      </c>
      <c r="O41" s="468">
        <f t="shared" si="8"/>
        <v>98820.27273</v>
      </c>
      <c r="Q41" s="484">
        <f t="shared" si="9"/>
        <v>108702.3</v>
      </c>
      <c r="R41" s="434"/>
      <c r="S41" s="471">
        <f t="shared" si="5"/>
        <v>3</v>
      </c>
    </row>
    <row r="42" ht="15.75" customHeight="1">
      <c r="A42" s="485">
        <v>12980.0</v>
      </c>
      <c r="B42" s="466">
        <f t="shared" si="1"/>
        <v>116150.7273</v>
      </c>
      <c r="C42" s="138" t="s">
        <v>1094</v>
      </c>
      <c r="D42" s="35"/>
      <c r="E42" s="136"/>
      <c r="F42" s="135">
        <v>3.0</v>
      </c>
      <c r="G42" s="35"/>
      <c r="M42" s="473">
        <f t="shared" si="2"/>
        <v>58075.36364</v>
      </c>
      <c r="N42" s="132">
        <v>70271.19</v>
      </c>
      <c r="O42" s="468">
        <f t="shared" si="8"/>
        <v>127765.8</v>
      </c>
      <c r="Q42" s="484">
        <f t="shared" si="9"/>
        <v>140542.38</v>
      </c>
      <c r="R42" s="434"/>
      <c r="S42" s="471">
        <f t="shared" si="5"/>
        <v>3</v>
      </c>
    </row>
    <row r="43" ht="15.75" customHeight="1">
      <c r="A43" s="136" t="s">
        <v>1095</v>
      </c>
      <c r="B43" s="466">
        <f t="shared" si="1"/>
        <v>48444.87603</v>
      </c>
      <c r="C43" s="138" t="s">
        <v>1096</v>
      </c>
      <c r="D43" s="35"/>
      <c r="E43" s="136"/>
      <c r="F43" s="135">
        <v>3.0</v>
      </c>
      <c r="G43" s="35"/>
      <c r="M43" s="473">
        <f t="shared" si="2"/>
        <v>24222.43802</v>
      </c>
      <c r="N43" s="132">
        <v>29309.15</v>
      </c>
      <c r="O43" s="468">
        <f t="shared" si="8"/>
        <v>53289.36364</v>
      </c>
      <c r="Q43" s="484">
        <f t="shared" si="9"/>
        <v>58618.3</v>
      </c>
      <c r="R43" s="434"/>
      <c r="S43" s="471">
        <f t="shared" si="5"/>
        <v>3</v>
      </c>
    </row>
    <row r="44" ht="15.75" customHeight="1">
      <c r="A44" s="136" t="s">
        <v>1097</v>
      </c>
      <c r="B44" s="466">
        <f t="shared" si="1"/>
        <v>49398.90909</v>
      </c>
      <c r="C44" s="138" t="s">
        <v>1098</v>
      </c>
      <c r="D44" s="35"/>
      <c r="E44" s="136"/>
      <c r="F44" s="135">
        <v>3.0</v>
      </c>
      <c r="G44" s="35"/>
      <c r="M44" s="473">
        <f t="shared" si="2"/>
        <v>24699.45455</v>
      </c>
      <c r="N44" s="132">
        <v>29886.34</v>
      </c>
      <c r="O44" s="468">
        <f t="shared" si="8"/>
        <v>54338.8</v>
      </c>
      <c r="Q44" s="484">
        <f t="shared" si="9"/>
        <v>59772.68</v>
      </c>
      <c r="R44" s="434"/>
      <c r="S44" s="471">
        <f t="shared" si="5"/>
        <v>3</v>
      </c>
    </row>
    <row r="45" ht="15.75" customHeight="1">
      <c r="A45" s="136" t="s">
        <v>1099</v>
      </c>
      <c r="B45" s="466">
        <f t="shared" si="1"/>
        <v>51764.26446</v>
      </c>
      <c r="C45" s="138" t="s">
        <v>1100</v>
      </c>
      <c r="D45" s="35"/>
      <c r="E45" s="136"/>
      <c r="F45" s="135">
        <v>3.0</v>
      </c>
      <c r="G45" s="35"/>
      <c r="M45" s="473">
        <f t="shared" si="2"/>
        <v>25882.13223</v>
      </c>
      <c r="N45" s="132">
        <v>31317.38</v>
      </c>
      <c r="O45" s="468">
        <f t="shared" si="8"/>
        <v>56940.69091</v>
      </c>
      <c r="Q45" s="484">
        <f t="shared" si="9"/>
        <v>62634.76</v>
      </c>
      <c r="R45" s="434"/>
      <c r="S45" s="471">
        <f t="shared" si="5"/>
        <v>3</v>
      </c>
    </row>
    <row r="46" ht="15.75" customHeight="1">
      <c r="A46" s="136" t="s">
        <v>1101</v>
      </c>
      <c r="B46" s="466">
        <f t="shared" si="1"/>
        <v>68592.01653</v>
      </c>
      <c r="C46" s="138" t="s">
        <v>1102</v>
      </c>
      <c r="D46" s="35"/>
      <c r="E46" s="136"/>
      <c r="F46" s="135">
        <v>3.0</v>
      </c>
      <c r="G46" s="35"/>
      <c r="M46" s="473">
        <f t="shared" si="2"/>
        <v>34296.00826</v>
      </c>
      <c r="N46" s="132">
        <v>41498.17</v>
      </c>
      <c r="O46" s="468">
        <f t="shared" si="8"/>
        <v>75451.21818</v>
      </c>
      <c r="Q46" s="484">
        <f t="shared" si="9"/>
        <v>82996.34</v>
      </c>
      <c r="R46" s="434"/>
      <c r="S46" s="471">
        <f t="shared" si="5"/>
        <v>3</v>
      </c>
    </row>
    <row r="47" ht="15.75" customHeight="1">
      <c r="A47" s="136" t="s">
        <v>1103</v>
      </c>
      <c r="B47" s="466">
        <f t="shared" si="1"/>
        <v>101886.5124</v>
      </c>
      <c r="C47" s="138" t="s">
        <v>1104</v>
      </c>
      <c r="D47" s="35"/>
      <c r="E47" s="136"/>
      <c r="F47" s="135">
        <v>3.0</v>
      </c>
      <c r="G47" s="35"/>
      <c r="M47" s="473">
        <f t="shared" si="2"/>
        <v>50943.2562</v>
      </c>
      <c r="N47" s="132">
        <v>61641.34</v>
      </c>
      <c r="O47" s="468">
        <f t="shared" si="8"/>
        <v>112075.1636</v>
      </c>
      <c r="Q47" s="484">
        <f t="shared" si="9"/>
        <v>123282.68</v>
      </c>
      <c r="R47" s="434"/>
      <c r="S47" s="471">
        <f t="shared" si="5"/>
        <v>3</v>
      </c>
    </row>
    <row r="48" ht="15.75" customHeight="1">
      <c r="A48" s="136">
        <v>66666.0</v>
      </c>
      <c r="B48" s="466">
        <f t="shared" si="1"/>
        <v>4633.85124</v>
      </c>
      <c r="C48" s="138" t="s">
        <v>1105</v>
      </c>
      <c r="D48" s="35"/>
      <c r="E48" s="136"/>
      <c r="F48" s="135">
        <v>90.0</v>
      </c>
      <c r="G48" s="35"/>
      <c r="M48" s="473">
        <f t="shared" si="2"/>
        <v>2316.92562</v>
      </c>
      <c r="N48" s="132">
        <v>2803.48</v>
      </c>
      <c r="O48" s="468">
        <f t="shared" si="8"/>
        <v>5097.236364</v>
      </c>
      <c r="Q48" s="484">
        <f t="shared" si="9"/>
        <v>5606.96</v>
      </c>
      <c r="R48" s="434"/>
      <c r="S48" s="471">
        <f t="shared" si="5"/>
        <v>90</v>
      </c>
    </row>
    <row r="49" ht="15.75" customHeight="1">
      <c r="A49" s="136" t="s">
        <v>1106</v>
      </c>
      <c r="B49" s="466">
        <f t="shared" si="1"/>
        <v>184.1157025</v>
      </c>
      <c r="C49" s="486" t="s">
        <v>1107</v>
      </c>
      <c r="D49" s="35"/>
      <c r="E49" s="136"/>
      <c r="F49" s="135">
        <v>1800.0</v>
      </c>
      <c r="G49" s="35"/>
      <c r="M49" s="473">
        <f t="shared" si="2"/>
        <v>92.05785124</v>
      </c>
      <c r="N49" s="132">
        <v>111.39</v>
      </c>
      <c r="O49" s="468">
        <f t="shared" si="8"/>
        <v>202.5272727</v>
      </c>
      <c r="Q49" s="484">
        <f t="shared" si="9"/>
        <v>222.78</v>
      </c>
      <c r="R49" s="434"/>
      <c r="S49" s="471">
        <f t="shared" si="5"/>
        <v>1800</v>
      </c>
    </row>
    <row r="50" ht="15.75" customHeight="1">
      <c r="A50" s="136" t="s">
        <v>1108</v>
      </c>
      <c r="B50" s="466">
        <f t="shared" si="1"/>
        <v>185.7355372</v>
      </c>
      <c r="C50" s="486" t="s">
        <v>1109</v>
      </c>
      <c r="D50" s="35"/>
      <c r="E50" s="136"/>
      <c r="F50" s="135">
        <v>1800.0</v>
      </c>
      <c r="G50" s="35"/>
      <c r="M50" s="473">
        <f t="shared" si="2"/>
        <v>92.8677686</v>
      </c>
      <c r="N50" s="132">
        <v>112.37</v>
      </c>
      <c r="O50" s="468">
        <f t="shared" si="8"/>
        <v>204.3090909</v>
      </c>
      <c r="Q50" s="484">
        <f t="shared" si="9"/>
        <v>224.74</v>
      </c>
      <c r="R50" s="434"/>
      <c r="S50" s="471">
        <f t="shared" si="5"/>
        <v>1800</v>
      </c>
    </row>
    <row r="51" ht="15.75" customHeight="1">
      <c r="A51" s="136" t="s">
        <v>1110</v>
      </c>
      <c r="B51" s="466">
        <f t="shared" si="1"/>
        <v>351.2066116</v>
      </c>
      <c r="C51" s="486" t="s">
        <v>1111</v>
      </c>
      <c r="D51" s="35"/>
      <c r="E51" s="136"/>
      <c r="F51" s="135">
        <v>1500.0</v>
      </c>
      <c r="G51" s="35"/>
      <c r="M51" s="473">
        <f t="shared" si="2"/>
        <v>175.6033058</v>
      </c>
      <c r="N51" s="132">
        <v>212.48</v>
      </c>
      <c r="O51" s="468">
        <f t="shared" si="8"/>
        <v>386.3272727</v>
      </c>
      <c r="Q51" s="484">
        <f t="shared" si="9"/>
        <v>424.96</v>
      </c>
      <c r="R51" s="434"/>
      <c r="S51" s="471">
        <f t="shared" si="5"/>
        <v>1500</v>
      </c>
    </row>
    <row r="52" ht="15.75" customHeight="1">
      <c r="A52" s="136" t="s">
        <v>1112</v>
      </c>
      <c r="B52" s="466">
        <f t="shared" si="1"/>
        <v>396.1322314</v>
      </c>
      <c r="C52" s="486" t="s">
        <v>1113</v>
      </c>
      <c r="D52" s="35"/>
      <c r="E52" s="136"/>
      <c r="F52" s="135">
        <v>2400.0</v>
      </c>
      <c r="G52" s="35"/>
      <c r="M52" s="473">
        <f t="shared" si="2"/>
        <v>198.0661157</v>
      </c>
      <c r="N52" s="132">
        <v>239.66</v>
      </c>
      <c r="O52" s="468">
        <f t="shared" si="8"/>
        <v>435.7454545</v>
      </c>
      <c r="Q52" s="484">
        <f t="shared" si="9"/>
        <v>479.32</v>
      </c>
      <c r="R52" s="434"/>
      <c r="S52" s="471">
        <f t="shared" si="5"/>
        <v>2400</v>
      </c>
    </row>
    <row r="53" ht="15.75" customHeight="1">
      <c r="A53" s="136" t="s">
        <v>1114</v>
      </c>
      <c r="B53" s="466">
        <f t="shared" si="1"/>
        <v>132.3140496</v>
      </c>
      <c r="C53" s="487" t="s">
        <v>1115</v>
      </c>
      <c r="D53" s="35"/>
      <c r="E53" s="136"/>
      <c r="F53" s="135">
        <v>2400.0</v>
      </c>
      <c r="G53" s="35"/>
      <c r="M53" s="473">
        <f t="shared" si="2"/>
        <v>66.15702479</v>
      </c>
      <c r="N53" s="132">
        <v>80.05</v>
      </c>
      <c r="O53" s="468">
        <f t="shared" si="8"/>
        <v>145.5454545</v>
      </c>
      <c r="Q53" s="484">
        <f t="shared" si="9"/>
        <v>160.1</v>
      </c>
      <c r="R53" s="434"/>
      <c r="S53" s="471">
        <f t="shared" si="5"/>
        <v>2400</v>
      </c>
    </row>
    <row r="54" ht="15.75" customHeight="1">
      <c r="A54" s="136" t="s">
        <v>1116</v>
      </c>
      <c r="B54" s="466">
        <f t="shared" si="1"/>
        <v>138.3966942</v>
      </c>
      <c r="C54" s="487" t="s">
        <v>1117</v>
      </c>
      <c r="D54" s="35"/>
      <c r="E54" s="136"/>
      <c r="F54" s="135">
        <v>1500.0</v>
      </c>
      <c r="G54" s="35"/>
      <c r="M54" s="473">
        <f t="shared" si="2"/>
        <v>69.19834711</v>
      </c>
      <c r="N54" s="132">
        <v>83.73</v>
      </c>
      <c r="O54" s="468">
        <f t="shared" si="8"/>
        <v>152.2363636</v>
      </c>
      <c r="Q54" s="484">
        <f t="shared" si="9"/>
        <v>167.46</v>
      </c>
      <c r="R54" s="434"/>
      <c r="S54" s="471">
        <f t="shared" si="5"/>
        <v>1500</v>
      </c>
    </row>
    <row r="55" ht="15.75" customHeight="1">
      <c r="A55" s="136" t="s">
        <v>1118</v>
      </c>
      <c r="B55" s="466">
        <f t="shared" si="1"/>
        <v>184.1157025</v>
      </c>
      <c r="C55" s="487" t="s">
        <v>1119</v>
      </c>
      <c r="D55" s="35"/>
      <c r="E55" s="136"/>
      <c r="F55" s="135">
        <v>1600.0</v>
      </c>
      <c r="G55" s="35"/>
      <c r="M55" s="473">
        <f t="shared" si="2"/>
        <v>92.05785124</v>
      </c>
      <c r="N55" s="132">
        <v>111.39</v>
      </c>
      <c r="O55" s="468">
        <f t="shared" si="8"/>
        <v>202.5272727</v>
      </c>
      <c r="Q55" s="484">
        <f t="shared" si="9"/>
        <v>222.78</v>
      </c>
      <c r="R55" s="434"/>
      <c r="S55" s="471">
        <f t="shared" si="5"/>
        <v>1600</v>
      </c>
    </row>
    <row r="56" ht="15.75" customHeight="1">
      <c r="A56" s="136" t="s">
        <v>1120</v>
      </c>
      <c r="B56" s="466">
        <f t="shared" si="1"/>
        <v>199.4876033</v>
      </c>
      <c r="C56" s="487" t="s">
        <v>1121</v>
      </c>
      <c r="D56" s="35"/>
      <c r="E56" s="136"/>
      <c r="F56" s="135">
        <v>900.0</v>
      </c>
      <c r="G56" s="35"/>
      <c r="M56" s="473">
        <f t="shared" si="2"/>
        <v>99.74380165</v>
      </c>
      <c r="N56" s="132">
        <v>120.69</v>
      </c>
      <c r="O56" s="468">
        <f t="shared" si="8"/>
        <v>219.4363636</v>
      </c>
      <c r="Q56" s="484">
        <f t="shared" si="9"/>
        <v>241.38</v>
      </c>
      <c r="R56" s="434"/>
      <c r="S56" s="471">
        <f t="shared" si="5"/>
        <v>900</v>
      </c>
    </row>
    <row r="57" ht="15.75" customHeight="1">
      <c r="A57" s="136" t="s">
        <v>1122</v>
      </c>
      <c r="B57" s="466">
        <f t="shared" si="1"/>
        <v>380.7438017</v>
      </c>
      <c r="C57" s="488" t="s">
        <v>1123</v>
      </c>
      <c r="D57" s="35"/>
      <c r="E57" s="136"/>
      <c r="F57" s="135">
        <v>900.0</v>
      </c>
      <c r="G57" s="35"/>
      <c r="M57" s="473">
        <f t="shared" si="2"/>
        <v>190.3719008</v>
      </c>
      <c r="N57" s="132">
        <v>230.35</v>
      </c>
      <c r="O57" s="468">
        <f t="shared" si="8"/>
        <v>418.8181818</v>
      </c>
      <c r="Q57" s="484">
        <f t="shared" si="9"/>
        <v>460.7</v>
      </c>
      <c r="R57" s="434"/>
      <c r="S57" s="471">
        <f t="shared" si="5"/>
        <v>900</v>
      </c>
    </row>
    <row r="58" ht="15.75" customHeight="1">
      <c r="A58" s="136" t="s">
        <v>1124</v>
      </c>
      <c r="B58" s="466">
        <f t="shared" si="1"/>
        <v>414.7272727</v>
      </c>
      <c r="C58" s="488" t="s">
        <v>1125</v>
      </c>
      <c r="D58" s="35"/>
      <c r="E58" s="136"/>
      <c r="F58" s="135">
        <v>500.0</v>
      </c>
      <c r="G58" s="35"/>
      <c r="M58" s="473">
        <f t="shared" si="2"/>
        <v>207.3636364</v>
      </c>
      <c r="N58" s="132">
        <v>250.91</v>
      </c>
      <c r="O58" s="468">
        <f t="shared" si="8"/>
        <v>456.2</v>
      </c>
      <c r="Q58" s="484">
        <f t="shared" si="9"/>
        <v>501.82</v>
      </c>
      <c r="R58" s="448">
        <v>4.0</v>
      </c>
      <c r="S58" s="471">
        <f t="shared" si="5"/>
        <v>496</v>
      </c>
    </row>
    <row r="59" ht="15.75" customHeight="1">
      <c r="A59" s="136" t="s">
        <v>1126</v>
      </c>
      <c r="B59" s="466">
        <f t="shared" si="1"/>
        <v>494.446281</v>
      </c>
      <c r="C59" s="488" t="s">
        <v>1127</v>
      </c>
      <c r="D59" s="35"/>
      <c r="E59" s="136"/>
      <c r="F59" s="135">
        <v>400.0</v>
      </c>
      <c r="G59" s="35"/>
      <c r="M59" s="473">
        <f t="shared" si="2"/>
        <v>247.2231405</v>
      </c>
      <c r="N59" s="132">
        <v>299.14</v>
      </c>
      <c r="O59" s="468">
        <f t="shared" si="8"/>
        <v>543.8909091</v>
      </c>
      <c r="Q59" s="484">
        <f t="shared" si="9"/>
        <v>598.28</v>
      </c>
      <c r="R59" s="434"/>
      <c r="S59" s="471">
        <f t="shared" si="5"/>
        <v>400</v>
      </c>
    </row>
    <row r="60" ht="15.75" customHeight="1">
      <c r="A60" s="136" t="s">
        <v>1128</v>
      </c>
      <c r="B60" s="466">
        <f t="shared" si="1"/>
        <v>531.6694215</v>
      </c>
      <c r="C60" s="488" t="s">
        <v>1129</v>
      </c>
      <c r="D60" s="35"/>
      <c r="E60" s="136"/>
      <c r="F60" s="135">
        <v>300.0</v>
      </c>
      <c r="G60" s="35"/>
      <c r="M60" s="473">
        <f t="shared" si="2"/>
        <v>265.8347107</v>
      </c>
      <c r="N60" s="132">
        <v>321.66</v>
      </c>
      <c r="O60" s="468">
        <f t="shared" si="8"/>
        <v>584.8363636</v>
      </c>
      <c r="Q60" s="484">
        <f t="shared" si="9"/>
        <v>643.32</v>
      </c>
      <c r="R60" s="448">
        <v>9.0</v>
      </c>
      <c r="S60" s="471">
        <f t="shared" si="5"/>
        <v>291</v>
      </c>
    </row>
    <row r="61" ht="15.75" customHeight="1">
      <c r="A61" s="136" t="s">
        <v>1130</v>
      </c>
      <c r="B61" s="466">
        <f t="shared" si="1"/>
        <v>182.4793388</v>
      </c>
      <c r="C61" s="489" t="s">
        <v>1131</v>
      </c>
      <c r="D61" s="35"/>
      <c r="E61" s="136"/>
      <c r="F61" s="135">
        <v>800.0</v>
      </c>
      <c r="G61" s="35"/>
      <c r="M61" s="473">
        <f t="shared" si="2"/>
        <v>91.23966942</v>
      </c>
      <c r="N61" s="132">
        <v>110.4</v>
      </c>
      <c r="O61" s="468">
        <f t="shared" si="8"/>
        <v>200.7272727</v>
      </c>
      <c r="Q61" s="484">
        <f t="shared" si="9"/>
        <v>220.8</v>
      </c>
      <c r="R61" s="434"/>
      <c r="S61" s="471">
        <f t="shared" si="5"/>
        <v>800</v>
      </c>
    </row>
    <row r="62" ht="15.75" customHeight="1">
      <c r="A62" s="136" t="s">
        <v>1132</v>
      </c>
      <c r="B62" s="466">
        <f t="shared" si="1"/>
        <v>187.3553719</v>
      </c>
      <c r="C62" s="489" t="s">
        <v>1133</v>
      </c>
      <c r="D62" s="35"/>
      <c r="E62" s="136"/>
      <c r="F62" s="135">
        <v>800.0</v>
      </c>
      <c r="G62" s="35"/>
      <c r="M62" s="473">
        <f t="shared" si="2"/>
        <v>93.67768595</v>
      </c>
      <c r="N62" s="132">
        <v>113.35</v>
      </c>
      <c r="O62" s="468">
        <f t="shared" si="8"/>
        <v>206.0909091</v>
      </c>
      <c r="Q62" s="484">
        <f t="shared" si="9"/>
        <v>226.7</v>
      </c>
      <c r="R62" s="448">
        <v>9.0</v>
      </c>
      <c r="S62" s="471">
        <f t="shared" si="5"/>
        <v>791</v>
      </c>
    </row>
    <row r="63" ht="15.75" customHeight="1">
      <c r="A63" s="136" t="s">
        <v>1134</v>
      </c>
      <c r="B63" s="466">
        <f t="shared" si="1"/>
        <v>202.6942149</v>
      </c>
      <c r="C63" s="489" t="s">
        <v>1135</v>
      </c>
      <c r="D63" s="35"/>
      <c r="E63" s="136"/>
      <c r="F63" s="135">
        <v>800.0</v>
      </c>
      <c r="G63" s="35"/>
      <c r="M63" s="473">
        <f t="shared" si="2"/>
        <v>101.3471074</v>
      </c>
      <c r="N63" s="132">
        <v>122.63</v>
      </c>
      <c r="O63" s="468">
        <f t="shared" si="8"/>
        <v>222.9636364</v>
      </c>
      <c r="Q63" s="484">
        <f t="shared" si="9"/>
        <v>245.26</v>
      </c>
      <c r="R63" s="434"/>
      <c r="S63" s="471">
        <f t="shared" si="5"/>
        <v>800</v>
      </c>
    </row>
    <row r="64" ht="15.75" customHeight="1">
      <c r="A64" s="136" t="s">
        <v>1136</v>
      </c>
      <c r="B64" s="466">
        <f t="shared" si="1"/>
        <v>226.5950413</v>
      </c>
      <c r="C64" s="489" t="s">
        <v>1137</v>
      </c>
      <c r="D64" s="35"/>
      <c r="E64" s="136"/>
      <c r="F64" s="135">
        <v>700.0</v>
      </c>
      <c r="G64" s="35"/>
      <c r="M64" s="473">
        <f t="shared" si="2"/>
        <v>113.2975207</v>
      </c>
      <c r="N64" s="132">
        <v>137.09</v>
      </c>
      <c r="O64" s="468">
        <f t="shared" si="8"/>
        <v>249.2545455</v>
      </c>
      <c r="Q64" s="484">
        <f t="shared" si="9"/>
        <v>274.18</v>
      </c>
      <c r="R64" s="434"/>
      <c r="S64" s="471">
        <f t="shared" si="5"/>
        <v>700</v>
      </c>
    </row>
    <row r="65">
      <c r="A65" s="136">
        <v>21410.0</v>
      </c>
      <c r="B65" s="466">
        <f t="shared" si="1"/>
        <v>437.5702479</v>
      </c>
      <c r="C65" s="436" t="s">
        <v>1138</v>
      </c>
      <c r="D65" s="35"/>
      <c r="F65" s="135">
        <v>200.0</v>
      </c>
      <c r="G65" s="35"/>
      <c r="M65" s="473">
        <f t="shared" si="2"/>
        <v>218.785124</v>
      </c>
      <c r="N65" s="132">
        <v>264.73</v>
      </c>
      <c r="O65" s="468">
        <f t="shared" si="8"/>
        <v>481.3272727</v>
      </c>
      <c r="Q65" s="484">
        <f t="shared" si="9"/>
        <v>529.46</v>
      </c>
      <c r="R65" s="434"/>
      <c r="S65" s="471">
        <f t="shared" si="5"/>
        <v>200</v>
      </c>
      <c r="T65" s="389">
        <f>218.79*1.21</f>
        <v>264.7359</v>
      </c>
    </row>
    <row r="66" ht="15.75" customHeight="1">
      <c r="A66" s="136">
        <v>21412.0</v>
      </c>
      <c r="B66" s="466">
        <f t="shared" si="1"/>
        <v>437.5702479</v>
      </c>
      <c r="C66" s="138" t="s">
        <v>1139</v>
      </c>
      <c r="D66" s="35"/>
      <c r="E66" s="136"/>
      <c r="F66" s="135">
        <v>200.0</v>
      </c>
      <c r="G66" s="35"/>
      <c r="M66" s="473">
        <f t="shared" si="2"/>
        <v>218.785124</v>
      </c>
      <c r="N66" s="132">
        <v>264.73</v>
      </c>
      <c r="O66" s="468">
        <f t="shared" si="8"/>
        <v>481.3272727</v>
      </c>
      <c r="Q66" s="484">
        <f t="shared" si="9"/>
        <v>529.46</v>
      </c>
      <c r="R66" s="434"/>
      <c r="S66" s="471">
        <f t="shared" si="5"/>
        <v>200</v>
      </c>
    </row>
    <row r="67" ht="15.75" customHeight="1">
      <c r="A67" s="136">
        <v>21411.0</v>
      </c>
      <c r="B67" s="466">
        <f t="shared" si="1"/>
        <v>674.6280992</v>
      </c>
      <c r="C67" s="138" t="s">
        <v>1140</v>
      </c>
      <c r="D67" s="35"/>
      <c r="E67" s="136"/>
      <c r="F67" s="135">
        <v>200.0</v>
      </c>
      <c r="G67" s="35"/>
      <c r="M67" s="473">
        <f t="shared" si="2"/>
        <v>337.3140496</v>
      </c>
      <c r="N67" s="132">
        <v>408.15</v>
      </c>
      <c r="O67" s="468">
        <f t="shared" si="8"/>
        <v>742.0909091</v>
      </c>
      <c r="Q67" s="484">
        <f t="shared" si="9"/>
        <v>816.3</v>
      </c>
      <c r="R67" s="448">
        <v>1.0</v>
      </c>
      <c r="S67" s="471">
        <f t="shared" si="5"/>
        <v>199</v>
      </c>
    </row>
    <row r="68" ht="15.75" customHeight="1">
      <c r="A68" s="136">
        <v>21414.0</v>
      </c>
      <c r="B68" s="466">
        <f t="shared" si="1"/>
        <v>437.5702479</v>
      </c>
      <c r="C68" s="436" t="s">
        <v>1141</v>
      </c>
      <c r="D68" s="35"/>
      <c r="E68" s="136"/>
      <c r="F68" s="135">
        <v>200.0</v>
      </c>
      <c r="G68" s="35"/>
      <c r="M68" s="473">
        <f t="shared" si="2"/>
        <v>218.785124</v>
      </c>
      <c r="N68" s="132">
        <v>264.73</v>
      </c>
      <c r="O68" s="468">
        <f t="shared" si="8"/>
        <v>481.3272727</v>
      </c>
      <c r="Q68" s="484">
        <f t="shared" si="9"/>
        <v>529.46</v>
      </c>
      <c r="R68" s="434"/>
      <c r="S68" s="471">
        <f t="shared" si="5"/>
        <v>200</v>
      </c>
    </row>
    <row r="69" ht="15.75" customHeight="1">
      <c r="A69" s="472" t="s">
        <v>1142</v>
      </c>
      <c r="B69" s="466">
        <f t="shared" si="1"/>
        <v>6336.049587</v>
      </c>
      <c r="C69" s="138" t="s">
        <v>1143</v>
      </c>
      <c r="D69" s="35"/>
      <c r="E69" s="136"/>
      <c r="F69" s="135">
        <v>2000.0</v>
      </c>
      <c r="G69" s="35"/>
      <c r="M69" s="473">
        <f t="shared" si="2"/>
        <v>3168.024793</v>
      </c>
      <c r="N69" s="132">
        <v>3833.31</v>
      </c>
      <c r="O69" s="468">
        <f t="shared" si="8"/>
        <v>6969.654545</v>
      </c>
      <c r="P69" s="479">
        <f>Q69/200</f>
        <v>38.3331</v>
      </c>
      <c r="Q69" s="484">
        <f t="shared" si="9"/>
        <v>7666.62</v>
      </c>
      <c r="R69" s="434"/>
      <c r="S69" s="471">
        <f t="shared" si="5"/>
        <v>2000</v>
      </c>
    </row>
    <row r="70" ht="15.75" customHeight="1">
      <c r="A70" s="136">
        <v>61016.0</v>
      </c>
      <c r="B70" s="466">
        <f t="shared" si="1"/>
        <v>6849.68595</v>
      </c>
      <c r="C70" s="138" t="s">
        <v>1144</v>
      </c>
      <c r="D70" s="35"/>
      <c r="E70" s="136"/>
      <c r="F70" s="135">
        <v>59.0</v>
      </c>
      <c r="G70" s="35"/>
      <c r="M70" s="473">
        <f t="shared" si="2"/>
        <v>3424.842975</v>
      </c>
      <c r="N70" s="132">
        <v>4144.06</v>
      </c>
      <c r="O70" s="468">
        <f t="shared" si="8"/>
        <v>7534.654545</v>
      </c>
      <c r="Q70" s="484">
        <f t="shared" si="9"/>
        <v>8288.12</v>
      </c>
      <c r="R70" s="448">
        <v>1.0</v>
      </c>
      <c r="S70" s="471">
        <f t="shared" si="5"/>
        <v>58</v>
      </c>
    </row>
    <row r="71" ht="15.75" customHeight="1">
      <c r="A71" s="136">
        <v>61618.0</v>
      </c>
      <c r="B71" s="466">
        <f t="shared" si="1"/>
        <v>9175.305785</v>
      </c>
      <c r="C71" s="138" t="s">
        <v>1145</v>
      </c>
      <c r="D71" s="35"/>
      <c r="E71" s="136"/>
      <c r="F71" s="135">
        <v>30.0</v>
      </c>
      <c r="G71" s="35"/>
      <c r="M71" s="473">
        <f t="shared" si="2"/>
        <v>4587.652893</v>
      </c>
      <c r="N71" s="132">
        <v>5551.06</v>
      </c>
      <c r="O71" s="468">
        <f t="shared" si="8"/>
        <v>10092.83636</v>
      </c>
      <c r="Q71" s="484">
        <f t="shared" si="9"/>
        <v>11102.12</v>
      </c>
      <c r="R71" s="434"/>
      <c r="S71" s="471">
        <f t="shared" si="5"/>
        <v>30</v>
      </c>
    </row>
    <row r="72" ht="15.75" customHeight="1">
      <c r="A72" s="136">
        <v>61825.0</v>
      </c>
      <c r="B72" s="466">
        <f t="shared" si="1"/>
        <v>13416.61157</v>
      </c>
      <c r="C72" s="138" t="s">
        <v>1146</v>
      </c>
      <c r="D72" s="35"/>
      <c r="E72" s="136"/>
      <c r="F72" s="135">
        <v>24.0</v>
      </c>
      <c r="G72" s="35"/>
      <c r="M72" s="473">
        <f t="shared" si="2"/>
        <v>6708.305785</v>
      </c>
      <c r="N72" s="132">
        <v>8117.05</v>
      </c>
      <c r="O72" s="468">
        <f t="shared" si="8"/>
        <v>14758.27273</v>
      </c>
      <c r="Q72" s="484">
        <f t="shared" si="9"/>
        <v>16234.1</v>
      </c>
      <c r="R72" s="434"/>
      <c r="S72" s="471">
        <f t="shared" si="5"/>
        <v>24</v>
      </c>
    </row>
    <row r="73" ht="15.75" customHeight="1">
      <c r="A73" s="136" t="s">
        <v>1147</v>
      </c>
      <c r="B73" s="466">
        <f t="shared" si="1"/>
        <v>81447.61983</v>
      </c>
      <c r="C73" s="138" t="s">
        <v>1148</v>
      </c>
      <c r="D73" s="35"/>
      <c r="E73" s="136"/>
      <c r="F73" s="135">
        <v>6.0</v>
      </c>
      <c r="G73" s="35"/>
      <c r="M73" s="473">
        <f t="shared" si="2"/>
        <v>40723.80992</v>
      </c>
      <c r="N73" s="132">
        <v>49275.81</v>
      </c>
      <c r="O73" s="468">
        <f t="shared" si="8"/>
        <v>89592.38182</v>
      </c>
      <c r="Q73" s="484">
        <f t="shared" si="9"/>
        <v>98551.62</v>
      </c>
      <c r="R73" s="434"/>
      <c r="S73" s="471">
        <f t="shared" si="5"/>
        <v>6</v>
      </c>
    </row>
    <row r="74" ht="15.75" customHeight="1">
      <c r="A74" s="136" t="s">
        <v>1149</v>
      </c>
      <c r="B74" s="466">
        <f t="shared" si="1"/>
        <v>29303.50413</v>
      </c>
      <c r="C74" s="138" t="s">
        <v>1150</v>
      </c>
      <c r="D74" s="35"/>
      <c r="E74" s="136"/>
      <c r="F74" s="135">
        <v>2.0</v>
      </c>
      <c r="G74" s="35"/>
      <c r="M74" s="473">
        <f t="shared" si="2"/>
        <v>14651.75207</v>
      </c>
      <c r="N74" s="132">
        <v>17728.62</v>
      </c>
      <c r="O74" s="468">
        <f t="shared" si="8"/>
        <v>32233.85455</v>
      </c>
      <c r="Q74" s="484">
        <f t="shared" si="9"/>
        <v>35457.24</v>
      </c>
      <c r="R74" s="434"/>
      <c r="S74" s="471">
        <f t="shared" si="5"/>
        <v>2</v>
      </c>
    </row>
    <row r="75" ht="15.75" customHeight="1">
      <c r="A75" s="136" t="s">
        <v>1151</v>
      </c>
      <c r="B75" s="466">
        <f t="shared" si="1"/>
        <v>22936.7438</v>
      </c>
      <c r="C75" s="138" t="s">
        <v>1152</v>
      </c>
      <c r="D75" s="35"/>
      <c r="E75" s="136"/>
      <c r="F75" s="135">
        <v>4.0</v>
      </c>
      <c r="G75" s="35"/>
      <c r="M75" s="473">
        <f t="shared" si="2"/>
        <v>11468.3719</v>
      </c>
      <c r="N75" s="132">
        <v>13876.73</v>
      </c>
      <c r="O75" s="468">
        <f t="shared" si="8"/>
        <v>25230.41818</v>
      </c>
      <c r="Q75" s="484">
        <f t="shared" si="9"/>
        <v>27753.46</v>
      </c>
      <c r="R75" s="434"/>
      <c r="S75" s="471">
        <f t="shared" si="5"/>
        <v>4</v>
      </c>
    </row>
    <row r="76" ht="15.75" customHeight="1">
      <c r="A76" s="136" t="s">
        <v>1153</v>
      </c>
      <c r="B76" s="466">
        <f t="shared" si="1"/>
        <v>26044.14876</v>
      </c>
      <c r="C76" s="138" t="s">
        <v>1154</v>
      </c>
      <c r="D76" s="35"/>
      <c r="E76" s="136"/>
      <c r="F76" s="135">
        <v>4.0</v>
      </c>
      <c r="G76" s="35"/>
      <c r="M76" s="473">
        <f t="shared" si="2"/>
        <v>13022.07438</v>
      </c>
      <c r="N76" s="132">
        <v>15756.71</v>
      </c>
      <c r="O76" s="468">
        <f t="shared" si="8"/>
        <v>28648.56364</v>
      </c>
      <c r="Q76" s="484">
        <f t="shared" si="9"/>
        <v>31513.42</v>
      </c>
      <c r="R76" s="434"/>
      <c r="S76" s="471">
        <f t="shared" si="5"/>
        <v>4</v>
      </c>
    </row>
    <row r="77" ht="15.75" customHeight="1">
      <c r="A77" s="136" t="s">
        <v>1155</v>
      </c>
      <c r="B77" s="466">
        <f t="shared" si="1"/>
        <v>30514.59504</v>
      </c>
      <c r="C77" s="138" t="s">
        <v>1156</v>
      </c>
      <c r="D77" s="35"/>
      <c r="E77" s="136"/>
      <c r="F77" s="135">
        <v>4.0</v>
      </c>
      <c r="G77" s="35"/>
      <c r="M77" s="473">
        <f t="shared" si="2"/>
        <v>15257.29752</v>
      </c>
      <c r="N77" s="132">
        <v>18461.33</v>
      </c>
      <c r="O77" s="468">
        <f t="shared" si="8"/>
        <v>33566.05455</v>
      </c>
      <c r="Q77" s="484">
        <f t="shared" si="9"/>
        <v>36922.66</v>
      </c>
      <c r="R77" s="434"/>
      <c r="S77" s="471">
        <f t="shared" si="5"/>
        <v>4</v>
      </c>
    </row>
    <row r="78" ht="15.75" customHeight="1">
      <c r="A78" s="136" t="s">
        <v>1157</v>
      </c>
      <c r="B78" s="466">
        <f t="shared" si="1"/>
        <v>31963.57025</v>
      </c>
      <c r="C78" s="138" t="s">
        <v>1158</v>
      </c>
      <c r="D78" s="35"/>
      <c r="E78" s="136"/>
      <c r="F78" s="135">
        <v>4.0</v>
      </c>
      <c r="G78" s="35"/>
      <c r="M78" s="473">
        <f t="shared" si="2"/>
        <v>15981.78512</v>
      </c>
      <c r="N78" s="132">
        <v>19337.96</v>
      </c>
      <c r="O78" s="468">
        <f t="shared" si="8"/>
        <v>35159.92727</v>
      </c>
      <c r="Q78" s="484">
        <f t="shared" si="9"/>
        <v>38675.92</v>
      </c>
      <c r="R78" s="434"/>
      <c r="S78" s="471">
        <f t="shared" si="5"/>
        <v>4</v>
      </c>
    </row>
    <row r="79">
      <c r="A79" s="136" t="s">
        <v>1159</v>
      </c>
      <c r="B79" s="466">
        <f t="shared" si="1"/>
        <v>1630.016529</v>
      </c>
      <c r="C79" s="436" t="s">
        <v>1160</v>
      </c>
      <c r="D79" s="35"/>
      <c r="F79" s="135">
        <v>48.0</v>
      </c>
      <c r="G79" s="35"/>
      <c r="M79" s="473">
        <f t="shared" si="2"/>
        <v>815.0082645</v>
      </c>
      <c r="N79" s="132">
        <v>986.16</v>
      </c>
      <c r="O79" s="468">
        <f t="shared" si="8"/>
        <v>1793.018182</v>
      </c>
      <c r="Q79" s="484">
        <f t="shared" si="9"/>
        <v>1972.32</v>
      </c>
      <c r="R79" s="434"/>
      <c r="S79" s="471">
        <f t="shared" si="5"/>
        <v>48</v>
      </c>
      <c r="T79" s="132">
        <v>815.01</v>
      </c>
    </row>
    <row r="80" ht="15.75" customHeight="1">
      <c r="A80" s="136" t="s">
        <v>1161</v>
      </c>
      <c r="B80" s="466">
        <f t="shared" si="1"/>
        <v>3003.371901</v>
      </c>
      <c r="C80" s="138" t="s">
        <v>1162</v>
      </c>
      <c r="D80" s="35"/>
      <c r="E80" s="136"/>
      <c r="F80" s="135">
        <v>95.0</v>
      </c>
      <c r="G80" s="35"/>
      <c r="M80" s="473">
        <f t="shared" si="2"/>
        <v>1501.68595</v>
      </c>
      <c r="N80" s="132">
        <v>1817.04</v>
      </c>
      <c r="O80" s="468">
        <f t="shared" si="8"/>
        <v>3303.709091</v>
      </c>
      <c r="Q80" s="484">
        <f t="shared" si="9"/>
        <v>3634.08</v>
      </c>
      <c r="R80" s="434"/>
      <c r="S80" s="471">
        <f t="shared" si="5"/>
        <v>95</v>
      </c>
    </row>
    <row r="81" ht="15.75" customHeight="1">
      <c r="A81" s="136" t="s">
        <v>1163</v>
      </c>
      <c r="B81" s="466">
        <f t="shared" si="1"/>
        <v>3003.371901</v>
      </c>
      <c r="C81" s="138" t="s">
        <v>1164</v>
      </c>
      <c r="D81" s="35"/>
      <c r="E81" s="136"/>
      <c r="F81" s="135">
        <v>48.0</v>
      </c>
      <c r="G81" s="35"/>
      <c r="M81" s="473">
        <f t="shared" si="2"/>
        <v>1501.68595</v>
      </c>
      <c r="N81" s="132">
        <v>1817.04</v>
      </c>
      <c r="O81" s="468">
        <f t="shared" si="8"/>
        <v>3303.709091</v>
      </c>
      <c r="Q81" s="484">
        <f t="shared" si="9"/>
        <v>3634.08</v>
      </c>
      <c r="R81" s="434"/>
      <c r="S81" s="471">
        <f t="shared" si="5"/>
        <v>48</v>
      </c>
    </row>
    <row r="82" ht="15.75" customHeight="1">
      <c r="A82" s="136" t="s">
        <v>1165</v>
      </c>
      <c r="B82" s="466">
        <f t="shared" si="1"/>
        <v>3432.595041</v>
      </c>
      <c r="C82" s="138" t="s">
        <v>1166</v>
      </c>
      <c r="D82" s="35"/>
      <c r="E82" s="136"/>
      <c r="F82" s="135">
        <v>48.0</v>
      </c>
      <c r="G82" s="35"/>
      <c r="M82" s="473">
        <f t="shared" si="2"/>
        <v>1716.297521</v>
      </c>
      <c r="N82" s="132">
        <v>2076.72</v>
      </c>
      <c r="O82" s="468">
        <f t="shared" si="8"/>
        <v>3775.854545</v>
      </c>
      <c r="Q82" s="484">
        <f t="shared" si="9"/>
        <v>4153.44</v>
      </c>
      <c r="R82" s="434"/>
      <c r="S82" s="471">
        <f t="shared" si="5"/>
        <v>48</v>
      </c>
    </row>
    <row r="83" ht="15.75" customHeight="1">
      <c r="A83" s="136" t="s">
        <v>1167</v>
      </c>
      <c r="B83" s="466">
        <f t="shared" si="1"/>
        <v>1369.917355</v>
      </c>
      <c r="C83" s="138" t="s">
        <v>1168</v>
      </c>
      <c r="D83" s="35"/>
      <c r="E83" s="136"/>
      <c r="F83" s="135">
        <v>45.0</v>
      </c>
      <c r="G83" s="35"/>
      <c r="M83" s="473">
        <f t="shared" si="2"/>
        <v>684.9586777</v>
      </c>
      <c r="N83" s="132">
        <v>828.8</v>
      </c>
      <c r="O83" s="468">
        <f t="shared" si="8"/>
        <v>1506.909091</v>
      </c>
      <c r="Q83" s="484">
        <f t="shared" si="9"/>
        <v>1657.6</v>
      </c>
      <c r="R83" s="434"/>
      <c r="S83" s="471">
        <f t="shared" si="5"/>
        <v>45</v>
      </c>
      <c r="U83" s="490"/>
    </row>
    <row r="84" ht="15.75" customHeight="1">
      <c r="A84" s="136" t="s">
        <v>1169</v>
      </c>
      <c r="B84" s="466">
        <f t="shared" si="1"/>
        <v>1312.429752</v>
      </c>
      <c r="C84" s="138" t="s">
        <v>1170</v>
      </c>
      <c r="D84" s="35"/>
      <c r="E84" s="136"/>
      <c r="F84" s="135">
        <v>95.0</v>
      </c>
      <c r="G84" s="35"/>
      <c r="M84" s="473">
        <f t="shared" si="2"/>
        <v>656.214876</v>
      </c>
      <c r="N84" s="132">
        <v>794.02</v>
      </c>
      <c r="O84" s="468">
        <f t="shared" si="8"/>
        <v>1443.672727</v>
      </c>
      <c r="Q84" s="484">
        <f t="shared" si="9"/>
        <v>1588.04</v>
      </c>
      <c r="R84" s="434"/>
      <c r="S84" s="471">
        <f t="shared" si="5"/>
        <v>95</v>
      </c>
    </row>
    <row r="85" ht="15.75" customHeight="1">
      <c r="A85" s="136" t="s">
        <v>1171</v>
      </c>
      <c r="B85" s="466">
        <f t="shared" si="1"/>
        <v>1312.429752</v>
      </c>
      <c r="C85" s="138" t="s">
        <v>1172</v>
      </c>
      <c r="D85" s="35"/>
      <c r="E85" s="136"/>
      <c r="F85" s="135">
        <v>95.0</v>
      </c>
      <c r="G85" s="35"/>
      <c r="M85" s="473">
        <f t="shared" si="2"/>
        <v>656.214876</v>
      </c>
      <c r="N85" s="132">
        <v>794.02</v>
      </c>
      <c r="O85" s="468">
        <f t="shared" si="8"/>
        <v>1443.672727</v>
      </c>
      <c r="Q85" s="484">
        <f t="shared" si="9"/>
        <v>1588.04</v>
      </c>
      <c r="R85" s="434"/>
      <c r="S85" s="471">
        <f t="shared" si="5"/>
        <v>95</v>
      </c>
    </row>
    <row r="86" ht="15.75" customHeight="1">
      <c r="A86" s="136" t="s">
        <v>1173</v>
      </c>
      <c r="B86" s="466">
        <f t="shared" si="1"/>
        <v>3993.669421</v>
      </c>
      <c r="C86" s="138" t="s">
        <v>1174</v>
      </c>
      <c r="D86" s="35"/>
      <c r="E86" s="491"/>
      <c r="F86" s="135">
        <v>36.0</v>
      </c>
      <c r="G86" s="35"/>
      <c r="M86" s="473">
        <f t="shared" si="2"/>
        <v>1996.834711</v>
      </c>
      <c r="N86" s="132">
        <v>2416.17</v>
      </c>
      <c r="O86" s="468">
        <f t="shared" si="8"/>
        <v>4393.036364</v>
      </c>
      <c r="Q86" s="484">
        <f t="shared" si="9"/>
        <v>4832.34</v>
      </c>
      <c r="R86" s="448">
        <v>2.0</v>
      </c>
      <c r="S86" s="471">
        <f t="shared" si="5"/>
        <v>34</v>
      </c>
    </row>
    <row r="87" ht="15.75" customHeight="1">
      <c r="A87" s="472" t="s">
        <v>1175</v>
      </c>
      <c r="B87" s="466">
        <f t="shared" si="1"/>
        <v>13636.36364</v>
      </c>
      <c r="C87" s="436" t="s">
        <v>1176</v>
      </c>
      <c r="D87" s="34"/>
      <c r="E87" s="472"/>
      <c r="F87" s="492">
        <v>27.0</v>
      </c>
      <c r="G87" s="35"/>
      <c r="M87" s="473">
        <f t="shared" si="2"/>
        <v>6818.181818</v>
      </c>
      <c r="N87" s="132">
        <v>8250.0</v>
      </c>
      <c r="O87" s="468">
        <f t="shared" si="8"/>
        <v>15000</v>
      </c>
      <c r="Q87" s="484">
        <f t="shared" si="9"/>
        <v>16500</v>
      </c>
      <c r="R87" s="448"/>
      <c r="S87" s="493">
        <v>26.0</v>
      </c>
    </row>
    <row r="88" ht="15.75" customHeight="1">
      <c r="A88" s="136" t="s">
        <v>1177</v>
      </c>
      <c r="B88" s="466">
        <f t="shared" si="1"/>
        <v>6842.016529</v>
      </c>
      <c r="C88" s="138" t="s">
        <v>1178</v>
      </c>
      <c r="D88" s="35"/>
      <c r="E88" s="136"/>
      <c r="F88" s="494">
        <v>18.0</v>
      </c>
      <c r="G88" s="35"/>
      <c r="M88" s="473">
        <f t="shared" si="2"/>
        <v>3421.008264</v>
      </c>
      <c r="N88" s="132">
        <v>4139.42</v>
      </c>
      <c r="O88" s="468">
        <f t="shared" si="8"/>
        <v>7526.218182</v>
      </c>
      <c r="Q88" s="484">
        <f t="shared" si="9"/>
        <v>8278.84</v>
      </c>
      <c r="R88" s="434"/>
      <c r="S88" s="471">
        <f t="shared" ref="S88:S89" si="10">F88-R88</f>
        <v>18</v>
      </c>
    </row>
    <row r="89">
      <c r="A89" s="136" t="s">
        <v>1179</v>
      </c>
      <c r="B89" s="466">
        <f t="shared" si="1"/>
        <v>6481.62284</v>
      </c>
      <c r="C89" s="138" t="s">
        <v>1180</v>
      </c>
      <c r="D89" s="35"/>
      <c r="E89" s="490"/>
      <c r="F89" s="494">
        <v>96.0</v>
      </c>
      <c r="G89" s="35"/>
      <c r="M89" s="473">
        <f t="shared" si="2"/>
        <v>3564.892562</v>
      </c>
      <c r="N89" s="132">
        <v>4313.52</v>
      </c>
      <c r="O89" s="468">
        <f>N89/(1-0.4)</f>
        <v>7189.2</v>
      </c>
      <c r="Q89" s="477">
        <f>N89/(1-0.45)</f>
        <v>7842.763636</v>
      </c>
      <c r="R89" s="434"/>
      <c r="S89" s="471">
        <f t="shared" si="10"/>
        <v>96</v>
      </c>
    </row>
    <row r="92">
      <c r="B92" s="495"/>
      <c r="C92" s="495"/>
    </row>
    <row r="93" ht="15.75" customHeight="1">
      <c r="F93" s="496"/>
      <c r="R93" s="372"/>
      <c r="S93" s="461"/>
    </row>
    <row r="94" ht="15.75" customHeight="1">
      <c r="F94" s="496"/>
      <c r="R94" s="372"/>
      <c r="S94" s="461"/>
    </row>
    <row r="95" ht="15.75" customHeight="1">
      <c r="F95" s="496"/>
      <c r="R95" s="372"/>
      <c r="S95" s="461"/>
    </row>
    <row r="96" ht="15.75" customHeight="1">
      <c r="F96" s="496"/>
      <c r="R96" s="372"/>
      <c r="S96" s="461"/>
    </row>
    <row r="97" ht="15.75" customHeight="1">
      <c r="F97" s="496"/>
      <c r="R97" s="372"/>
      <c r="S97" s="461"/>
    </row>
    <row r="98" ht="15.75" customHeight="1">
      <c r="F98" s="496"/>
      <c r="R98" s="372"/>
      <c r="S98" s="461"/>
    </row>
    <row r="99" ht="15.75" customHeight="1">
      <c r="F99" s="496"/>
      <c r="R99" s="372"/>
      <c r="S99" s="461"/>
    </row>
    <row r="100" ht="15.75" customHeight="1">
      <c r="F100" s="496"/>
      <c r="R100" s="372"/>
      <c r="S100" s="461"/>
    </row>
    <row r="101" ht="15.75" customHeight="1">
      <c r="F101" s="496"/>
      <c r="R101" s="372"/>
      <c r="S101" s="461"/>
    </row>
    <row r="102" ht="15.75" customHeight="1">
      <c r="F102" s="496"/>
      <c r="R102" s="372"/>
      <c r="S102" s="461"/>
    </row>
    <row r="103" ht="15.75" customHeight="1">
      <c r="F103" s="496"/>
      <c r="R103" s="372"/>
      <c r="S103" s="461"/>
    </row>
    <row r="104" ht="15.75" customHeight="1">
      <c r="F104" s="496"/>
      <c r="R104" s="372"/>
      <c r="S104" s="461"/>
    </row>
    <row r="105" ht="15.75" customHeight="1">
      <c r="F105" s="496"/>
      <c r="R105" s="372"/>
      <c r="S105" s="461"/>
    </row>
    <row r="106" ht="15.75" customHeight="1">
      <c r="F106" s="496"/>
      <c r="R106" s="372"/>
      <c r="S106" s="461"/>
    </row>
    <row r="107" ht="15.75" customHeight="1">
      <c r="F107" s="496"/>
      <c r="R107" s="372"/>
      <c r="S107" s="461"/>
    </row>
    <row r="108" ht="15.75" customHeight="1">
      <c r="F108" s="496"/>
      <c r="R108" s="372"/>
      <c r="S108" s="461"/>
    </row>
    <row r="109" ht="15.75" customHeight="1">
      <c r="F109" s="496"/>
      <c r="R109" s="372"/>
      <c r="S109" s="461"/>
    </row>
    <row r="110" ht="15.75" customHeight="1">
      <c r="F110" s="496"/>
      <c r="R110" s="372"/>
      <c r="S110" s="461"/>
    </row>
    <row r="111" ht="15.75" customHeight="1">
      <c r="F111" s="496"/>
      <c r="R111" s="372"/>
      <c r="S111" s="461"/>
    </row>
    <row r="112" ht="15.75" customHeight="1">
      <c r="F112" s="496"/>
      <c r="R112" s="372"/>
      <c r="S112" s="461"/>
    </row>
    <row r="113" ht="15.75" customHeight="1">
      <c r="F113" s="496"/>
      <c r="R113" s="372"/>
      <c r="S113" s="461"/>
    </row>
    <row r="114" ht="15.75" customHeight="1">
      <c r="F114" s="496"/>
      <c r="R114" s="372"/>
      <c r="S114" s="461"/>
    </row>
    <row r="115" ht="15.75" customHeight="1">
      <c r="F115" s="496"/>
      <c r="R115" s="372"/>
      <c r="S115" s="461"/>
    </row>
    <row r="116" ht="15.75" customHeight="1">
      <c r="F116" s="496"/>
      <c r="R116" s="372"/>
      <c r="S116" s="461"/>
    </row>
    <row r="117" ht="15.75" customHeight="1">
      <c r="F117" s="496"/>
      <c r="R117" s="372"/>
      <c r="S117" s="461"/>
    </row>
    <row r="118" ht="15.75" customHeight="1">
      <c r="F118" s="496"/>
      <c r="R118" s="372"/>
      <c r="S118" s="461"/>
    </row>
    <row r="119" ht="15.75" customHeight="1">
      <c r="F119" s="496"/>
      <c r="R119" s="372"/>
      <c r="S119" s="461"/>
    </row>
    <row r="120" ht="15.75" customHeight="1">
      <c r="F120" s="496"/>
      <c r="R120" s="372"/>
      <c r="S120" s="461"/>
    </row>
    <row r="121" ht="15.75" customHeight="1">
      <c r="F121" s="496"/>
      <c r="R121" s="372"/>
      <c r="S121" s="461"/>
    </row>
    <row r="122" ht="15.75" customHeight="1">
      <c r="F122" s="496"/>
      <c r="R122" s="372"/>
      <c r="S122" s="461"/>
    </row>
    <row r="123" ht="15.75" customHeight="1">
      <c r="F123" s="496"/>
      <c r="R123" s="372"/>
      <c r="S123" s="461"/>
    </row>
    <row r="124" ht="15.75" customHeight="1">
      <c r="F124" s="496"/>
      <c r="R124" s="372"/>
      <c r="S124" s="461"/>
    </row>
    <row r="125" ht="15.75" customHeight="1">
      <c r="F125" s="496"/>
      <c r="R125" s="372"/>
      <c r="S125" s="461"/>
    </row>
    <row r="126" ht="15.75" customHeight="1">
      <c r="F126" s="496"/>
      <c r="R126" s="372"/>
      <c r="S126" s="461"/>
    </row>
    <row r="127" ht="15.75" customHeight="1">
      <c r="F127" s="496"/>
      <c r="R127" s="372"/>
      <c r="S127" s="461"/>
    </row>
    <row r="128" ht="15.75" customHeight="1">
      <c r="F128" s="496"/>
      <c r="R128" s="372"/>
      <c r="S128" s="461"/>
    </row>
    <row r="129" ht="15.75" customHeight="1">
      <c r="F129" s="496"/>
      <c r="R129" s="372"/>
      <c r="S129" s="461"/>
    </row>
    <row r="130" ht="15.75" customHeight="1">
      <c r="F130" s="496"/>
      <c r="R130" s="372"/>
      <c r="S130" s="461"/>
    </row>
    <row r="131" ht="15.75" customHeight="1">
      <c r="F131" s="496"/>
      <c r="R131" s="372"/>
      <c r="S131" s="461"/>
    </row>
    <row r="132" ht="15.75" customHeight="1">
      <c r="F132" s="496"/>
      <c r="R132" s="372"/>
      <c r="S132" s="461"/>
    </row>
    <row r="133" ht="15.75" customHeight="1">
      <c r="F133" s="496"/>
      <c r="R133" s="372"/>
      <c r="S133" s="461"/>
    </row>
    <row r="134" ht="15.75" customHeight="1">
      <c r="F134" s="496"/>
      <c r="R134" s="372"/>
      <c r="S134" s="461"/>
    </row>
    <row r="135" ht="15.75" customHeight="1">
      <c r="F135" s="496"/>
      <c r="R135" s="372"/>
      <c r="S135" s="461"/>
    </row>
    <row r="136" ht="15.75" customHeight="1">
      <c r="F136" s="496"/>
      <c r="R136" s="372"/>
      <c r="S136" s="461"/>
    </row>
    <row r="137" ht="15.75" customHeight="1">
      <c r="F137" s="496"/>
      <c r="R137" s="372"/>
      <c r="S137" s="461"/>
    </row>
    <row r="138" ht="15.75" customHeight="1">
      <c r="F138" s="496"/>
      <c r="R138" s="372"/>
      <c r="S138" s="461"/>
    </row>
    <row r="139" ht="15.75" customHeight="1">
      <c r="F139" s="496"/>
      <c r="R139" s="372"/>
      <c r="S139" s="461"/>
    </row>
    <row r="140" ht="15.75" customHeight="1">
      <c r="F140" s="496"/>
      <c r="R140" s="372"/>
      <c r="S140" s="461"/>
    </row>
    <row r="141" ht="15.75" customHeight="1">
      <c r="F141" s="496"/>
      <c r="R141" s="372"/>
      <c r="S141" s="461"/>
    </row>
    <row r="142" ht="15.75" customHeight="1">
      <c r="F142" s="496"/>
      <c r="R142" s="372"/>
      <c r="S142" s="461"/>
    </row>
    <row r="143" ht="15.75" customHeight="1">
      <c r="F143" s="496"/>
      <c r="R143" s="372"/>
      <c r="S143" s="461"/>
    </row>
    <row r="144" ht="15.75" customHeight="1">
      <c r="F144" s="496"/>
      <c r="R144" s="372"/>
      <c r="S144" s="461"/>
    </row>
    <row r="145" ht="15.75" customHeight="1">
      <c r="F145" s="496"/>
      <c r="R145" s="372"/>
      <c r="S145" s="461"/>
    </row>
    <row r="146" ht="15.75" customHeight="1">
      <c r="F146" s="496"/>
      <c r="R146" s="372"/>
      <c r="S146" s="461"/>
    </row>
    <row r="147" ht="15.75" customHeight="1">
      <c r="F147" s="496"/>
      <c r="R147" s="372"/>
      <c r="S147" s="461"/>
    </row>
    <row r="148" ht="15.75" customHeight="1">
      <c r="F148" s="496"/>
      <c r="R148" s="372"/>
      <c r="S148" s="461"/>
    </row>
    <row r="149" ht="15.75" customHeight="1">
      <c r="F149" s="496"/>
      <c r="R149" s="372"/>
      <c r="S149" s="461"/>
    </row>
    <row r="150" ht="15.75" customHeight="1">
      <c r="F150" s="496"/>
      <c r="R150" s="372"/>
      <c r="S150" s="461"/>
    </row>
    <row r="151" ht="15.75" customHeight="1">
      <c r="F151" s="496"/>
      <c r="R151" s="372"/>
      <c r="S151" s="461"/>
    </row>
    <row r="152" ht="15.75" customHeight="1">
      <c r="F152" s="496"/>
      <c r="R152" s="372"/>
      <c r="S152" s="461"/>
    </row>
    <row r="153" ht="15.75" customHeight="1">
      <c r="F153" s="496"/>
      <c r="R153" s="372"/>
      <c r="S153" s="461"/>
    </row>
    <row r="154" ht="15.75" customHeight="1">
      <c r="F154" s="496"/>
      <c r="R154" s="372"/>
      <c r="S154" s="461"/>
    </row>
    <row r="155" ht="15.75" customHeight="1">
      <c r="F155" s="496"/>
      <c r="R155" s="372"/>
      <c r="S155" s="461"/>
    </row>
    <row r="156" ht="15.75" customHeight="1">
      <c r="F156" s="496"/>
      <c r="R156" s="372"/>
      <c r="S156" s="461"/>
    </row>
    <row r="157" ht="15.75" customHeight="1">
      <c r="F157" s="496"/>
      <c r="R157" s="372"/>
      <c r="S157" s="461"/>
    </row>
    <row r="158" ht="15.75" customHeight="1">
      <c r="F158" s="496"/>
      <c r="R158" s="372"/>
      <c r="S158" s="461"/>
    </row>
    <row r="159" ht="15.75" customHeight="1">
      <c r="F159" s="496"/>
      <c r="R159" s="372"/>
      <c r="S159" s="461"/>
    </row>
    <row r="160" ht="15.75" customHeight="1">
      <c r="F160" s="496"/>
      <c r="R160" s="372"/>
      <c r="S160" s="461"/>
    </row>
    <row r="161" ht="15.75" customHeight="1">
      <c r="F161" s="496"/>
      <c r="R161" s="372"/>
      <c r="S161" s="461"/>
    </row>
    <row r="162" ht="15.75" customHeight="1">
      <c r="F162" s="496"/>
      <c r="R162" s="372"/>
      <c r="S162" s="461"/>
    </row>
    <row r="163" ht="15.75" customHeight="1">
      <c r="F163" s="496"/>
      <c r="R163" s="372"/>
      <c r="S163" s="461"/>
    </row>
    <row r="164" ht="15.75" customHeight="1">
      <c r="F164" s="496"/>
      <c r="R164" s="372"/>
      <c r="S164" s="461"/>
    </row>
    <row r="165" ht="15.75" customHeight="1">
      <c r="F165" s="496"/>
      <c r="R165" s="372"/>
      <c r="S165" s="461"/>
    </row>
    <row r="166" ht="15.75" customHeight="1">
      <c r="F166" s="496"/>
      <c r="R166" s="372"/>
      <c r="S166" s="461"/>
    </row>
    <row r="167" ht="15.75" customHeight="1">
      <c r="F167" s="496"/>
      <c r="R167" s="372"/>
      <c r="S167" s="461"/>
    </row>
    <row r="168" ht="15.75" customHeight="1">
      <c r="F168" s="496"/>
      <c r="R168" s="372"/>
      <c r="S168" s="461"/>
    </row>
    <row r="169" ht="15.75" customHeight="1">
      <c r="F169" s="496"/>
      <c r="R169" s="372"/>
      <c r="S169" s="461"/>
    </row>
    <row r="170" ht="15.75" customHeight="1">
      <c r="F170" s="496"/>
      <c r="R170" s="372"/>
      <c r="S170" s="461"/>
    </row>
    <row r="171" ht="15.75" customHeight="1">
      <c r="F171" s="496"/>
      <c r="R171" s="372"/>
      <c r="S171" s="461"/>
    </row>
    <row r="172" ht="15.75" customHeight="1">
      <c r="F172" s="496"/>
      <c r="R172" s="372"/>
      <c r="S172" s="461"/>
    </row>
    <row r="173" ht="15.75" customHeight="1">
      <c r="F173" s="496"/>
      <c r="R173" s="372"/>
      <c r="S173" s="461"/>
    </row>
    <row r="174" ht="15.75" customHeight="1">
      <c r="F174" s="496"/>
      <c r="R174" s="372"/>
      <c r="S174" s="461"/>
    </row>
    <row r="175" ht="15.75" customHeight="1">
      <c r="F175" s="496"/>
      <c r="R175" s="372"/>
      <c r="S175" s="461"/>
    </row>
    <row r="176" ht="15.75" customHeight="1">
      <c r="F176" s="496"/>
      <c r="R176" s="372"/>
      <c r="S176" s="461"/>
    </row>
    <row r="177" ht="15.75" customHeight="1">
      <c r="F177" s="496"/>
      <c r="R177" s="372"/>
      <c r="S177" s="461"/>
    </row>
    <row r="178" ht="15.75" customHeight="1">
      <c r="F178" s="496"/>
      <c r="R178" s="372"/>
      <c r="S178" s="461"/>
    </row>
    <row r="179" ht="15.75" customHeight="1">
      <c r="F179" s="496"/>
      <c r="R179" s="372"/>
      <c r="S179" s="461"/>
    </row>
    <row r="180" ht="15.75" customHeight="1">
      <c r="F180" s="496"/>
      <c r="R180" s="372"/>
      <c r="S180" s="461"/>
    </row>
    <row r="181" ht="15.75" customHeight="1">
      <c r="F181" s="496"/>
      <c r="R181" s="372"/>
      <c r="S181" s="461"/>
    </row>
    <row r="182" ht="15.75" customHeight="1">
      <c r="F182" s="496"/>
      <c r="R182" s="372"/>
      <c r="S182" s="461"/>
    </row>
    <row r="183" ht="15.75" customHeight="1">
      <c r="F183" s="496"/>
      <c r="R183" s="372"/>
      <c r="S183" s="461"/>
    </row>
    <row r="184" ht="15.75" customHeight="1">
      <c r="F184" s="496"/>
      <c r="R184" s="372"/>
      <c r="S184" s="461"/>
    </row>
    <row r="185" ht="15.75" customHeight="1">
      <c r="F185" s="496"/>
      <c r="R185" s="372"/>
      <c r="S185" s="461"/>
    </row>
    <row r="186" ht="15.75" customHeight="1">
      <c r="F186" s="496"/>
      <c r="R186" s="372"/>
      <c r="S186" s="461"/>
    </row>
    <row r="187" ht="15.75" customHeight="1">
      <c r="F187" s="496"/>
      <c r="R187" s="372"/>
      <c r="S187" s="461"/>
    </row>
    <row r="188" ht="15.75" customHeight="1">
      <c r="F188" s="496"/>
      <c r="R188" s="372"/>
      <c r="S188" s="461"/>
    </row>
    <row r="189" ht="15.75" customHeight="1">
      <c r="F189" s="496"/>
      <c r="R189" s="372"/>
      <c r="S189" s="461"/>
    </row>
    <row r="190" ht="15.75" customHeight="1">
      <c r="F190" s="496"/>
      <c r="R190" s="372"/>
      <c r="S190" s="461"/>
    </row>
    <row r="191" ht="15.75" customHeight="1">
      <c r="F191" s="496"/>
      <c r="R191" s="372"/>
      <c r="S191" s="461"/>
    </row>
    <row r="192" ht="15.75" customHeight="1">
      <c r="F192" s="496"/>
      <c r="R192" s="372"/>
      <c r="S192" s="461"/>
    </row>
    <row r="193" ht="15.75" customHeight="1">
      <c r="F193" s="496"/>
      <c r="R193" s="372"/>
      <c r="S193" s="461"/>
    </row>
    <row r="194" ht="15.75" customHeight="1">
      <c r="F194" s="496"/>
      <c r="R194" s="372"/>
      <c r="S194" s="461"/>
    </row>
    <row r="195" ht="15.75" customHeight="1">
      <c r="F195" s="496"/>
      <c r="R195" s="372"/>
      <c r="S195" s="461"/>
    </row>
    <row r="196" ht="15.75" customHeight="1">
      <c r="F196" s="496"/>
      <c r="R196" s="372"/>
      <c r="S196" s="461"/>
    </row>
    <row r="197" ht="15.75" customHeight="1">
      <c r="F197" s="496"/>
      <c r="R197" s="372"/>
      <c r="S197" s="461"/>
    </row>
    <row r="198" ht="15.75" customHeight="1">
      <c r="F198" s="496"/>
      <c r="R198" s="372"/>
      <c r="S198" s="461"/>
    </row>
    <row r="199" ht="15.75" customHeight="1">
      <c r="F199" s="496"/>
      <c r="R199" s="372"/>
      <c r="S199" s="461"/>
    </row>
    <row r="200" ht="15.75" customHeight="1">
      <c r="F200" s="496"/>
      <c r="R200" s="372"/>
      <c r="S200" s="461"/>
    </row>
    <row r="201" ht="15.75" customHeight="1">
      <c r="F201" s="496"/>
      <c r="R201" s="372"/>
      <c r="S201" s="461"/>
    </row>
    <row r="202" ht="15.75" customHeight="1">
      <c r="F202" s="496"/>
      <c r="R202" s="372"/>
      <c r="S202" s="461"/>
    </row>
    <row r="203" ht="15.75" customHeight="1">
      <c r="F203" s="496"/>
      <c r="R203" s="372"/>
      <c r="S203" s="461"/>
    </row>
    <row r="204" ht="15.75" customHeight="1">
      <c r="F204" s="496"/>
      <c r="R204" s="372"/>
      <c r="S204" s="461"/>
    </row>
    <row r="205" ht="15.75" customHeight="1">
      <c r="F205" s="496"/>
      <c r="R205" s="372"/>
      <c r="S205" s="461"/>
    </row>
    <row r="206" ht="15.75" customHeight="1">
      <c r="F206" s="496"/>
      <c r="R206" s="372"/>
      <c r="S206" s="461"/>
    </row>
    <row r="207" ht="15.75" customHeight="1">
      <c r="F207" s="496"/>
      <c r="R207" s="372"/>
      <c r="S207" s="461"/>
    </row>
    <row r="208" ht="15.75" customHeight="1">
      <c r="F208" s="496"/>
      <c r="R208" s="372"/>
      <c r="S208" s="461"/>
    </row>
    <row r="209" ht="15.75" customHeight="1">
      <c r="F209" s="496"/>
      <c r="R209" s="372"/>
      <c r="S209" s="461"/>
    </row>
    <row r="210" ht="15.75" customHeight="1">
      <c r="F210" s="496"/>
      <c r="R210" s="372"/>
      <c r="S210" s="461"/>
    </row>
    <row r="211" ht="15.75" customHeight="1">
      <c r="F211" s="496"/>
      <c r="R211" s="372"/>
      <c r="S211" s="461"/>
    </row>
    <row r="212" ht="15.75" customHeight="1">
      <c r="F212" s="496"/>
      <c r="R212" s="372"/>
      <c r="S212" s="461"/>
    </row>
    <row r="213" ht="15.75" customHeight="1">
      <c r="F213" s="496"/>
      <c r="R213" s="372"/>
      <c r="S213" s="461"/>
    </row>
    <row r="214" ht="15.75" customHeight="1">
      <c r="F214" s="496"/>
      <c r="R214" s="372"/>
      <c r="S214" s="461"/>
    </row>
    <row r="215" ht="15.75" customHeight="1">
      <c r="F215" s="496"/>
      <c r="R215" s="372"/>
      <c r="S215" s="461"/>
    </row>
    <row r="216" ht="15.75" customHeight="1">
      <c r="F216" s="496"/>
      <c r="R216" s="372"/>
      <c r="S216" s="461"/>
    </row>
    <row r="217" ht="15.75" customHeight="1">
      <c r="F217" s="496"/>
      <c r="R217" s="372"/>
      <c r="S217" s="461"/>
    </row>
    <row r="218" ht="15.75" customHeight="1">
      <c r="F218" s="496"/>
      <c r="R218" s="372"/>
      <c r="S218" s="461"/>
    </row>
    <row r="219" ht="15.75" customHeight="1">
      <c r="F219" s="496"/>
      <c r="R219" s="372"/>
      <c r="S219" s="461"/>
    </row>
    <row r="220" ht="15.75" customHeight="1">
      <c r="F220" s="496"/>
      <c r="R220" s="372"/>
      <c r="S220" s="461"/>
    </row>
    <row r="221" ht="15.75" customHeight="1">
      <c r="F221" s="496"/>
      <c r="R221" s="372"/>
      <c r="S221" s="461"/>
    </row>
    <row r="222" ht="15.75" customHeight="1">
      <c r="F222" s="496"/>
      <c r="R222" s="372"/>
      <c r="S222" s="461"/>
    </row>
    <row r="223" ht="15.75" customHeight="1">
      <c r="F223" s="496"/>
      <c r="R223" s="372"/>
      <c r="S223" s="461"/>
    </row>
    <row r="224" ht="15.75" customHeight="1">
      <c r="F224" s="496"/>
      <c r="R224" s="372"/>
      <c r="S224" s="461"/>
    </row>
    <row r="225" ht="15.75" customHeight="1">
      <c r="F225" s="496"/>
      <c r="R225" s="372"/>
      <c r="S225" s="461"/>
    </row>
    <row r="226" ht="15.75" customHeight="1">
      <c r="F226" s="496"/>
      <c r="R226" s="372"/>
      <c r="S226" s="461"/>
    </row>
    <row r="227" ht="15.75" customHeight="1">
      <c r="F227" s="496"/>
      <c r="R227" s="372"/>
      <c r="S227" s="461"/>
    </row>
    <row r="228" ht="15.75" customHeight="1">
      <c r="F228" s="496"/>
      <c r="R228" s="372"/>
      <c r="S228" s="461"/>
    </row>
    <row r="229" ht="15.75" customHeight="1">
      <c r="F229" s="496"/>
      <c r="R229" s="372"/>
      <c r="S229" s="461"/>
    </row>
    <row r="230" ht="15.75" customHeight="1">
      <c r="F230" s="496"/>
      <c r="R230" s="372"/>
      <c r="S230" s="461"/>
    </row>
    <row r="231" ht="15.75" customHeight="1">
      <c r="F231" s="496"/>
      <c r="R231" s="372"/>
      <c r="S231" s="461"/>
    </row>
    <row r="232" ht="15.75" customHeight="1">
      <c r="F232" s="496"/>
      <c r="R232" s="372"/>
      <c r="S232" s="461"/>
    </row>
    <row r="233" ht="15.75" customHeight="1">
      <c r="F233" s="496"/>
      <c r="R233" s="372"/>
      <c r="S233" s="461"/>
    </row>
    <row r="234" ht="15.75" customHeight="1">
      <c r="F234" s="496"/>
      <c r="R234" s="372"/>
      <c r="S234" s="461"/>
    </row>
    <row r="235" ht="15.75" customHeight="1">
      <c r="F235" s="496"/>
      <c r="R235" s="372"/>
      <c r="S235" s="461"/>
    </row>
    <row r="236" ht="15.75" customHeight="1">
      <c r="F236" s="496"/>
      <c r="R236" s="372"/>
      <c r="S236" s="461"/>
    </row>
    <row r="237" ht="15.75" customHeight="1">
      <c r="F237" s="496"/>
      <c r="R237" s="372"/>
      <c r="S237" s="461"/>
    </row>
    <row r="238" ht="15.75" customHeight="1">
      <c r="F238" s="496"/>
      <c r="R238" s="372"/>
      <c r="S238" s="461"/>
    </row>
    <row r="239" ht="15.75" customHeight="1">
      <c r="F239" s="496"/>
      <c r="R239" s="372"/>
      <c r="S239" s="461"/>
    </row>
    <row r="240" ht="15.75" customHeight="1">
      <c r="F240" s="496"/>
      <c r="R240" s="372"/>
      <c r="S240" s="461"/>
    </row>
    <row r="241" ht="15.75" customHeight="1">
      <c r="F241" s="496"/>
      <c r="R241" s="372"/>
      <c r="S241" s="461"/>
    </row>
    <row r="242" ht="15.75" customHeight="1">
      <c r="F242" s="496"/>
      <c r="R242" s="372"/>
      <c r="S242" s="461"/>
    </row>
    <row r="243" ht="15.75" customHeight="1">
      <c r="F243" s="496"/>
      <c r="R243" s="372"/>
      <c r="S243" s="461"/>
    </row>
    <row r="244" ht="15.75" customHeight="1">
      <c r="F244" s="496"/>
      <c r="R244" s="372"/>
      <c r="S244" s="461"/>
    </row>
    <row r="245" ht="15.75" customHeight="1">
      <c r="F245" s="496"/>
      <c r="R245" s="372"/>
      <c r="S245" s="461"/>
    </row>
    <row r="246" ht="15.75" customHeight="1">
      <c r="F246" s="496"/>
      <c r="R246" s="372"/>
      <c r="S246" s="461"/>
    </row>
    <row r="247" ht="15.75" customHeight="1">
      <c r="F247" s="496"/>
      <c r="R247" s="372"/>
      <c r="S247" s="461"/>
    </row>
    <row r="248" ht="15.75" customHeight="1">
      <c r="F248" s="496"/>
      <c r="R248" s="372"/>
      <c r="S248" s="461"/>
    </row>
    <row r="249" ht="15.75" customHeight="1">
      <c r="F249" s="496"/>
      <c r="R249" s="372"/>
      <c r="S249" s="461"/>
    </row>
    <row r="250" ht="15.75" customHeight="1">
      <c r="F250" s="496"/>
      <c r="R250" s="372"/>
      <c r="S250" s="461"/>
    </row>
    <row r="251" ht="15.75" customHeight="1">
      <c r="F251" s="496"/>
      <c r="R251" s="372"/>
      <c r="S251" s="461"/>
    </row>
    <row r="252" ht="15.75" customHeight="1">
      <c r="F252" s="496"/>
      <c r="R252" s="372"/>
      <c r="S252" s="461"/>
    </row>
    <row r="253" ht="15.75" customHeight="1">
      <c r="F253" s="496"/>
      <c r="R253" s="372"/>
      <c r="S253" s="461"/>
    </row>
    <row r="254" ht="15.75" customHeight="1">
      <c r="F254" s="496"/>
      <c r="R254" s="372"/>
      <c r="S254" s="461"/>
    </row>
    <row r="255" ht="15.75" customHeight="1">
      <c r="F255" s="496"/>
      <c r="R255" s="372"/>
      <c r="S255" s="461"/>
    </row>
    <row r="256" ht="15.75" customHeight="1">
      <c r="F256" s="496"/>
      <c r="R256" s="372"/>
      <c r="S256" s="461"/>
    </row>
    <row r="257" ht="15.75" customHeight="1">
      <c r="F257" s="496"/>
      <c r="R257" s="372"/>
      <c r="S257" s="461"/>
    </row>
    <row r="258" ht="15.75" customHeight="1">
      <c r="F258" s="496"/>
      <c r="R258" s="372"/>
      <c r="S258" s="461"/>
    </row>
    <row r="259" ht="15.75" customHeight="1">
      <c r="F259" s="496"/>
      <c r="R259" s="372"/>
      <c r="S259" s="461"/>
    </row>
    <row r="260" ht="15.75" customHeight="1">
      <c r="F260" s="496"/>
      <c r="R260" s="372"/>
      <c r="S260" s="461"/>
    </row>
    <row r="261" ht="15.75" customHeight="1">
      <c r="F261" s="496"/>
      <c r="R261" s="372"/>
      <c r="S261" s="461"/>
    </row>
    <row r="262" ht="15.75" customHeight="1">
      <c r="F262" s="496"/>
      <c r="R262" s="372"/>
      <c r="S262" s="461"/>
    </row>
    <row r="263" ht="15.75" customHeight="1">
      <c r="F263" s="496"/>
      <c r="R263" s="372"/>
      <c r="S263" s="461"/>
    </row>
    <row r="264" ht="15.75" customHeight="1">
      <c r="F264" s="496"/>
      <c r="R264" s="372"/>
      <c r="S264" s="461"/>
    </row>
    <row r="265" ht="15.75" customHeight="1">
      <c r="F265" s="496"/>
      <c r="R265" s="372"/>
      <c r="S265" s="461"/>
    </row>
    <row r="266" ht="15.75" customHeight="1">
      <c r="F266" s="496"/>
      <c r="R266" s="372"/>
      <c r="S266" s="461"/>
    </row>
    <row r="267" ht="15.75" customHeight="1">
      <c r="F267" s="496"/>
      <c r="R267" s="372"/>
      <c r="S267" s="461"/>
    </row>
    <row r="268" ht="15.75" customHeight="1">
      <c r="F268" s="496"/>
      <c r="R268" s="372"/>
      <c r="S268" s="461"/>
    </row>
    <row r="269" ht="15.75" customHeight="1">
      <c r="F269" s="496"/>
      <c r="R269" s="372"/>
      <c r="S269" s="461"/>
    </row>
    <row r="270" ht="15.75" customHeight="1">
      <c r="F270" s="496"/>
      <c r="R270" s="372"/>
      <c r="S270" s="461"/>
    </row>
    <row r="271" ht="15.75" customHeight="1">
      <c r="F271" s="496"/>
      <c r="R271" s="372"/>
      <c r="S271" s="461"/>
    </row>
    <row r="272" ht="15.75" customHeight="1">
      <c r="F272" s="496"/>
      <c r="R272" s="372"/>
      <c r="S272" s="461"/>
    </row>
    <row r="273" ht="15.75" customHeight="1">
      <c r="F273" s="496"/>
      <c r="R273" s="372"/>
      <c r="S273" s="461"/>
    </row>
    <row r="274" ht="15.75" customHeight="1">
      <c r="F274" s="496"/>
      <c r="R274" s="372"/>
      <c r="S274" s="461"/>
    </row>
    <row r="275" ht="15.75" customHeight="1">
      <c r="F275" s="496"/>
      <c r="R275" s="372"/>
      <c r="S275" s="461"/>
    </row>
    <row r="276" ht="15.75" customHeight="1">
      <c r="F276" s="496"/>
      <c r="R276" s="372"/>
      <c r="S276" s="461"/>
    </row>
    <row r="277" ht="15.75" customHeight="1">
      <c r="F277" s="496"/>
      <c r="R277" s="372"/>
      <c r="S277" s="461"/>
    </row>
    <row r="278" ht="15.75" customHeight="1">
      <c r="F278" s="496"/>
      <c r="R278" s="372"/>
      <c r="S278" s="461"/>
    </row>
    <row r="279" ht="15.75" customHeight="1">
      <c r="F279" s="496"/>
      <c r="R279" s="372"/>
      <c r="S279" s="461"/>
    </row>
    <row r="280" ht="15.75" customHeight="1">
      <c r="F280" s="496"/>
      <c r="R280" s="372"/>
      <c r="S280" s="461"/>
    </row>
    <row r="281" ht="15.75" customHeight="1">
      <c r="F281" s="496"/>
      <c r="R281" s="372"/>
      <c r="S281" s="461"/>
    </row>
    <row r="282" ht="15.75" customHeight="1">
      <c r="F282" s="496"/>
      <c r="R282" s="372"/>
      <c r="S282" s="461"/>
    </row>
    <row r="283" ht="15.75" customHeight="1">
      <c r="F283" s="496"/>
      <c r="R283" s="372"/>
      <c r="S283" s="461"/>
    </row>
    <row r="284" ht="15.75" customHeight="1">
      <c r="F284" s="496"/>
      <c r="R284" s="372"/>
      <c r="S284" s="461"/>
    </row>
    <row r="285" ht="15.75" customHeight="1">
      <c r="F285" s="496"/>
      <c r="R285" s="372"/>
      <c r="S285" s="461"/>
    </row>
    <row r="286" ht="15.75" customHeight="1">
      <c r="F286" s="496"/>
      <c r="R286" s="372"/>
      <c r="S286" s="461"/>
    </row>
    <row r="287" ht="15.75" customHeight="1">
      <c r="F287" s="496"/>
      <c r="R287" s="372"/>
      <c r="S287" s="461"/>
    </row>
    <row r="288" ht="15.75" customHeight="1">
      <c r="F288" s="496"/>
      <c r="R288" s="372"/>
      <c r="S288" s="461"/>
    </row>
    <row r="289" ht="15.75" customHeight="1">
      <c r="F289" s="496"/>
      <c r="R289" s="372"/>
      <c r="S289" s="461"/>
    </row>
    <row r="290" ht="15.75" customHeight="1">
      <c r="F290" s="496"/>
      <c r="R290" s="372"/>
      <c r="S290" s="461"/>
    </row>
    <row r="291" ht="15.75" customHeight="1">
      <c r="F291" s="496"/>
      <c r="R291" s="372"/>
      <c r="S291" s="461"/>
    </row>
    <row r="292" ht="15.75" customHeight="1">
      <c r="F292" s="496"/>
      <c r="R292" s="372"/>
      <c r="S292" s="461"/>
    </row>
    <row r="293" ht="15.75" customHeight="1">
      <c r="F293" s="496"/>
      <c r="R293" s="372"/>
      <c r="S293" s="461"/>
    </row>
    <row r="294" ht="15.75" customHeight="1">
      <c r="F294" s="496"/>
      <c r="R294" s="372"/>
      <c r="S294" s="461"/>
    </row>
    <row r="295" ht="15.75" customHeight="1">
      <c r="F295" s="496"/>
      <c r="R295" s="372"/>
      <c r="S295" s="461"/>
    </row>
    <row r="296" ht="15.75" customHeight="1">
      <c r="F296" s="496"/>
      <c r="R296" s="372"/>
      <c r="S296" s="461"/>
    </row>
    <row r="297" ht="15.75" customHeight="1">
      <c r="F297" s="496"/>
      <c r="R297" s="372"/>
      <c r="S297" s="461"/>
    </row>
    <row r="298" ht="15.75" customHeight="1">
      <c r="F298" s="496"/>
      <c r="R298" s="372"/>
      <c r="S298" s="461"/>
    </row>
    <row r="299" ht="15.75" customHeight="1">
      <c r="F299" s="496"/>
      <c r="R299" s="372"/>
      <c r="S299" s="461"/>
    </row>
    <row r="300" ht="15.75" customHeight="1">
      <c r="F300" s="496"/>
      <c r="R300" s="372"/>
      <c r="S300" s="461"/>
    </row>
    <row r="301" ht="15.75" customHeight="1">
      <c r="F301" s="496"/>
      <c r="R301" s="372"/>
      <c r="S301" s="461"/>
    </row>
    <row r="302" ht="15.75" customHeight="1">
      <c r="F302" s="496"/>
      <c r="R302" s="372"/>
      <c r="S302" s="461"/>
    </row>
    <row r="303" ht="15.75" customHeight="1">
      <c r="F303" s="496"/>
      <c r="R303" s="372"/>
      <c r="S303" s="461"/>
    </row>
    <row r="304" ht="15.75" customHeight="1">
      <c r="F304" s="496"/>
      <c r="R304" s="372"/>
      <c r="S304" s="461"/>
    </row>
    <row r="305" ht="15.75" customHeight="1">
      <c r="F305" s="496"/>
      <c r="R305" s="372"/>
      <c r="S305" s="461"/>
    </row>
    <row r="306" ht="15.75" customHeight="1">
      <c r="F306" s="496"/>
      <c r="R306" s="372"/>
      <c r="S306" s="461"/>
    </row>
    <row r="307" ht="15.75" customHeight="1">
      <c r="F307" s="496"/>
      <c r="R307" s="372"/>
      <c r="S307" s="461"/>
    </row>
    <row r="308" ht="15.75" customHeight="1">
      <c r="F308" s="496"/>
      <c r="R308" s="372"/>
      <c r="S308" s="461"/>
    </row>
    <row r="309" ht="15.75" customHeight="1">
      <c r="F309" s="496"/>
      <c r="R309" s="372"/>
      <c r="S309" s="461"/>
    </row>
    <row r="310" ht="15.75" customHeight="1">
      <c r="F310" s="496"/>
      <c r="R310" s="372"/>
      <c r="S310" s="461"/>
    </row>
    <row r="311" ht="15.75" customHeight="1">
      <c r="F311" s="496"/>
      <c r="R311" s="372"/>
      <c r="S311" s="461"/>
    </row>
    <row r="312" ht="15.75" customHeight="1">
      <c r="F312" s="496"/>
      <c r="R312" s="372"/>
      <c r="S312" s="461"/>
    </row>
    <row r="313" ht="15.75" customHeight="1">
      <c r="F313" s="496"/>
      <c r="R313" s="372"/>
      <c r="S313" s="461"/>
    </row>
    <row r="314" ht="15.75" customHeight="1">
      <c r="F314" s="496"/>
      <c r="R314" s="372"/>
      <c r="S314" s="461"/>
    </row>
    <row r="315" ht="15.75" customHeight="1">
      <c r="F315" s="496"/>
      <c r="R315" s="372"/>
      <c r="S315" s="461"/>
    </row>
    <row r="316" ht="15.75" customHeight="1">
      <c r="F316" s="496"/>
      <c r="R316" s="372"/>
      <c r="S316" s="461"/>
    </row>
    <row r="317" ht="15.75" customHeight="1">
      <c r="F317" s="496"/>
      <c r="R317" s="372"/>
      <c r="S317" s="461"/>
    </row>
    <row r="318" ht="15.75" customHeight="1">
      <c r="F318" s="496"/>
      <c r="R318" s="372"/>
      <c r="S318" s="461"/>
    </row>
    <row r="319" ht="15.75" customHeight="1">
      <c r="F319" s="496"/>
      <c r="R319" s="372"/>
      <c r="S319" s="461"/>
    </row>
    <row r="320" ht="15.75" customHeight="1">
      <c r="F320" s="496"/>
      <c r="R320" s="372"/>
      <c r="S320" s="461"/>
    </row>
    <row r="321" ht="15.75" customHeight="1">
      <c r="F321" s="496"/>
      <c r="R321" s="372"/>
      <c r="S321" s="461"/>
    </row>
    <row r="322" ht="15.75" customHeight="1">
      <c r="F322" s="496"/>
      <c r="R322" s="372"/>
      <c r="S322" s="461"/>
    </row>
    <row r="323" ht="15.75" customHeight="1">
      <c r="F323" s="496"/>
      <c r="R323" s="372"/>
      <c r="S323" s="461"/>
    </row>
    <row r="324" ht="15.75" customHeight="1">
      <c r="F324" s="496"/>
      <c r="R324" s="372"/>
      <c r="S324" s="461"/>
    </row>
    <row r="325" ht="15.75" customHeight="1">
      <c r="F325" s="496"/>
      <c r="R325" s="372"/>
      <c r="S325" s="461"/>
    </row>
    <row r="326" ht="15.75" customHeight="1">
      <c r="F326" s="496"/>
      <c r="R326" s="372"/>
      <c r="S326" s="461"/>
    </row>
    <row r="327" ht="15.75" customHeight="1">
      <c r="F327" s="496"/>
      <c r="R327" s="372"/>
      <c r="S327" s="461"/>
    </row>
    <row r="328" ht="15.75" customHeight="1">
      <c r="F328" s="496"/>
      <c r="R328" s="372"/>
      <c r="S328" s="461"/>
    </row>
    <row r="329" ht="15.75" customHeight="1">
      <c r="F329" s="496"/>
      <c r="R329" s="372"/>
      <c r="S329" s="461"/>
    </row>
    <row r="330" ht="15.75" customHeight="1">
      <c r="F330" s="496"/>
      <c r="R330" s="372"/>
      <c r="S330" s="461"/>
    </row>
    <row r="331" ht="15.75" customHeight="1">
      <c r="F331" s="496"/>
      <c r="R331" s="372"/>
      <c r="S331" s="461"/>
    </row>
    <row r="332" ht="15.75" customHeight="1">
      <c r="F332" s="496"/>
      <c r="R332" s="372"/>
      <c r="S332" s="461"/>
    </row>
    <row r="333" ht="15.75" customHeight="1">
      <c r="F333" s="496"/>
      <c r="R333" s="372"/>
      <c r="S333" s="461"/>
    </row>
    <row r="334" ht="15.75" customHeight="1">
      <c r="F334" s="496"/>
      <c r="R334" s="372"/>
      <c r="S334" s="461"/>
    </row>
    <row r="335" ht="15.75" customHeight="1">
      <c r="F335" s="496"/>
      <c r="R335" s="372"/>
      <c r="S335" s="461"/>
    </row>
    <row r="336" ht="15.75" customHeight="1">
      <c r="F336" s="496"/>
      <c r="R336" s="372"/>
      <c r="S336" s="461"/>
    </row>
    <row r="337" ht="15.75" customHeight="1">
      <c r="F337" s="496"/>
      <c r="R337" s="372"/>
      <c r="S337" s="461"/>
    </row>
    <row r="338" ht="15.75" customHeight="1">
      <c r="F338" s="496"/>
      <c r="R338" s="372"/>
      <c r="S338" s="461"/>
    </row>
    <row r="339" ht="15.75" customHeight="1">
      <c r="F339" s="496"/>
      <c r="R339" s="372"/>
      <c r="S339" s="461"/>
    </row>
    <row r="340" ht="15.75" customHeight="1">
      <c r="F340" s="496"/>
      <c r="R340" s="372"/>
      <c r="S340" s="461"/>
    </row>
    <row r="341" ht="15.75" customHeight="1">
      <c r="F341" s="496"/>
      <c r="R341" s="372"/>
      <c r="S341" s="461"/>
    </row>
    <row r="342" ht="15.75" customHeight="1">
      <c r="F342" s="496"/>
      <c r="R342" s="372"/>
      <c r="S342" s="461"/>
    </row>
    <row r="343" ht="15.75" customHeight="1">
      <c r="F343" s="496"/>
      <c r="R343" s="372"/>
      <c r="S343" s="461"/>
    </row>
    <row r="344" ht="15.75" customHeight="1">
      <c r="F344" s="496"/>
      <c r="R344" s="372"/>
      <c r="S344" s="461"/>
    </row>
    <row r="345" ht="15.75" customHeight="1">
      <c r="F345" s="496"/>
      <c r="R345" s="372"/>
      <c r="S345" s="461"/>
    </row>
    <row r="346" ht="15.75" customHeight="1">
      <c r="F346" s="496"/>
      <c r="R346" s="372"/>
      <c r="S346" s="461"/>
    </row>
    <row r="347" ht="15.75" customHeight="1">
      <c r="F347" s="496"/>
      <c r="R347" s="372"/>
      <c r="S347" s="461"/>
    </row>
    <row r="348" ht="15.75" customHeight="1">
      <c r="F348" s="496"/>
      <c r="R348" s="372"/>
      <c r="S348" s="461"/>
    </row>
    <row r="349" ht="15.75" customHeight="1">
      <c r="F349" s="496"/>
      <c r="R349" s="372"/>
      <c r="S349" s="461"/>
    </row>
    <row r="350" ht="15.75" customHeight="1">
      <c r="F350" s="496"/>
      <c r="R350" s="372"/>
      <c r="S350" s="461"/>
    </row>
    <row r="351" ht="15.75" customHeight="1">
      <c r="F351" s="496"/>
      <c r="R351" s="372"/>
      <c r="S351" s="461"/>
    </row>
    <row r="352" ht="15.75" customHeight="1">
      <c r="F352" s="496"/>
      <c r="R352" s="372"/>
      <c r="S352" s="461"/>
    </row>
    <row r="353" ht="15.75" customHeight="1">
      <c r="F353" s="496"/>
      <c r="R353" s="372"/>
      <c r="S353" s="461"/>
    </row>
    <row r="354" ht="15.75" customHeight="1">
      <c r="F354" s="496"/>
      <c r="R354" s="372"/>
      <c r="S354" s="461"/>
    </row>
    <row r="355" ht="15.75" customHeight="1">
      <c r="F355" s="496"/>
      <c r="R355" s="372"/>
      <c r="S355" s="461"/>
    </row>
    <row r="356" ht="15.75" customHeight="1">
      <c r="F356" s="496"/>
      <c r="R356" s="372"/>
      <c r="S356" s="461"/>
    </row>
    <row r="357" ht="15.75" customHeight="1">
      <c r="F357" s="496"/>
      <c r="R357" s="372"/>
      <c r="S357" s="461"/>
    </row>
    <row r="358" ht="15.75" customHeight="1">
      <c r="F358" s="496"/>
      <c r="R358" s="372"/>
      <c r="S358" s="461"/>
    </row>
    <row r="359" ht="15.75" customHeight="1">
      <c r="F359" s="496"/>
      <c r="R359" s="372"/>
      <c r="S359" s="461"/>
    </row>
    <row r="360" ht="15.75" customHeight="1">
      <c r="F360" s="496"/>
      <c r="R360" s="372"/>
      <c r="S360" s="461"/>
    </row>
    <row r="361" ht="15.75" customHeight="1">
      <c r="F361" s="496"/>
      <c r="R361" s="372"/>
      <c r="S361" s="461"/>
    </row>
    <row r="362" ht="15.75" customHeight="1">
      <c r="F362" s="496"/>
      <c r="R362" s="372"/>
      <c r="S362" s="461"/>
    </row>
    <row r="363" ht="15.75" customHeight="1">
      <c r="F363" s="496"/>
      <c r="R363" s="372"/>
      <c r="S363" s="461"/>
    </row>
    <row r="364" ht="15.75" customHeight="1">
      <c r="F364" s="496"/>
      <c r="R364" s="372"/>
      <c r="S364" s="461"/>
    </row>
    <row r="365" ht="15.75" customHeight="1">
      <c r="F365" s="496"/>
      <c r="R365" s="372"/>
      <c r="S365" s="461"/>
    </row>
    <row r="366" ht="15.75" customHeight="1">
      <c r="F366" s="496"/>
      <c r="R366" s="372"/>
      <c r="S366" s="461"/>
    </row>
    <row r="367" ht="15.75" customHeight="1">
      <c r="F367" s="496"/>
      <c r="R367" s="372"/>
      <c r="S367" s="461"/>
    </row>
    <row r="368" ht="15.75" customHeight="1">
      <c r="F368" s="496"/>
      <c r="R368" s="372"/>
      <c r="S368" s="461"/>
    </row>
    <row r="369" ht="15.75" customHeight="1">
      <c r="F369" s="496"/>
      <c r="R369" s="372"/>
      <c r="S369" s="461"/>
    </row>
    <row r="370" ht="15.75" customHeight="1">
      <c r="F370" s="496"/>
      <c r="R370" s="372"/>
      <c r="S370" s="461"/>
    </row>
    <row r="371" ht="15.75" customHeight="1">
      <c r="F371" s="496"/>
      <c r="R371" s="372"/>
      <c r="S371" s="461"/>
    </row>
    <row r="372" ht="15.75" customHeight="1">
      <c r="F372" s="496"/>
      <c r="R372" s="372"/>
      <c r="S372" s="461"/>
    </row>
    <row r="373" ht="15.75" customHeight="1">
      <c r="F373" s="496"/>
      <c r="R373" s="372"/>
      <c r="S373" s="461"/>
    </row>
    <row r="374" ht="15.75" customHeight="1">
      <c r="F374" s="496"/>
      <c r="R374" s="372"/>
      <c r="S374" s="461"/>
    </row>
    <row r="375" ht="15.75" customHeight="1">
      <c r="F375" s="496"/>
      <c r="R375" s="372"/>
      <c r="S375" s="461"/>
    </row>
    <row r="376" ht="15.75" customHeight="1">
      <c r="F376" s="496"/>
      <c r="R376" s="372"/>
      <c r="S376" s="461"/>
    </row>
    <row r="377" ht="15.75" customHeight="1">
      <c r="F377" s="496"/>
      <c r="R377" s="372"/>
      <c r="S377" s="461"/>
    </row>
    <row r="378" ht="15.75" customHeight="1">
      <c r="F378" s="496"/>
      <c r="R378" s="372"/>
      <c r="S378" s="461"/>
    </row>
    <row r="379" ht="15.75" customHeight="1">
      <c r="F379" s="496"/>
      <c r="R379" s="372"/>
      <c r="S379" s="461"/>
    </row>
    <row r="380" ht="15.75" customHeight="1">
      <c r="F380" s="496"/>
      <c r="R380" s="372"/>
      <c r="S380" s="461"/>
    </row>
    <row r="381" ht="15.75" customHeight="1">
      <c r="F381" s="496"/>
      <c r="R381" s="372"/>
      <c r="S381" s="461"/>
    </row>
    <row r="382" ht="15.75" customHeight="1">
      <c r="F382" s="496"/>
      <c r="R382" s="372"/>
      <c r="S382" s="461"/>
    </row>
    <row r="383" ht="15.75" customHeight="1">
      <c r="F383" s="496"/>
      <c r="R383" s="372"/>
      <c r="S383" s="461"/>
    </row>
    <row r="384" ht="15.75" customHeight="1">
      <c r="F384" s="496"/>
      <c r="R384" s="372"/>
      <c r="S384" s="461"/>
    </row>
    <row r="385" ht="15.75" customHeight="1">
      <c r="F385" s="496"/>
      <c r="R385" s="372"/>
      <c r="S385" s="461"/>
    </row>
    <row r="386" ht="15.75" customHeight="1">
      <c r="F386" s="496"/>
      <c r="R386" s="372"/>
      <c r="S386" s="461"/>
    </row>
    <row r="387" ht="15.75" customHeight="1">
      <c r="F387" s="496"/>
      <c r="R387" s="372"/>
      <c r="S387" s="461"/>
    </row>
    <row r="388" ht="15.75" customHeight="1">
      <c r="F388" s="496"/>
      <c r="R388" s="372"/>
      <c r="S388" s="461"/>
    </row>
    <row r="389" ht="15.75" customHeight="1">
      <c r="F389" s="496"/>
      <c r="R389" s="372"/>
      <c r="S389" s="461"/>
    </row>
    <row r="390" ht="15.75" customHeight="1">
      <c r="F390" s="496"/>
      <c r="R390" s="372"/>
      <c r="S390" s="461"/>
    </row>
    <row r="391" ht="15.75" customHeight="1">
      <c r="F391" s="496"/>
      <c r="R391" s="372"/>
      <c r="S391" s="461"/>
    </row>
    <row r="392" ht="15.75" customHeight="1">
      <c r="F392" s="496"/>
      <c r="R392" s="372"/>
      <c r="S392" s="461"/>
    </row>
    <row r="393" ht="15.75" customHeight="1">
      <c r="F393" s="496"/>
      <c r="R393" s="372"/>
      <c r="S393" s="461"/>
    </row>
    <row r="394" ht="15.75" customHeight="1">
      <c r="F394" s="496"/>
      <c r="R394" s="372"/>
      <c r="S394" s="461"/>
    </row>
    <row r="395" ht="15.75" customHeight="1">
      <c r="F395" s="496"/>
      <c r="R395" s="372"/>
      <c r="S395" s="461"/>
    </row>
    <row r="396" ht="15.75" customHeight="1">
      <c r="F396" s="496"/>
      <c r="R396" s="372"/>
      <c r="S396" s="461"/>
    </row>
    <row r="397" ht="15.75" customHeight="1">
      <c r="F397" s="496"/>
      <c r="R397" s="372"/>
      <c r="S397" s="461"/>
    </row>
    <row r="398" ht="15.75" customHeight="1">
      <c r="F398" s="496"/>
      <c r="R398" s="372"/>
      <c r="S398" s="461"/>
    </row>
    <row r="399" ht="15.75" customHeight="1">
      <c r="F399" s="496"/>
      <c r="R399" s="372"/>
      <c r="S399" s="461"/>
    </row>
    <row r="400" ht="15.75" customHeight="1">
      <c r="F400" s="496"/>
      <c r="R400" s="372"/>
      <c r="S400" s="461"/>
    </row>
    <row r="401" ht="15.75" customHeight="1">
      <c r="F401" s="496"/>
      <c r="R401" s="372"/>
      <c r="S401" s="461"/>
    </row>
    <row r="402" ht="15.75" customHeight="1">
      <c r="F402" s="496"/>
      <c r="R402" s="372"/>
      <c r="S402" s="461"/>
    </row>
    <row r="403" ht="15.75" customHeight="1">
      <c r="F403" s="496"/>
      <c r="R403" s="372"/>
      <c r="S403" s="461"/>
    </row>
    <row r="404" ht="15.75" customHeight="1">
      <c r="F404" s="496"/>
      <c r="R404" s="372"/>
      <c r="S404" s="461"/>
    </row>
    <row r="405" ht="15.75" customHeight="1">
      <c r="F405" s="496"/>
      <c r="R405" s="372"/>
      <c r="S405" s="461"/>
    </row>
    <row r="406" ht="15.75" customHeight="1">
      <c r="F406" s="496"/>
      <c r="R406" s="372"/>
      <c r="S406" s="461"/>
    </row>
    <row r="407" ht="15.75" customHeight="1">
      <c r="F407" s="496"/>
      <c r="R407" s="372"/>
      <c r="S407" s="461"/>
    </row>
    <row r="408" ht="15.75" customHeight="1">
      <c r="F408" s="496"/>
      <c r="R408" s="372"/>
      <c r="S408" s="461"/>
    </row>
    <row r="409" ht="15.75" customHeight="1">
      <c r="F409" s="496"/>
      <c r="R409" s="372"/>
      <c r="S409" s="461"/>
    </row>
    <row r="410" ht="15.75" customHeight="1">
      <c r="F410" s="496"/>
      <c r="R410" s="372"/>
      <c r="S410" s="461"/>
    </row>
    <row r="411" ht="15.75" customHeight="1">
      <c r="F411" s="496"/>
      <c r="R411" s="372"/>
      <c r="S411" s="461"/>
    </row>
    <row r="412" ht="15.75" customHeight="1">
      <c r="F412" s="496"/>
      <c r="R412" s="372"/>
      <c r="S412" s="461"/>
    </row>
    <row r="413" ht="15.75" customHeight="1">
      <c r="F413" s="496"/>
      <c r="R413" s="372"/>
      <c r="S413" s="461"/>
    </row>
    <row r="414" ht="15.75" customHeight="1">
      <c r="F414" s="496"/>
      <c r="R414" s="372"/>
      <c r="S414" s="461"/>
    </row>
    <row r="415" ht="15.75" customHeight="1">
      <c r="F415" s="496"/>
      <c r="R415" s="372"/>
      <c r="S415" s="461"/>
    </row>
    <row r="416" ht="15.75" customHeight="1">
      <c r="F416" s="496"/>
      <c r="R416" s="372"/>
      <c r="S416" s="461"/>
    </row>
    <row r="417" ht="15.75" customHeight="1">
      <c r="F417" s="496"/>
      <c r="R417" s="372"/>
      <c r="S417" s="461"/>
    </row>
    <row r="418" ht="15.75" customHeight="1">
      <c r="F418" s="496"/>
      <c r="R418" s="372"/>
      <c r="S418" s="461"/>
    </row>
    <row r="419" ht="15.75" customHeight="1">
      <c r="F419" s="496"/>
      <c r="R419" s="372"/>
      <c r="S419" s="461"/>
    </row>
    <row r="420" ht="15.75" customHeight="1">
      <c r="F420" s="496"/>
      <c r="R420" s="372"/>
      <c r="S420" s="461"/>
    </row>
    <row r="421" ht="15.75" customHeight="1">
      <c r="F421" s="496"/>
      <c r="R421" s="372"/>
      <c r="S421" s="461"/>
    </row>
    <row r="422" ht="15.75" customHeight="1">
      <c r="F422" s="496"/>
      <c r="R422" s="372"/>
      <c r="S422" s="461"/>
    </row>
    <row r="423" ht="15.75" customHeight="1">
      <c r="F423" s="496"/>
      <c r="R423" s="372"/>
      <c r="S423" s="461"/>
    </row>
    <row r="424" ht="15.75" customHeight="1">
      <c r="F424" s="496"/>
      <c r="R424" s="372"/>
      <c r="S424" s="461"/>
    </row>
    <row r="425" ht="15.75" customHeight="1">
      <c r="F425" s="496"/>
      <c r="R425" s="372"/>
      <c r="S425" s="461"/>
    </row>
    <row r="426" ht="15.75" customHeight="1">
      <c r="F426" s="496"/>
      <c r="R426" s="372"/>
      <c r="S426" s="461"/>
    </row>
    <row r="427" ht="15.75" customHeight="1">
      <c r="F427" s="496"/>
      <c r="R427" s="372"/>
      <c r="S427" s="461"/>
    </row>
    <row r="428" ht="15.75" customHeight="1">
      <c r="F428" s="496"/>
      <c r="R428" s="372"/>
      <c r="S428" s="461"/>
    </row>
    <row r="429" ht="15.75" customHeight="1">
      <c r="F429" s="496"/>
      <c r="R429" s="372"/>
      <c r="S429" s="461"/>
    </row>
    <row r="430" ht="15.75" customHeight="1">
      <c r="F430" s="496"/>
      <c r="R430" s="372"/>
      <c r="S430" s="461"/>
    </row>
    <row r="431" ht="15.75" customHeight="1">
      <c r="F431" s="496"/>
      <c r="R431" s="372"/>
      <c r="S431" s="461"/>
    </row>
    <row r="432" ht="15.75" customHeight="1">
      <c r="F432" s="496"/>
      <c r="R432" s="372"/>
      <c r="S432" s="461"/>
    </row>
    <row r="433" ht="15.75" customHeight="1">
      <c r="F433" s="496"/>
      <c r="R433" s="372"/>
      <c r="S433" s="461"/>
    </row>
    <row r="434" ht="15.75" customHeight="1">
      <c r="F434" s="496"/>
      <c r="R434" s="372"/>
      <c r="S434" s="461"/>
    </row>
    <row r="435" ht="15.75" customHeight="1">
      <c r="F435" s="496"/>
      <c r="R435" s="372"/>
      <c r="S435" s="461"/>
    </row>
    <row r="436" ht="15.75" customHeight="1">
      <c r="F436" s="496"/>
      <c r="R436" s="372"/>
      <c r="S436" s="461"/>
    </row>
    <row r="437" ht="15.75" customHeight="1">
      <c r="F437" s="496"/>
      <c r="R437" s="372"/>
      <c r="S437" s="461"/>
    </row>
    <row r="438" ht="15.75" customHeight="1">
      <c r="F438" s="496"/>
      <c r="R438" s="372"/>
      <c r="S438" s="461"/>
    </row>
    <row r="439" ht="15.75" customHeight="1">
      <c r="F439" s="496"/>
      <c r="R439" s="372"/>
      <c r="S439" s="461"/>
    </row>
    <row r="440" ht="15.75" customHeight="1">
      <c r="F440" s="496"/>
      <c r="R440" s="372"/>
      <c r="S440" s="461"/>
    </row>
    <row r="441" ht="15.75" customHeight="1">
      <c r="F441" s="496"/>
      <c r="R441" s="372"/>
      <c r="S441" s="461"/>
    </row>
    <row r="442" ht="15.75" customHeight="1">
      <c r="F442" s="496"/>
      <c r="R442" s="372"/>
      <c r="S442" s="461"/>
    </row>
    <row r="443" ht="15.75" customHeight="1">
      <c r="F443" s="496"/>
      <c r="R443" s="372"/>
      <c r="S443" s="461"/>
    </row>
    <row r="444" ht="15.75" customHeight="1">
      <c r="F444" s="496"/>
      <c r="R444" s="372"/>
      <c r="S444" s="461"/>
    </row>
    <row r="445" ht="15.75" customHeight="1">
      <c r="F445" s="496"/>
      <c r="R445" s="372"/>
      <c r="S445" s="461"/>
    </row>
    <row r="446" ht="15.75" customHeight="1">
      <c r="F446" s="496"/>
      <c r="R446" s="372"/>
      <c r="S446" s="461"/>
    </row>
    <row r="447" ht="15.75" customHeight="1">
      <c r="F447" s="496"/>
      <c r="R447" s="372"/>
      <c r="S447" s="461"/>
    </row>
    <row r="448" ht="15.75" customHeight="1">
      <c r="F448" s="496"/>
      <c r="R448" s="372"/>
      <c r="S448" s="461"/>
    </row>
    <row r="449" ht="15.75" customHeight="1">
      <c r="F449" s="496"/>
      <c r="R449" s="372"/>
      <c r="S449" s="461"/>
    </row>
    <row r="450" ht="15.75" customHeight="1">
      <c r="F450" s="496"/>
      <c r="R450" s="372"/>
      <c r="S450" s="461"/>
    </row>
    <row r="451" ht="15.75" customHeight="1">
      <c r="F451" s="496"/>
      <c r="R451" s="372"/>
      <c r="S451" s="461"/>
    </row>
    <row r="452" ht="15.75" customHeight="1">
      <c r="F452" s="496"/>
      <c r="R452" s="372"/>
      <c r="S452" s="461"/>
    </row>
    <row r="453" ht="15.75" customHeight="1">
      <c r="F453" s="496"/>
      <c r="R453" s="372"/>
      <c r="S453" s="461"/>
    </row>
    <row r="454" ht="15.75" customHeight="1">
      <c r="F454" s="496"/>
      <c r="R454" s="372"/>
      <c r="S454" s="461"/>
    </row>
    <row r="455" ht="15.75" customHeight="1">
      <c r="F455" s="496"/>
      <c r="R455" s="372"/>
      <c r="S455" s="461"/>
    </row>
    <row r="456" ht="15.75" customHeight="1">
      <c r="F456" s="496"/>
      <c r="R456" s="372"/>
      <c r="S456" s="461"/>
    </row>
    <row r="457" ht="15.75" customHeight="1">
      <c r="F457" s="496"/>
      <c r="R457" s="372"/>
      <c r="S457" s="461"/>
    </row>
    <row r="458" ht="15.75" customHeight="1">
      <c r="F458" s="496"/>
      <c r="R458" s="372"/>
      <c r="S458" s="461"/>
    </row>
    <row r="459" ht="15.75" customHeight="1">
      <c r="F459" s="496"/>
      <c r="R459" s="372"/>
      <c r="S459" s="461"/>
    </row>
    <row r="460" ht="15.75" customHeight="1">
      <c r="F460" s="496"/>
      <c r="R460" s="372"/>
      <c r="S460" s="461"/>
    </row>
    <row r="461" ht="15.75" customHeight="1">
      <c r="F461" s="496"/>
      <c r="R461" s="372"/>
      <c r="S461" s="461"/>
    </row>
    <row r="462" ht="15.75" customHeight="1">
      <c r="F462" s="496"/>
      <c r="R462" s="372"/>
      <c r="S462" s="461"/>
    </row>
    <row r="463" ht="15.75" customHeight="1">
      <c r="F463" s="496"/>
      <c r="R463" s="372"/>
      <c r="S463" s="461"/>
    </row>
    <row r="464" ht="15.75" customHeight="1">
      <c r="F464" s="496"/>
      <c r="R464" s="372"/>
      <c r="S464" s="461"/>
    </row>
    <row r="465" ht="15.75" customHeight="1">
      <c r="F465" s="496"/>
      <c r="R465" s="372"/>
      <c r="S465" s="461"/>
    </row>
    <row r="466" ht="15.75" customHeight="1">
      <c r="F466" s="496"/>
      <c r="R466" s="372"/>
      <c r="S466" s="461"/>
    </row>
    <row r="467" ht="15.75" customHeight="1">
      <c r="F467" s="496"/>
      <c r="R467" s="372"/>
      <c r="S467" s="461"/>
    </row>
    <row r="468" ht="15.75" customHeight="1">
      <c r="F468" s="496"/>
      <c r="R468" s="372"/>
      <c r="S468" s="461"/>
    </row>
    <row r="469" ht="15.75" customHeight="1">
      <c r="F469" s="496"/>
      <c r="R469" s="372"/>
      <c r="S469" s="461"/>
    </row>
    <row r="470" ht="15.75" customHeight="1">
      <c r="F470" s="496"/>
      <c r="R470" s="372"/>
      <c r="S470" s="461"/>
    </row>
    <row r="471" ht="15.75" customHeight="1">
      <c r="F471" s="496"/>
      <c r="R471" s="372"/>
      <c r="S471" s="461"/>
    </row>
    <row r="472" ht="15.75" customHeight="1">
      <c r="F472" s="496"/>
      <c r="R472" s="372"/>
      <c r="S472" s="461"/>
    </row>
    <row r="473" ht="15.75" customHeight="1">
      <c r="F473" s="496"/>
      <c r="R473" s="372"/>
      <c r="S473" s="461"/>
    </row>
    <row r="474" ht="15.75" customHeight="1">
      <c r="F474" s="496"/>
      <c r="R474" s="372"/>
      <c r="S474" s="461"/>
    </row>
    <row r="475" ht="15.75" customHeight="1">
      <c r="F475" s="496"/>
      <c r="R475" s="372"/>
      <c r="S475" s="461"/>
    </row>
    <row r="476" ht="15.75" customHeight="1">
      <c r="F476" s="496"/>
      <c r="R476" s="372"/>
      <c r="S476" s="461"/>
    </row>
    <row r="477" ht="15.75" customHeight="1">
      <c r="F477" s="496"/>
      <c r="R477" s="372"/>
      <c r="S477" s="461"/>
    </row>
    <row r="478" ht="15.75" customHeight="1">
      <c r="F478" s="496"/>
      <c r="R478" s="372"/>
      <c r="S478" s="461"/>
    </row>
    <row r="479" ht="15.75" customHeight="1">
      <c r="F479" s="496"/>
      <c r="R479" s="372"/>
      <c r="S479" s="461"/>
    </row>
    <row r="480" ht="15.75" customHeight="1">
      <c r="F480" s="496"/>
      <c r="R480" s="372"/>
      <c r="S480" s="461"/>
    </row>
    <row r="481" ht="15.75" customHeight="1">
      <c r="F481" s="496"/>
      <c r="R481" s="372"/>
      <c r="S481" s="461"/>
    </row>
    <row r="482" ht="15.75" customHeight="1">
      <c r="F482" s="496"/>
      <c r="R482" s="372"/>
      <c r="S482" s="461"/>
    </row>
    <row r="483" ht="15.75" customHeight="1">
      <c r="F483" s="496"/>
      <c r="R483" s="372"/>
      <c r="S483" s="461"/>
    </row>
    <row r="484" ht="15.75" customHeight="1">
      <c r="F484" s="496"/>
      <c r="R484" s="372"/>
      <c r="S484" s="461"/>
    </row>
    <row r="485" ht="15.75" customHeight="1">
      <c r="F485" s="496"/>
      <c r="R485" s="372"/>
      <c r="S485" s="461"/>
    </row>
    <row r="486" ht="15.75" customHeight="1">
      <c r="F486" s="496"/>
      <c r="R486" s="372"/>
      <c r="S486" s="461"/>
    </row>
    <row r="487" ht="15.75" customHeight="1">
      <c r="F487" s="496"/>
      <c r="R487" s="372"/>
      <c r="S487" s="461"/>
    </row>
    <row r="488" ht="15.75" customHeight="1">
      <c r="F488" s="496"/>
      <c r="R488" s="372"/>
      <c r="S488" s="461"/>
    </row>
    <row r="489" ht="15.75" customHeight="1">
      <c r="F489" s="496"/>
      <c r="R489" s="372"/>
      <c r="S489" s="461"/>
    </row>
    <row r="490" ht="15.75" customHeight="1">
      <c r="F490" s="496"/>
      <c r="R490" s="372"/>
      <c r="S490" s="461"/>
    </row>
    <row r="491" ht="15.75" customHeight="1">
      <c r="F491" s="496"/>
      <c r="R491" s="372"/>
      <c r="S491" s="461"/>
    </row>
    <row r="492" ht="15.75" customHeight="1">
      <c r="F492" s="496"/>
      <c r="R492" s="372"/>
      <c r="S492" s="461"/>
    </row>
    <row r="493" ht="15.75" customHeight="1">
      <c r="F493" s="496"/>
      <c r="R493" s="372"/>
      <c r="S493" s="461"/>
    </row>
    <row r="494" ht="15.75" customHeight="1">
      <c r="F494" s="496"/>
      <c r="R494" s="372"/>
      <c r="S494" s="461"/>
    </row>
    <row r="495" ht="15.75" customHeight="1">
      <c r="F495" s="496"/>
      <c r="R495" s="372"/>
      <c r="S495" s="461"/>
    </row>
    <row r="496" ht="15.75" customHeight="1">
      <c r="F496" s="496"/>
      <c r="R496" s="372"/>
      <c r="S496" s="461"/>
    </row>
    <row r="497" ht="15.75" customHeight="1">
      <c r="F497" s="496"/>
      <c r="R497" s="372"/>
      <c r="S497" s="461"/>
    </row>
    <row r="498" ht="15.75" customHeight="1">
      <c r="F498" s="496"/>
      <c r="R498" s="372"/>
      <c r="S498" s="461"/>
    </row>
    <row r="499" ht="15.75" customHeight="1">
      <c r="F499" s="496"/>
      <c r="R499" s="372"/>
      <c r="S499" s="461"/>
    </row>
    <row r="500" ht="15.75" customHeight="1">
      <c r="F500" s="496"/>
      <c r="R500" s="372"/>
      <c r="S500" s="461"/>
    </row>
    <row r="501" ht="15.75" customHeight="1">
      <c r="F501" s="496"/>
      <c r="R501" s="372"/>
      <c r="S501" s="461"/>
    </row>
    <row r="502" ht="15.75" customHeight="1">
      <c r="F502" s="496"/>
      <c r="R502" s="372"/>
      <c r="S502" s="461"/>
    </row>
    <row r="503" ht="15.75" customHeight="1">
      <c r="F503" s="496"/>
      <c r="R503" s="372"/>
      <c r="S503" s="461"/>
    </row>
    <row r="504" ht="15.75" customHeight="1">
      <c r="F504" s="496"/>
      <c r="R504" s="372"/>
      <c r="S504" s="461"/>
    </row>
    <row r="505" ht="15.75" customHeight="1">
      <c r="F505" s="496"/>
      <c r="R505" s="372"/>
      <c r="S505" s="461"/>
    </row>
    <row r="506" ht="15.75" customHeight="1">
      <c r="F506" s="496"/>
      <c r="R506" s="372"/>
      <c r="S506" s="461"/>
    </row>
    <row r="507" ht="15.75" customHeight="1">
      <c r="F507" s="496"/>
      <c r="R507" s="372"/>
      <c r="S507" s="461"/>
    </row>
    <row r="508" ht="15.75" customHeight="1">
      <c r="F508" s="496"/>
      <c r="R508" s="372"/>
      <c r="S508" s="461"/>
    </row>
    <row r="509" ht="15.75" customHeight="1">
      <c r="F509" s="496"/>
      <c r="R509" s="372"/>
      <c r="S509" s="461"/>
    </row>
    <row r="510" ht="15.75" customHeight="1">
      <c r="F510" s="496"/>
      <c r="R510" s="372"/>
      <c r="S510" s="461"/>
    </row>
    <row r="511" ht="15.75" customHeight="1">
      <c r="F511" s="496"/>
      <c r="R511" s="372"/>
      <c r="S511" s="461"/>
    </row>
    <row r="512" ht="15.75" customHeight="1">
      <c r="F512" s="496"/>
      <c r="R512" s="372"/>
      <c r="S512" s="461"/>
    </row>
    <row r="513" ht="15.75" customHeight="1">
      <c r="F513" s="496"/>
      <c r="R513" s="372"/>
      <c r="S513" s="461"/>
    </row>
    <row r="514" ht="15.75" customHeight="1">
      <c r="F514" s="496"/>
      <c r="R514" s="372"/>
      <c r="S514" s="461"/>
    </row>
    <row r="515" ht="15.75" customHeight="1">
      <c r="F515" s="496"/>
      <c r="R515" s="372"/>
      <c r="S515" s="461"/>
    </row>
    <row r="516" ht="15.75" customHeight="1">
      <c r="F516" s="496"/>
      <c r="R516" s="372"/>
      <c r="S516" s="461"/>
    </row>
    <row r="517" ht="15.75" customHeight="1">
      <c r="F517" s="496"/>
      <c r="R517" s="372"/>
      <c r="S517" s="461"/>
    </row>
    <row r="518" ht="15.75" customHeight="1">
      <c r="F518" s="496"/>
      <c r="R518" s="372"/>
      <c r="S518" s="461"/>
    </row>
    <row r="519" ht="15.75" customHeight="1">
      <c r="F519" s="496"/>
      <c r="R519" s="372"/>
      <c r="S519" s="461"/>
    </row>
    <row r="520" ht="15.75" customHeight="1">
      <c r="F520" s="496"/>
      <c r="R520" s="372"/>
      <c r="S520" s="461"/>
    </row>
    <row r="521" ht="15.75" customHeight="1">
      <c r="F521" s="496"/>
      <c r="R521" s="372"/>
      <c r="S521" s="461"/>
    </row>
    <row r="522" ht="15.75" customHeight="1">
      <c r="F522" s="496"/>
      <c r="R522" s="372"/>
      <c r="S522" s="461"/>
    </row>
    <row r="523" ht="15.75" customHeight="1">
      <c r="F523" s="496"/>
      <c r="R523" s="372"/>
      <c r="S523" s="461"/>
    </row>
    <row r="524" ht="15.75" customHeight="1">
      <c r="F524" s="496"/>
      <c r="R524" s="372"/>
      <c r="S524" s="461"/>
    </row>
    <row r="525" ht="15.75" customHeight="1">
      <c r="F525" s="496"/>
      <c r="R525" s="372"/>
      <c r="S525" s="461"/>
    </row>
    <row r="526" ht="15.75" customHeight="1">
      <c r="F526" s="496"/>
      <c r="R526" s="372"/>
      <c r="S526" s="461"/>
    </row>
    <row r="527" ht="15.75" customHeight="1">
      <c r="F527" s="496"/>
      <c r="R527" s="372"/>
      <c r="S527" s="461"/>
    </row>
    <row r="528" ht="15.75" customHeight="1">
      <c r="F528" s="496"/>
      <c r="R528" s="372"/>
      <c r="S528" s="461"/>
    </row>
    <row r="529" ht="15.75" customHeight="1">
      <c r="F529" s="496"/>
      <c r="R529" s="372"/>
      <c r="S529" s="461"/>
    </row>
    <row r="530" ht="15.75" customHeight="1">
      <c r="F530" s="496"/>
      <c r="R530" s="372"/>
      <c r="S530" s="461"/>
    </row>
    <row r="531" ht="15.75" customHeight="1">
      <c r="F531" s="496"/>
      <c r="R531" s="372"/>
      <c r="S531" s="461"/>
    </row>
    <row r="532" ht="15.75" customHeight="1">
      <c r="F532" s="496"/>
      <c r="R532" s="372"/>
      <c r="S532" s="461"/>
    </row>
    <row r="533" ht="15.75" customHeight="1">
      <c r="F533" s="496"/>
      <c r="R533" s="372"/>
      <c r="S533" s="461"/>
    </row>
    <row r="534" ht="15.75" customHeight="1">
      <c r="F534" s="496"/>
      <c r="R534" s="372"/>
      <c r="S534" s="461"/>
    </row>
    <row r="535" ht="15.75" customHeight="1">
      <c r="F535" s="496"/>
      <c r="R535" s="372"/>
      <c r="S535" s="461"/>
    </row>
    <row r="536" ht="15.75" customHeight="1">
      <c r="F536" s="496"/>
      <c r="R536" s="372"/>
      <c r="S536" s="461"/>
    </row>
    <row r="537" ht="15.75" customHeight="1">
      <c r="F537" s="496"/>
      <c r="R537" s="372"/>
      <c r="S537" s="461"/>
    </row>
    <row r="538" ht="15.75" customHeight="1">
      <c r="F538" s="496"/>
      <c r="R538" s="372"/>
      <c r="S538" s="461"/>
    </row>
    <row r="539" ht="15.75" customHeight="1">
      <c r="F539" s="496"/>
      <c r="R539" s="372"/>
      <c r="S539" s="461"/>
    </row>
    <row r="540" ht="15.75" customHeight="1">
      <c r="F540" s="496"/>
      <c r="R540" s="372"/>
      <c r="S540" s="461"/>
    </row>
    <row r="541" ht="15.75" customHeight="1">
      <c r="F541" s="496"/>
      <c r="R541" s="372"/>
      <c r="S541" s="461"/>
    </row>
    <row r="542" ht="15.75" customHeight="1">
      <c r="F542" s="496"/>
      <c r="R542" s="372"/>
      <c r="S542" s="461"/>
    </row>
    <row r="543" ht="15.75" customHeight="1">
      <c r="F543" s="496"/>
      <c r="R543" s="372"/>
      <c r="S543" s="461"/>
    </row>
    <row r="544" ht="15.75" customHeight="1">
      <c r="F544" s="496"/>
      <c r="R544" s="372"/>
      <c r="S544" s="461"/>
    </row>
    <row r="545" ht="15.75" customHeight="1">
      <c r="F545" s="496"/>
      <c r="R545" s="372"/>
      <c r="S545" s="461"/>
    </row>
    <row r="546" ht="15.75" customHeight="1">
      <c r="F546" s="496"/>
      <c r="R546" s="372"/>
      <c r="S546" s="461"/>
    </row>
    <row r="547" ht="15.75" customHeight="1">
      <c r="F547" s="496"/>
      <c r="R547" s="372"/>
      <c r="S547" s="461"/>
    </row>
    <row r="548" ht="15.75" customHeight="1">
      <c r="F548" s="496"/>
      <c r="R548" s="372"/>
      <c r="S548" s="461"/>
    </row>
    <row r="549" ht="15.75" customHeight="1">
      <c r="F549" s="496"/>
      <c r="R549" s="372"/>
      <c r="S549" s="461"/>
    </row>
    <row r="550" ht="15.75" customHeight="1">
      <c r="F550" s="496"/>
      <c r="R550" s="372"/>
      <c r="S550" s="461"/>
    </row>
    <row r="551" ht="15.75" customHeight="1">
      <c r="F551" s="496"/>
      <c r="R551" s="372"/>
      <c r="S551" s="461"/>
    </row>
    <row r="552" ht="15.75" customHeight="1">
      <c r="F552" s="496"/>
      <c r="R552" s="372"/>
      <c r="S552" s="461"/>
    </row>
    <row r="553" ht="15.75" customHeight="1">
      <c r="F553" s="496"/>
      <c r="R553" s="372"/>
      <c r="S553" s="461"/>
    </row>
    <row r="554" ht="15.75" customHeight="1">
      <c r="F554" s="496"/>
      <c r="R554" s="372"/>
      <c r="S554" s="461"/>
    </row>
    <row r="555" ht="15.75" customHeight="1">
      <c r="F555" s="496"/>
      <c r="R555" s="372"/>
      <c r="S555" s="461"/>
    </row>
    <row r="556" ht="15.75" customHeight="1">
      <c r="F556" s="496"/>
      <c r="R556" s="372"/>
      <c r="S556" s="461"/>
    </row>
    <row r="557" ht="15.75" customHeight="1">
      <c r="F557" s="496"/>
      <c r="R557" s="372"/>
      <c r="S557" s="461"/>
    </row>
    <row r="558" ht="15.75" customHeight="1">
      <c r="F558" s="496"/>
      <c r="R558" s="372"/>
      <c r="S558" s="461"/>
    </row>
    <row r="559" ht="15.75" customHeight="1">
      <c r="F559" s="496"/>
      <c r="R559" s="372"/>
      <c r="S559" s="461"/>
    </row>
    <row r="560" ht="15.75" customHeight="1">
      <c r="F560" s="496"/>
      <c r="R560" s="372"/>
      <c r="S560" s="461"/>
    </row>
    <row r="561" ht="15.75" customHeight="1">
      <c r="F561" s="496"/>
      <c r="R561" s="372"/>
      <c r="S561" s="461"/>
    </row>
    <row r="562" ht="15.75" customHeight="1">
      <c r="F562" s="496"/>
      <c r="R562" s="372"/>
      <c r="S562" s="461"/>
    </row>
    <row r="563" ht="15.75" customHeight="1">
      <c r="F563" s="496"/>
      <c r="R563" s="372"/>
      <c r="S563" s="461"/>
    </row>
    <row r="564" ht="15.75" customHeight="1">
      <c r="F564" s="496"/>
      <c r="R564" s="372"/>
      <c r="S564" s="461"/>
    </row>
    <row r="565" ht="15.75" customHeight="1">
      <c r="F565" s="496"/>
      <c r="R565" s="372"/>
      <c r="S565" s="461"/>
    </row>
    <row r="566" ht="15.75" customHeight="1">
      <c r="F566" s="496"/>
      <c r="R566" s="372"/>
      <c r="S566" s="461"/>
    </row>
    <row r="567" ht="15.75" customHeight="1">
      <c r="F567" s="496"/>
      <c r="R567" s="372"/>
      <c r="S567" s="461"/>
    </row>
    <row r="568" ht="15.75" customHeight="1">
      <c r="F568" s="496"/>
      <c r="R568" s="372"/>
      <c r="S568" s="461"/>
    </row>
    <row r="569" ht="15.75" customHeight="1">
      <c r="F569" s="496"/>
      <c r="R569" s="372"/>
      <c r="S569" s="461"/>
    </row>
    <row r="570" ht="15.75" customHeight="1">
      <c r="F570" s="496"/>
      <c r="R570" s="372"/>
      <c r="S570" s="461"/>
    </row>
    <row r="571" ht="15.75" customHeight="1">
      <c r="F571" s="496"/>
      <c r="R571" s="372"/>
      <c r="S571" s="461"/>
    </row>
    <row r="572" ht="15.75" customHeight="1">
      <c r="F572" s="496"/>
      <c r="R572" s="372"/>
      <c r="S572" s="461"/>
    </row>
    <row r="573" ht="15.75" customHeight="1">
      <c r="F573" s="496"/>
      <c r="R573" s="372"/>
      <c r="S573" s="461"/>
    </row>
    <row r="574" ht="15.75" customHeight="1">
      <c r="F574" s="496"/>
      <c r="R574" s="372"/>
      <c r="S574" s="461"/>
    </row>
    <row r="575" ht="15.75" customHeight="1">
      <c r="F575" s="496"/>
      <c r="R575" s="372"/>
      <c r="S575" s="461"/>
    </row>
    <row r="576" ht="15.75" customHeight="1">
      <c r="F576" s="496"/>
      <c r="R576" s="372"/>
      <c r="S576" s="461"/>
    </row>
    <row r="577" ht="15.75" customHeight="1">
      <c r="F577" s="496"/>
      <c r="R577" s="372"/>
      <c r="S577" s="461"/>
    </row>
    <row r="578" ht="15.75" customHeight="1">
      <c r="F578" s="496"/>
      <c r="R578" s="372"/>
      <c r="S578" s="461"/>
    </row>
    <row r="579" ht="15.75" customHeight="1">
      <c r="F579" s="496"/>
      <c r="R579" s="372"/>
      <c r="S579" s="461"/>
    </row>
    <row r="580" ht="15.75" customHeight="1">
      <c r="F580" s="496"/>
      <c r="R580" s="372"/>
      <c r="S580" s="461"/>
    </row>
    <row r="581" ht="15.75" customHeight="1">
      <c r="F581" s="496"/>
      <c r="R581" s="372"/>
      <c r="S581" s="461"/>
    </row>
    <row r="582" ht="15.75" customHeight="1">
      <c r="F582" s="496"/>
      <c r="R582" s="372"/>
      <c r="S582" s="461"/>
    </row>
    <row r="583" ht="15.75" customHeight="1">
      <c r="F583" s="496"/>
      <c r="R583" s="372"/>
      <c r="S583" s="461"/>
    </row>
    <row r="584" ht="15.75" customHeight="1">
      <c r="F584" s="496"/>
      <c r="R584" s="372"/>
      <c r="S584" s="461"/>
    </row>
    <row r="585" ht="15.75" customHeight="1">
      <c r="F585" s="496"/>
      <c r="R585" s="372"/>
      <c r="S585" s="461"/>
    </row>
    <row r="586" ht="15.75" customHeight="1">
      <c r="F586" s="496"/>
      <c r="R586" s="372"/>
      <c r="S586" s="461"/>
    </row>
    <row r="587" ht="15.75" customHeight="1">
      <c r="F587" s="496"/>
      <c r="R587" s="372"/>
      <c r="S587" s="461"/>
    </row>
    <row r="588" ht="15.75" customHeight="1">
      <c r="F588" s="496"/>
      <c r="R588" s="372"/>
      <c r="S588" s="461"/>
    </row>
    <row r="589" ht="15.75" customHeight="1">
      <c r="F589" s="496"/>
      <c r="R589" s="372"/>
      <c r="S589" s="461"/>
    </row>
    <row r="590" ht="15.75" customHeight="1">
      <c r="F590" s="496"/>
      <c r="R590" s="372"/>
      <c r="S590" s="461"/>
    </row>
    <row r="591" ht="15.75" customHeight="1">
      <c r="F591" s="496"/>
      <c r="R591" s="372"/>
      <c r="S591" s="461"/>
    </row>
    <row r="592" ht="15.75" customHeight="1">
      <c r="F592" s="496"/>
      <c r="R592" s="372"/>
      <c r="S592" s="461"/>
    </row>
    <row r="593" ht="15.75" customHeight="1">
      <c r="F593" s="496"/>
      <c r="R593" s="372"/>
      <c r="S593" s="461"/>
    </row>
    <row r="594" ht="15.75" customHeight="1">
      <c r="F594" s="496"/>
      <c r="R594" s="372"/>
      <c r="S594" s="461"/>
    </row>
    <row r="595" ht="15.75" customHeight="1">
      <c r="F595" s="496"/>
      <c r="R595" s="372"/>
      <c r="S595" s="461"/>
    </row>
    <row r="596" ht="15.75" customHeight="1">
      <c r="F596" s="496"/>
      <c r="R596" s="372"/>
      <c r="S596" s="461"/>
    </row>
    <row r="597" ht="15.75" customHeight="1">
      <c r="F597" s="496"/>
      <c r="R597" s="372"/>
      <c r="S597" s="461"/>
    </row>
    <row r="598" ht="15.75" customHeight="1">
      <c r="F598" s="496"/>
      <c r="R598" s="372"/>
      <c r="S598" s="461"/>
    </row>
    <row r="599" ht="15.75" customHeight="1">
      <c r="F599" s="496"/>
      <c r="R599" s="372"/>
      <c r="S599" s="461"/>
    </row>
    <row r="600" ht="15.75" customHeight="1">
      <c r="F600" s="496"/>
      <c r="R600" s="372"/>
      <c r="S600" s="461"/>
    </row>
    <row r="601" ht="15.75" customHeight="1">
      <c r="F601" s="496"/>
      <c r="R601" s="372"/>
      <c r="S601" s="461"/>
    </row>
    <row r="602" ht="15.75" customHeight="1">
      <c r="F602" s="496"/>
      <c r="R602" s="372"/>
      <c r="S602" s="461"/>
    </row>
    <row r="603" ht="15.75" customHeight="1">
      <c r="F603" s="496"/>
      <c r="R603" s="372"/>
      <c r="S603" s="461"/>
    </row>
    <row r="604" ht="15.75" customHeight="1">
      <c r="F604" s="496"/>
      <c r="R604" s="372"/>
      <c r="S604" s="461"/>
    </row>
    <row r="605" ht="15.75" customHeight="1">
      <c r="F605" s="496"/>
      <c r="R605" s="372"/>
      <c r="S605" s="461"/>
    </row>
    <row r="606" ht="15.75" customHeight="1">
      <c r="F606" s="496"/>
      <c r="R606" s="372"/>
      <c r="S606" s="461"/>
    </row>
    <row r="607" ht="15.75" customHeight="1">
      <c r="F607" s="496"/>
      <c r="R607" s="372"/>
      <c r="S607" s="461"/>
    </row>
    <row r="608" ht="15.75" customHeight="1">
      <c r="F608" s="496"/>
      <c r="R608" s="372"/>
      <c r="S608" s="461"/>
    </row>
    <row r="609" ht="15.75" customHeight="1">
      <c r="F609" s="496"/>
      <c r="R609" s="372"/>
      <c r="S609" s="461"/>
    </row>
    <row r="610" ht="15.75" customHeight="1">
      <c r="F610" s="496"/>
      <c r="R610" s="372"/>
      <c r="S610" s="461"/>
    </row>
    <row r="611" ht="15.75" customHeight="1">
      <c r="F611" s="496"/>
      <c r="R611" s="372"/>
      <c r="S611" s="461"/>
    </row>
    <row r="612" ht="15.75" customHeight="1">
      <c r="F612" s="496"/>
      <c r="R612" s="372"/>
      <c r="S612" s="461"/>
    </row>
    <row r="613" ht="15.75" customHeight="1">
      <c r="F613" s="496"/>
      <c r="R613" s="372"/>
      <c r="S613" s="461"/>
    </row>
    <row r="614" ht="15.75" customHeight="1">
      <c r="F614" s="496"/>
      <c r="R614" s="372"/>
      <c r="S614" s="461"/>
    </row>
    <row r="615" ht="15.75" customHeight="1">
      <c r="F615" s="496"/>
      <c r="R615" s="372"/>
      <c r="S615" s="461"/>
    </row>
    <row r="616" ht="15.75" customHeight="1">
      <c r="F616" s="496"/>
      <c r="R616" s="372"/>
      <c r="S616" s="461"/>
    </row>
    <row r="617" ht="15.75" customHeight="1">
      <c r="F617" s="496"/>
      <c r="R617" s="372"/>
      <c r="S617" s="461"/>
    </row>
    <row r="618" ht="15.75" customHeight="1">
      <c r="F618" s="496"/>
      <c r="R618" s="372"/>
      <c r="S618" s="461"/>
    </row>
    <row r="619" ht="15.75" customHeight="1">
      <c r="F619" s="496"/>
      <c r="R619" s="372"/>
      <c r="S619" s="461"/>
    </row>
    <row r="620" ht="15.75" customHeight="1">
      <c r="F620" s="496"/>
      <c r="R620" s="372"/>
      <c r="S620" s="461"/>
    </row>
    <row r="621" ht="15.75" customHeight="1">
      <c r="F621" s="496"/>
      <c r="R621" s="372"/>
      <c r="S621" s="461"/>
    </row>
    <row r="622" ht="15.75" customHeight="1">
      <c r="F622" s="496"/>
      <c r="R622" s="372"/>
      <c r="S622" s="461"/>
    </row>
    <row r="623" ht="15.75" customHeight="1">
      <c r="F623" s="496"/>
      <c r="R623" s="372"/>
      <c r="S623" s="461"/>
    </row>
    <row r="624" ht="15.75" customHeight="1">
      <c r="F624" s="496"/>
      <c r="R624" s="372"/>
      <c r="S624" s="461"/>
    </row>
    <row r="625" ht="15.75" customHeight="1">
      <c r="F625" s="496"/>
      <c r="R625" s="372"/>
      <c r="S625" s="461"/>
    </row>
    <row r="626" ht="15.75" customHeight="1">
      <c r="F626" s="496"/>
      <c r="R626" s="372"/>
      <c r="S626" s="461"/>
    </row>
    <row r="627" ht="15.75" customHeight="1">
      <c r="F627" s="496"/>
      <c r="R627" s="372"/>
      <c r="S627" s="461"/>
    </row>
    <row r="628" ht="15.75" customHeight="1">
      <c r="F628" s="496"/>
      <c r="R628" s="372"/>
      <c r="S628" s="461"/>
    </row>
    <row r="629" ht="15.75" customHeight="1">
      <c r="F629" s="496"/>
      <c r="R629" s="372"/>
      <c r="S629" s="461"/>
    </row>
    <row r="630" ht="15.75" customHeight="1">
      <c r="F630" s="496"/>
      <c r="R630" s="372"/>
      <c r="S630" s="461"/>
    </row>
    <row r="631" ht="15.75" customHeight="1">
      <c r="F631" s="496"/>
      <c r="R631" s="372"/>
      <c r="S631" s="461"/>
    </row>
    <row r="632" ht="15.75" customHeight="1">
      <c r="F632" s="496"/>
      <c r="R632" s="372"/>
      <c r="S632" s="461"/>
    </row>
    <row r="633" ht="15.75" customHeight="1">
      <c r="F633" s="496"/>
      <c r="R633" s="372"/>
      <c r="S633" s="461"/>
    </row>
    <row r="634" ht="15.75" customHeight="1">
      <c r="F634" s="496"/>
      <c r="R634" s="372"/>
      <c r="S634" s="461"/>
    </row>
    <row r="635" ht="15.75" customHeight="1">
      <c r="F635" s="496"/>
      <c r="R635" s="372"/>
      <c r="S635" s="461"/>
    </row>
    <row r="636" ht="15.75" customHeight="1">
      <c r="F636" s="496"/>
      <c r="R636" s="372"/>
      <c r="S636" s="461"/>
    </row>
    <row r="637" ht="15.75" customHeight="1">
      <c r="F637" s="496"/>
      <c r="R637" s="372"/>
      <c r="S637" s="461"/>
    </row>
    <row r="638" ht="15.75" customHeight="1">
      <c r="F638" s="496"/>
      <c r="R638" s="372"/>
      <c r="S638" s="461"/>
    </row>
    <row r="639" ht="15.75" customHeight="1">
      <c r="F639" s="496"/>
      <c r="R639" s="372"/>
      <c r="S639" s="461"/>
    </row>
    <row r="640" ht="15.75" customHeight="1">
      <c r="F640" s="496"/>
      <c r="R640" s="372"/>
      <c r="S640" s="461"/>
    </row>
    <row r="641" ht="15.75" customHeight="1">
      <c r="F641" s="496"/>
      <c r="R641" s="372"/>
      <c r="S641" s="461"/>
    </row>
    <row r="642" ht="15.75" customHeight="1">
      <c r="F642" s="496"/>
      <c r="R642" s="372"/>
      <c r="S642" s="461"/>
    </row>
    <row r="643" ht="15.75" customHeight="1">
      <c r="F643" s="496"/>
      <c r="R643" s="372"/>
      <c r="S643" s="461"/>
    </row>
    <row r="644" ht="15.75" customHeight="1">
      <c r="F644" s="496"/>
      <c r="R644" s="372"/>
      <c r="S644" s="461"/>
    </row>
    <row r="645" ht="15.75" customHeight="1">
      <c r="F645" s="496"/>
      <c r="R645" s="372"/>
      <c r="S645" s="461"/>
    </row>
    <row r="646" ht="15.75" customHeight="1">
      <c r="F646" s="496"/>
      <c r="R646" s="372"/>
      <c r="S646" s="461"/>
    </row>
    <row r="647" ht="15.75" customHeight="1">
      <c r="F647" s="496"/>
      <c r="R647" s="372"/>
      <c r="S647" s="461"/>
    </row>
    <row r="648" ht="15.75" customHeight="1">
      <c r="F648" s="496"/>
      <c r="R648" s="372"/>
      <c r="S648" s="461"/>
    </row>
    <row r="649" ht="15.75" customHeight="1">
      <c r="F649" s="496"/>
      <c r="R649" s="372"/>
      <c r="S649" s="461"/>
    </row>
    <row r="650" ht="15.75" customHeight="1">
      <c r="F650" s="496"/>
      <c r="R650" s="372"/>
      <c r="S650" s="461"/>
    </row>
    <row r="651" ht="15.75" customHeight="1">
      <c r="F651" s="496"/>
      <c r="R651" s="372"/>
      <c r="S651" s="461"/>
    </row>
    <row r="652" ht="15.75" customHeight="1">
      <c r="F652" s="496"/>
      <c r="R652" s="372"/>
      <c r="S652" s="461"/>
    </row>
    <row r="653" ht="15.75" customHeight="1">
      <c r="F653" s="496"/>
      <c r="R653" s="372"/>
      <c r="S653" s="461"/>
    </row>
    <row r="654" ht="15.75" customHeight="1">
      <c r="F654" s="496"/>
      <c r="R654" s="372"/>
      <c r="S654" s="461"/>
    </row>
    <row r="655" ht="15.75" customHeight="1">
      <c r="F655" s="496"/>
      <c r="R655" s="372"/>
      <c r="S655" s="461"/>
    </row>
    <row r="656" ht="15.75" customHeight="1">
      <c r="F656" s="496"/>
      <c r="R656" s="372"/>
      <c r="S656" s="461"/>
    </row>
    <row r="657" ht="15.75" customHeight="1">
      <c r="F657" s="496"/>
      <c r="R657" s="372"/>
      <c r="S657" s="461"/>
    </row>
    <row r="658" ht="15.75" customHeight="1">
      <c r="F658" s="496"/>
      <c r="R658" s="372"/>
      <c r="S658" s="461"/>
    </row>
    <row r="659" ht="15.75" customHeight="1">
      <c r="F659" s="496"/>
      <c r="R659" s="372"/>
      <c r="S659" s="461"/>
    </row>
    <row r="660" ht="15.75" customHeight="1">
      <c r="F660" s="496"/>
      <c r="R660" s="372"/>
      <c r="S660" s="461"/>
    </row>
    <row r="661" ht="15.75" customHeight="1">
      <c r="F661" s="496"/>
      <c r="R661" s="372"/>
      <c r="S661" s="461"/>
    </row>
    <row r="662" ht="15.75" customHeight="1">
      <c r="F662" s="496"/>
      <c r="R662" s="372"/>
      <c r="S662" s="461"/>
    </row>
    <row r="663" ht="15.75" customHeight="1">
      <c r="F663" s="496"/>
      <c r="R663" s="372"/>
      <c r="S663" s="461"/>
    </row>
    <row r="664" ht="15.75" customHeight="1">
      <c r="F664" s="496"/>
      <c r="R664" s="372"/>
      <c r="S664" s="461"/>
    </row>
    <row r="665" ht="15.75" customHeight="1">
      <c r="F665" s="496"/>
      <c r="R665" s="372"/>
      <c r="S665" s="461"/>
    </row>
    <row r="666" ht="15.75" customHeight="1">
      <c r="F666" s="496"/>
      <c r="R666" s="372"/>
      <c r="S666" s="461"/>
    </row>
    <row r="667" ht="15.75" customHeight="1">
      <c r="F667" s="496"/>
      <c r="R667" s="372"/>
      <c r="S667" s="461"/>
    </row>
    <row r="668" ht="15.75" customHeight="1">
      <c r="F668" s="496"/>
      <c r="R668" s="372"/>
      <c r="S668" s="461"/>
    </row>
    <row r="669" ht="15.75" customHeight="1">
      <c r="F669" s="496"/>
      <c r="R669" s="372"/>
      <c r="S669" s="461"/>
    </row>
    <row r="670" ht="15.75" customHeight="1">
      <c r="F670" s="496"/>
      <c r="R670" s="372"/>
      <c r="S670" s="461"/>
    </row>
    <row r="671" ht="15.75" customHeight="1">
      <c r="F671" s="496"/>
      <c r="R671" s="372"/>
      <c r="S671" s="461"/>
    </row>
    <row r="672" ht="15.75" customHeight="1">
      <c r="F672" s="496"/>
      <c r="R672" s="372"/>
      <c r="S672" s="461"/>
    </row>
    <row r="673" ht="15.75" customHeight="1">
      <c r="F673" s="496"/>
      <c r="R673" s="372"/>
      <c r="S673" s="461"/>
    </row>
    <row r="674" ht="15.75" customHeight="1">
      <c r="F674" s="496"/>
      <c r="R674" s="372"/>
      <c r="S674" s="461"/>
    </row>
    <row r="675" ht="15.75" customHeight="1">
      <c r="F675" s="496"/>
      <c r="R675" s="372"/>
      <c r="S675" s="461"/>
    </row>
    <row r="676" ht="15.75" customHeight="1">
      <c r="F676" s="496"/>
      <c r="R676" s="372"/>
      <c r="S676" s="461"/>
    </row>
    <row r="677" ht="15.75" customHeight="1">
      <c r="F677" s="496"/>
      <c r="R677" s="372"/>
      <c r="S677" s="461"/>
    </row>
    <row r="678" ht="15.75" customHeight="1">
      <c r="F678" s="496"/>
      <c r="R678" s="372"/>
      <c r="S678" s="461"/>
    </row>
    <row r="679" ht="15.75" customHeight="1">
      <c r="F679" s="496"/>
      <c r="R679" s="372"/>
      <c r="S679" s="461"/>
    </row>
    <row r="680" ht="15.75" customHeight="1">
      <c r="F680" s="496"/>
      <c r="R680" s="372"/>
      <c r="S680" s="461"/>
    </row>
    <row r="681" ht="15.75" customHeight="1">
      <c r="F681" s="496"/>
      <c r="R681" s="372"/>
      <c r="S681" s="461"/>
    </row>
    <row r="682" ht="15.75" customHeight="1">
      <c r="F682" s="496"/>
      <c r="R682" s="372"/>
      <c r="S682" s="461"/>
    </row>
    <row r="683" ht="15.75" customHeight="1">
      <c r="F683" s="496"/>
      <c r="R683" s="372"/>
      <c r="S683" s="461"/>
    </row>
    <row r="684" ht="15.75" customHeight="1">
      <c r="F684" s="496"/>
      <c r="R684" s="372"/>
      <c r="S684" s="461"/>
    </row>
    <row r="685" ht="15.75" customHeight="1">
      <c r="F685" s="496"/>
      <c r="R685" s="372"/>
      <c r="S685" s="461"/>
    </row>
    <row r="686" ht="15.75" customHeight="1">
      <c r="F686" s="496"/>
      <c r="R686" s="372"/>
      <c r="S686" s="461"/>
    </row>
    <row r="687" ht="15.75" customHeight="1">
      <c r="F687" s="496"/>
      <c r="R687" s="372"/>
      <c r="S687" s="461"/>
    </row>
    <row r="688" ht="15.75" customHeight="1">
      <c r="F688" s="496"/>
      <c r="R688" s="372"/>
      <c r="S688" s="461"/>
    </row>
    <row r="689" ht="15.75" customHeight="1">
      <c r="F689" s="496"/>
      <c r="R689" s="372"/>
      <c r="S689" s="461"/>
    </row>
    <row r="690" ht="15.75" customHeight="1">
      <c r="F690" s="496"/>
      <c r="R690" s="372"/>
      <c r="S690" s="461"/>
    </row>
    <row r="691" ht="15.75" customHeight="1">
      <c r="F691" s="496"/>
      <c r="R691" s="372"/>
      <c r="S691" s="461"/>
    </row>
    <row r="692" ht="15.75" customHeight="1">
      <c r="F692" s="496"/>
      <c r="R692" s="372"/>
      <c r="S692" s="461"/>
    </row>
    <row r="693" ht="15.75" customHeight="1">
      <c r="F693" s="496"/>
      <c r="R693" s="372"/>
      <c r="S693" s="461"/>
    </row>
    <row r="694" ht="15.75" customHeight="1">
      <c r="F694" s="496"/>
      <c r="R694" s="372"/>
      <c r="S694" s="461"/>
    </row>
    <row r="695" ht="15.75" customHeight="1">
      <c r="F695" s="496"/>
      <c r="R695" s="372"/>
      <c r="S695" s="461"/>
    </row>
    <row r="696" ht="15.75" customHeight="1">
      <c r="F696" s="496"/>
      <c r="R696" s="372"/>
      <c r="S696" s="461"/>
    </row>
    <row r="697" ht="15.75" customHeight="1">
      <c r="F697" s="496"/>
      <c r="R697" s="372"/>
      <c r="S697" s="461"/>
    </row>
    <row r="698" ht="15.75" customHeight="1">
      <c r="F698" s="496"/>
      <c r="R698" s="372"/>
      <c r="S698" s="461"/>
    </row>
    <row r="699" ht="15.75" customHeight="1">
      <c r="F699" s="496"/>
      <c r="R699" s="372"/>
      <c r="S699" s="461"/>
    </row>
    <row r="700" ht="15.75" customHeight="1">
      <c r="F700" s="496"/>
      <c r="R700" s="372"/>
      <c r="S700" s="461"/>
    </row>
    <row r="701" ht="15.75" customHeight="1">
      <c r="F701" s="496"/>
      <c r="R701" s="372"/>
      <c r="S701" s="461"/>
    </row>
    <row r="702" ht="15.75" customHeight="1">
      <c r="F702" s="496"/>
      <c r="R702" s="372"/>
      <c r="S702" s="461"/>
    </row>
    <row r="703" ht="15.75" customHeight="1">
      <c r="F703" s="496"/>
      <c r="R703" s="372"/>
      <c r="S703" s="461"/>
    </row>
    <row r="704" ht="15.75" customHeight="1">
      <c r="F704" s="496"/>
      <c r="R704" s="372"/>
      <c r="S704" s="461"/>
    </row>
    <row r="705" ht="15.75" customHeight="1">
      <c r="F705" s="496"/>
      <c r="R705" s="372"/>
      <c r="S705" s="461"/>
    </row>
    <row r="706" ht="15.75" customHeight="1">
      <c r="F706" s="496"/>
      <c r="R706" s="372"/>
      <c r="S706" s="461"/>
    </row>
    <row r="707" ht="15.75" customHeight="1">
      <c r="F707" s="496"/>
      <c r="R707" s="372"/>
      <c r="S707" s="461"/>
    </row>
    <row r="708" ht="15.75" customHeight="1">
      <c r="F708" s="496"/>
      <c r="R708" s="372"/>
      <c r="S708" s="461"/>
    </row>
    <row r="709" ht="15.75" customHeight="1">
      <c r="F709" s="496"/>
      <c r="R709" s="372"/>
      <c r="S709" s="461"/>
    </row>
    <row r="710" ht="15.75" customHeight="1">
      <c r="F710" s="496"/>
      <c r="R710" s="372"/>
      <c r="S710" s="461"/>
    </row>
    <row r="711" ht="15.75" customHeight="1">
      <c r="F711" s="496"/>
      <c r="R711" s="372"/>
      <c r="S711" s="461"/>
    </row>
    <row r="712" ht="15.75" customHeight="1">
      <c r="F712" s="496"/>
      <c r="R712" s="372"/>
      <c r="S712" s="461"/>
    </row>
    <row r="713" ht="15.75" customHeight="1">
      <c r="F713" s="496"/>
      <c r="R713" s="372"/>
      <c r="S713" s="461"/>
    </row>
    <row r="714" ht="15.75" customHeight="1">
      <c r="F714" s="496"/>
      <c r="R714" s="372"/>
      <c r="S714" s="461"/>
    </row>
    <row r="715" ht="15.75" customHeight="1">
      <c r="F715" s="496"/>
      <c r="R715" s="372"/>
      <c r="S715" s="461"/>
    </row>
    <row r="716" ht="15.75" customHeight="1">
      <c r="F716" s="496"/>
      <c r="R716" s="372"/>
      <c r="S716" s="461"/>
    </row>
    <row r="717" ht="15.75" customHeight="1">
      <c r="F717" s="496"/>
      <c r="R717" s="372"/>
      <c r="S717" s="461"/>
    </row>
    <row r="718" ht="15.75" customHeight="1">
      <c r="F718" s="496"/>
      <c r="R718" s="372"/>
      <c r="S718" s="461"/>
    </row>
    <row r="719" ht="15.75" customHeight="1">
      <c r="F719" s="496"/>
      <c r="R719" s="372"/>
      <c r="S719" s="461"/>
    </row>
    <row r="720" ht="15.75" customHeight="1">
      <c r="F720" s="496"/>
      <c r="R720" s="372"/>
      <c r="S720" s="461"/>
    </row>
    <row r="721" ht="15.75" customHeight="1">
      <c r="F721" s="496"/>
      <c r="R721" s="372"/>
      <c r="S721" s="461"/>
    </row>
    <row r="722" ht="15.75" customHeight="1">
      <c r="F722" s="496"/>
      <c r="R722" s="372"/>
      <c r="S722" s="461"/>
    </row>
    <row r="723" ht="15.75" customHeight="1">
      <c r="F723" s="496"/>
      <c r="R723" s="372"/>
      <c r="S723" s="461"/>
    </row>
    <row r="724" ht="15.75" customHeight="1">
      <c r="F724" s="496"/>
      <c r="R724" s="372"/>
      <c r="S724" s="461"/>
    </row>
    <row r="725" ht="15.75" customHeight="1">
      <c r="F725" s="496"/>
      <c r="R725" s="372"/>
      <c r="S725" s="461"/>
    </row>
    <row r="726" ht="15.75" customHeight="1">
      <c r="F726" s="496"/>
      <c r="R726" s="372"/>
      <c r="S726" s="461"/>
    </row>
    <row r="727" ht="15.75" customHeight="1">
      <c r="F727" s="496"/>
      <c r="R727" s="372"/>
      <c r="S727" s="461"/>
    </row>
    <row r="728" ht="15.75" customHeight="1">
      <c r="F728" s="496"/>
      <c r="R728" s="372"/>
      <c r="S728" s="461"/>
    </row>
    <row r="729" ht="15.75" customHeight="1">
      <c r="F729" s="496"/>
      <c r="R729" s="372"/>
      <c r="S729" s="461"/>
    </row>
    <row r="730" ht="15.75" customHeight="1">
      <c r="F730" s="496"/>
      <c r="R730" s="372"/>
      <c r="S730" s="461"/>
    </row>
    <row r="731" ht="15.75" customHeight="1">
      <c r="F731" s="496"/>
      <c r="R731" s="372"/>
      <c r="S731" s="461"/>
    </row>
    <row r="732" ht="15.75" customHeight="1">
      <c r="F732" s="496"/>
      <c r="R732" s="372"/>
      <c r="S732" s="461"/>
    </row>
    <row r="733" ht="15.75" customHeight="1">
      <c r="F733" s="496"/>
      <c r="R733" s="372"/>
      <c r="S733" s="461"/>
    </row>
    <row r="734" ht="15.75" customHeight="1">
      <c r="F734" s="496"/>
      <c r="R734" s="372"/>
      <c r="S734" s="461"/>
    </row>
    <row r="735" ht="15.75" customHeight="1">
      <c r="F735" s="496"/>
      <c r="R735" s="372"/>
      <c r="S735" s="461"/>
    </row>
    <row r="736" ht="15.75" customHeight="1">
      <c r="F736" s="496"/>
      <c r="R736" s="372"/>
      <c r="S736" s="461"/>
    </row>
    <row r="737" ht="15.75" customHeight="1">
      <c r="F737" s="496"/>
      <c r="R737" s="372"/>
      <c r="S737" s="461"/>
    </row>
    <row r="738" ht="15.75" customHeight="1">
      <c r="F738" s="496"/>
      <c r="R738" s="372"/>
      <c r="S738" s="461"/>
    </row>
    <row r="739" ht="15.75" customHeight="1">
      <c r="F739" s="496"/>
      <c r="R739" s="372"/>
      <c r="S739" s="461"/>
    </row>
    <row r="740" ht="15.75" customHeight="1">
      <c r="F740" s="496"/>
      <c r="R740" s="372"/>
      <c r="S740" s="461"/>
    </row>
    <row r="741" ht="15.75" customHeight="1">
      <c r="F741" s="496"/>
      <c r="R741" s="372"/>
      <c r="S741" s="461"/>
    </row>
    <row r="742" ht="15.75" customHeight="1">
      <c r="F742" s="496"/>
      <c r="R742" s="372"/>
      <c r="S742" s="461"/>
    </row>
    <row r="743" ht="15.75" customHeight="1">
      <c r="F743" s="496"/>
      <c r="R743" s="372"/>
      <c r="S743" s="461"/>
    </row>
    <row r="744" ht="15.75" customHeight="1">
      <c r="F744" s="496"/>
      <c r="R744" s="372"/>
      <c r="S744" s="461"/>
    </row>
    <row r="745" ht="15.75" customHeight="1">
      <c r="F745" s="496"/>
      <c r="R745" s="372"/>
      <c r="S745" s="461"/>
    </row>
    <row r="746" ht="15.75" customHeight="1">
      <c r="F746" s="496"/>
      <c r="R746" s="372"/>
      <c r="S746" s="461"/>
    </row>
    <row r="747" ht="15.75" customHeight="1">
      <c r="F747" s="496"/>
      <c r="R747" s="372"/>
      <c r="S747" s="461"/>
    </row>
    <row r="748" ht="15.75" customHeight="1">
      <c r="F748" s="496"/>
      <c r="R748" s="372"/>
      <c r="S748" s="461"/>
    </row>
    <row r="749" ht="15.75" customHeight="1">
      <c r="F749" s="496"/>
      <c r="R749" s="372"/>
      <c r="S749" s="461"/>
    </row>
    <row r="750" ht="15.75" customHeight="1">
      <c r="F750" s="496"/>
      <c r="R750" s="372"/>
      <c r="S750" s="461"/>
    </row>
    <row r="751" ht="15.75" customHeight="1">
      <c r="F751" s="496"/>
      <c r="R751" s="372"/>
      <c r="S751" s="461"/>
    </row>
    <row r="752" ht="15.75" customHeight="1">
      <c r="F752" s="496"/>
      <c r="R752" s="372"/>
      <c r="S752" s="461"/>
    </row>
    <row r="753" ht="15.75" customHeight="1">
      <c r="F753" s="496"/>
      <c r="R753" s="372"/>
      <c r="S753" s="461"/>
    </row>
    <row r="754" ht="15.75" customHeight="1">
      <c r="F754" s="496"/>
      <c r="R754" s="372"/>
      <c r="S754" s="461"/>
    </row>
    <row r="755" ht="15.75" customHeight="1">
      <c r="F755" s="496"/>
      <c r="R755" s="372"/>
      <c r="S755" s="461"/>
    </row>
    <row r="756" ht="15.75" customHeight="1">
      <c r="F756" s="496"/>
      <c r="R756" s="372"/>
      <c r="S756" s="461"/>
    </row>
    <row r="757" ht="15.75" customHeight="1">
      <c r="F757" s="496"/>
      <c r="R757" s="372"/>
      <c r="S757" s="461"/>
    </row>
    <row r="758" ht="15.75" customHeight="1">
      <c r="F758" s="496"/>
      <c r="R758" s="372"/>
      <c r="S758" s="461"/>
    </row>
    <row r="759" ht="15.75" customHeight="1">
      <c r="F759" s="496"/>
      <c r="R759" s="372"/>
      <c r="S759" s="461"/>
    </row>
    <row r="760" ht="15.75" customHeight="1">
      <c r="F760" s="496"/>
      <c r="R760" s="372"/>
      <c r="S760" s="461"/>
    </row>
    <row r="761" ht="15.75" customHeight="1">
      <c r="F761" s="496"/>
      <c r="R761" s="372"/>
      <c r="S761" s="461"/>
    </row>
    <row r="762" ht="15.75" customHeight="1">
      <c r="F762" s="496"/>
      <c r="R762" s="372"/>
      <c r="S762" s="461"/>
    </row>
    <row r="763" ht="15.75" customHeight="1">
      <c r="F763" s="496"/>
      <c r="R763" s="372"/>
      <c r="S763" s="461"/>
    </row>
    <row r="764" ht="15.75" customHeight="1">
      <c r="F764" s="496"/>
      <c r="R764" s="372"/>
      <c r="S764" s="461"/>
    </row>
    <row r="765" ht="15.75" customHeight="1">
      <c r="F765" s="496"/>
      <c r="R765" s="372"/>
      <c r="S765" s="461"/>
    </row>
    <row r="766" ht="15.75" customHeight="1">
      <c r="F766" s="496"/>
      <c r="R766" s="372"/>
      <c r="S766" s="461"/>
    </row>
    <row r="767" ht="15.75" customHeight="1">
      <c r="F767" s="496"/>
      <c r="R767" s="372"/>
      <c r="S767" s="461"/>
    </row>
    <row r="768" ht="15.75" customHeight="1">
      <c r="F768" s="496"/>
      <c r="R768" s="372"/>
      <c r="S768" s="461"/>
    </row>
    <row r="769" ht="15.75" customHeight="1">
      <c r="F769" s="496"/>
      <c r="R769" s="372"/>
      <c r="S769" s="461"/>
    </row>
    <row r="770" ht="15.75" customHeight="1">
      <c r="F770" s="496"/>
      <c r="R770" s="372"/>
      <c r="S770" s="461"/>
    </row>
    <row r="771" ht="15.75" customHeight="1">
      <c r="F771" s="496"/>
      <c r="R771" s="372"/>
      <c r="S771" s="461"/>
    </row>
    <row r="772" ht="15.75" customHeight="1">
      <c r="F772" s="496"/>
      <c r="R772" s="372"/>
      <c r="S772" s="461"/>
    </row>
    <row r="773" ht="15.75" customHeight="1">
      <c r="F773" s="496"/>
      <c r="R773" s="372"/>
      <c r="S773" s="461"/>
    </row>
    <row r="774" ht="15.75" customHeight="1">
      <c r="F774" s="496"/>
      <c r="R774" s="372"/>
      <c r="S774" s="461"/>
    </row>
    <row r="775" ht="15.75" customHeight="1">
      <c r="F775" s="496"/>
      <c r="R775" s="372"/>
      <c r="S775" s="461"/>
    </row>
    <row r="776" ht="15.75" customHeight="1">
      <c r="F776" s="496"/>
      <c r="R776" s="372"/>
      <c r="S776" s="461"/>
    </row>
    <row r="777" ht="15.75" customHeight="1">
      <c r="F777" s="496"/>
      <c r="R777" s="372"/>
      <c r="S777" s="461"/>
    </row>
    <row r="778" ht="15.75" customHeight="1">
      <c r="F778" s="496"/>
      <c r="R778" s="372"/>
      <c r="S778" s="461"/>
    </row>
    <row r="779" ht="15.75" customHeight="1">
      <c r="F779" s="496"/>
      <c r="R779" s="372"/>
      <c r="S779" s="461"/>
    </row>
    <row r="780" ht="15.75" customHeight="1">
      <c r="F780" s="496"/>
      <c r="R780" s="372"/>
      <c r="S780" s="461"/>
    </row>
    <row r="781" ht="15.75" customHeight="1">
      <c r="F781" s="496"/>
      <c r="R781" s="372"/>
      <c r="S781" s="461"/>
    </row>
    <row r="782" ht="15.75" customHeight="1">
      <c r="F782" s="496"/>
      <c r="R782" s="372"/>
      <c r="S782" s="461"/>
    </row>
    <row r="783" ht="15.75" customHeight="1">
      <c r="F783" s="496"/>
      <c r="R783" s="372"/>
      <c r="S783" s="461"/>
    </row>
    <row r="784" ht="15.75" customHeight="1">
      <c r="F784" s="496"/>
      <c r="R784" s="372"/>
      <c r="S784" s="461"/>
    </row>
    <row r="785" ht="15.75" customHeight="1">
      <c r="F785" s="496"/>
      <c r="R785" s="372"/>
      <c r="S785" s="461"/>
    </row>
    <row r="786" ht="15.75" customHeight="1">
      <c r="F786" s="496"/>
      <c r="R786" s="372"/>
      <c r="S786" s="461"/>
    </row>
    <row r="787" ht="15.75" customHeight="1">
      <c r="F787" s="496"/>
      <c r="R787" s="372"/>
      <c r="S787" s="461"/>
    </row>
    <row r="788" ht="15.75" customHeight="1">
      <c r="F788" s="496"/>
      <c r="R788" s="372"/>
      <c r="S788" s="461"/>
    </row>
    <row r="789" ht="15.75" customHeight="1">
      <c r="F789" s="496"/>
      <c r="R789" s="372"/>
      <c r="S789" s="461"/>
    </row>
    <row r="790" ht="15.75" customHeight="1">
      <c r="F790" s="496"/>
      <c r="R790" s="372"/>
      <c r="S790" s="461"/>
    </row>
    <row r="791" ht="15.75" customHeight="1">
      <c r="F791" s="496"/>
      <c r="R791" s="372"/>
      <c r="S791" s="461"/>
    </row>
    <row r="792" ht="15.75" customHeight="1">
      <c r="F792" s="496"/>
      <c r="R792" s="372"/>
      <c r="S792" s="461"/>
    </row>
    <row r="793" ht="15.75" customHeight="1">
      <c r="F793" s="496"/>
      <c r="R793" s="372"/>
      <c r="S793" s="461"/>
    </row>
    <row r="794" ht="15.75" customHeight="1">
      <c r="F794" s="496"/>
      <c r="R794" s="372"/>
      <c r="S794" s="461"/>
    </row>
    <row r="795" ht="15.75" customHeight="1">
      <c r="F795" s="496"/>
      <c r="R795" s="372"/>
      <c r="S795" s="461"/>
    </row>
    <row r="796" ht="15.75" customHeight="1">
      <c r="F796" s="496"/>
      <c r="R796" s="372"/>
      <c r="S796" s="461"/>
    </row>
    <row r="797" ht="15.75" customHeight="1">
      <c r="F797" s="496"/>
      <c r="R797" s="372"/>
      <c r="S797" s="461"/>
    </row>
    <row r="798" ht="15.75" customHeight="1">
      <c r="F798" s="496"/>
      <c r="R798" s="372"/>
      <c r="S798" s="461"/>
    </row>
    <row r="799" ht="15.75" customHeight="1">
      <c r="F799" s="496"/>
      <c r="R799" s="372"/>
      <c r="S799" s="461"/>
    </row>
    <row r="800" ht="15.75" customHeight="1">
      <c r="F800" s="496"/>
      <c r="R800" s="372"/>
      <c r="S800" s="461"/>
    </row>
    <row r="801" ht="15.75" customHeight="1">
      <c r="F801" s="496"/>
      <c r="R801" s="372"/>
      <c r="S801" s="461"/>
    </row>
    <row r="802" ht="15.75" customHeight="1">
      <c r="F802" s="496"/>
      <c r="R802" s="372"/>
      <c r="S802" s="461"/>
    </row>
    <row r="803" ht="15.75" customHeight="1">
      <c r="F803" s="496"/>
      <c r="R803" s="372"/>
      <c r="S803" s="461"/>
    </row>
    <row r="804" ht="15.75" customHeight="1">
      <c r="F804" s="496"/>
      <c r="R804" s="372"/>
      <c r="S804" s="461"/>
    </row>
    <row r="805" ht="15.75" customHeight="1">
      <c r="F805" s="496"/>
      <c r="R805" s="372"/>
      <c r="S805" s="461"/>
    </row>
    <row r="806" ht="15.75" customHeight="1">
      <c r="F806" s="496"/>
      <c r="R806" s="372"/>
      <c r="S806" s="461"/>
    </row>
    <row r="807" ht="15.75" customHeight="1">
      <c r="F807" s="496"/>
      <c r="R807" s="372"/>
      <c r="S807" s="461"/>
    </row>
    <row r="808" ht="15.75" customHeight="1">
      <c r="F808" s="496"/>
      <c r="R808" s="372"/>
      <c r="S808" s="461"/>
    </row>
    <row r="809" ht="15.75" customHeight="1">
      <c r="F809" s="496"/>
      <c r="R809" s="372"/>
      <c r="S809" s="461"/>
    </row>
    <row r="810" ht="15.75" customHeight="1">
      <c r="F810" s="496"/>
      <c r="R810" s="372"/>
      <c r="S810" s="461"/>
    </row>
    <row r="811" ht="15.75" customHeight="1">
      <c r="F811" s="496"/>
      <c r="R811" s="372"/>
      <c r="S811" s="461"/>
    </row>
    <row r="812" ht="15.75" customHeight="1">
      <c r="F812" s="496"/>
      <c r="R812" s="372"/>
      <c r="S812" s="461"/>
    </row>
    <row r="813" ht="15.75" customHeight="1">
      <c r="F813" s="496"/>
      <c r="R813" s="372"/>
      <c r="S813" s="461"/>
    </row>
    <row r="814" ht="15.75" customHeight="1">
      <c r="F814" s="496"/>
      <c r="R814" s="372"/>
      <c r="S814" s="461"/>
    </row>
    <row r="815" ht="15.75" customHeight="1">
      <c r="F815" s="496"/>
      <c r="R815" s="372"/>
      <c r="S815" s="461"/>
    </row>
    <row r="816" ht="15.75" customHeight="1">
      <c r="F816" s="496"/>
      <c r="R816" s="372"/>
      <c r="S816" s="461"/>
    </row>
    <row r="817" ht="15.75" customHeight="1">
      <c r="F817" s="496"/>
      <c r="R817" s="372"/>
      <c r="S817" s="461"/>
    </row>
    <row r="818" ht="15.75" customHeight="1">
      <c r="F818" s="496"/>
      <c r="R818" s="372"/>
      <c r="S818" s="461"/>
    </row>
    <row r="819" ht="15.75" customHeight="1">
      <c r="F819" s="496"/>
      <c r="R819" s="372"/>
      <c r="S819" s="461"/>
    </row>
    <row r="820" ht="15.75" customHeight="1">
      <c r="F820" s="496"/>
      <c r="R820" s="372"/>
      <c r="S820" s="461"/>
    </row>
    <row r="821" ht="15.75" customHeight="1">
      <c r="F821" s="496"/>
      <c r="R821" s="372"/>
      <c r="S821" s="461"/>
    </row>
    <row r="822" ht="15.75" customHeight="1">
      <c r="F822" s="496"/>
      <c r="R822" s="372"/>
      <c r="S822" s="461"/>
    </row>
    <row r="823" ht="15.75" customHeight="1">
      <c r="F823" s="496"/>
      <c r="R823" s="372"/>
      <c r="S823" s="461"/>
    </row>
    <row r="824" ht="15.75" customHeight="1">
      <c r="F824" s="496"/>
      <c r="R824" s="372"/>
      <c r="S824" s="461"/>
    </row>
    <row r="825" ht="15.75" customHeight="1">
      <c r="F825" s="496"/>
      <c r="R825" s="372"/>
      <c r="S825" s="461"/>
    </row>
    <row r="826" ht="15.75" customHeight="1">
      <c r="F826" s="496"/>
      <c r="R826" s="372"/>
      <c r="S826" s="461"/>
    </row>
    <row r="827" ht="15.75" customHeight="1">
      <c r="F827" s="496"/>
      <c r="R827" s="372"/>
      <c r="S827" s="461"/>
    </row>
    <row r="828" ht="15.75" customHeight="1">
      <c r="F828" s="496"/>
      <c r="R828" s="372"/>
      <c r="S828" s="461"/>
    </row>
    <row r="829" ht="15.75" customHeight="1">
      <c r="F829" s="496"/>
      <c r="R829" s="372"/>
      <c r="S829" s="461"/>
    </row>
    <row r="830" ht="15.75" customHeight="1">
      <c r="F830" s="496"/>
      <c r="R830" s="372"/>
      <c r="S830" s="461"/>
    </row>
    <row r="831" ht="15.75" customHeight="1">
      <c r="F831" s="496"/>
      <c r="R831" s="372"/>
      <c r="S831" s="461"/>
    </row>
    <row r="832" ht="15.75" customHeight="1">
      <c r="F832" s="496"/>
      <c r="R832" s="372"/>
      <c r="S832" s="461"/>
    </row>
    <row r="833" ht="15.75" customHeight="1">
      <c r="F833" s="496"/>
      <c r="R833" s="372"/>
      <c r="S833" s="461"/>
    </row>
    <row r="834" ht="15.75" customHeight="1">
      <c r="F834" s="496"/>
      <c r="R834" s="372"/>
      <c r="S834" s="461"/>
    </row>
    <row r="835" ht="15.75" customHeight="1">
      <c r="F835" s="496"/>
      <c r="R835" s="372"/>
      <c r="S835" s="461"/>
    </row>
    <row r="836" ht="15.75" customHeight="1">
      <c r="F836" s="496"/>
      <c r="R836" s="372"/>
      <c r="S836" s="461"/>
    </row>
    <row r="837" ht="15.75" customHeight="1">
      <c r="F837" s="496"/>
      <c r="R837" s="372"/>
      <c r="S837" s="461"/>
    </row>
    <row r="838" ht="15.75" customHeight="1">
      <c r="F838" s="496"/>
      <c r="R838" s="372"/>
      <c r="S838" s="461"/>
    </row>
    <row r="839" ht="15.75" customHeight="1">
      <c r="F839" s="496"/>
      <c r="R839" s="372"/>
      <c r="S839" s="461"/>
    </row>
    <row r="840" ht="15.75" customHeight="1">
      <c r="F840" s="496"/>
      <c r="R840" s="372"/>
      <c r="S840" s="461"/>
    </row>
    <row r="841" ht="15.75" customHeight="1">
      <c r="F841" s="496"/>
      <c r="R841" s="372"/>
      <c r="S841" s="461"/>
    </row>
    <row r="842" ht="15.75" customHeight="1">
      <c r="F842" s="496"/>
      <c r="R842" s="372"/>
      <c r="S842" s="461"/>
    </row>
    <row r="843" ht="15.75" customHeight="1">
      <c r="F843" s="496"/>
      <c r="R843" s="372"/>
      <c r="S843" s="461"/>
    </row>
    <row r="844" ht="15.75" customHeight="1">
      <c r="F844" s="496"/>
      <c r="R844" s="372"/>
      <c r="S844" s="461"/>
    </row>
    <row r="845" ht="15.75" customHeight="1">
      <c r="F845" s="496"/>
      <c r="R845" s="372"/>
      <c r="S845" s="461"/>
    </row>
    <row r="846" ht="15.75" customHeight="1">
      <c r="F846" s="496"/>
      <c r="R846" s="372"/>
      <c r="S846" s="461"/>
    </row>
    <row r="847" ht="15.75" customHeight="1">
      <c r="F847" s="496"/>
      <c r="R847" s="372"/>
      <c r="S847" s="461"/>
    </row>
    <row r="848" ht="15.75" customHeight="1">
      <c r="F848" s="496"/>
      <c r="R848" s="372"/>
      <c r="S848" s="461"/>
    </row>
    <row r="849" ht="15.75" customHeight="1">
      <c r="F849" s="496"/>
      <c r="R849" s="372"/>
      <c r="S849" s="461"/>
    </row>
    <row r="850" ht="15.75" customHeight="1">
      <c r="F850" s="496"/>
      <c r="R850" s="372"/>
      <c r="S850" s="461"/>
    </row>
    <row r="851" ht="15.75" customHeight="1">
      <c r="F851" s="496"/>
      <c r="R851" s="372"/>
      <c r="S851" s="461"/>
    </row>
    <row r="852" ht="15.75" customHeight="1">
      <c r="F852" s="496"/>
      <c r="R852" s="372"/>
      <c r="S852" s="461"/>
    </row>
    <row r="853" ht="15.75" customHeight="1">
      <c r="F853" s="496"/>
      <c r="R853" s="372"/>
      <c r="S853" s="461"/>
    </row>
    <row r="854" ht="15.75" customHeight="1">
      <c r="F854" s="496"/>
      <c r="R854" s="372"/>
      <c r="S854" s="461"/>
    </row>
    <row r="855" ht="15.75" customHeight="1">
      <c r="F855" s="496"/>
      <c r="R855" s="372"/>
      <c r="S855" s="461"/>
    </row>
    <row r="856" ht="15.75" customHeight="1">
      <c r="F856" s="496"/>
      <c r="R856" s="372"/>
      <c r="S856" s="461"/>
    </row>
    <row r="857" ht="15.75" customHeight="1">
      <c r="F857" s="496"/>
      <c r="R857" s="372"/>
      <c r="S857" s="461"/>
    </row>
    <row r="858" ht="15.75" customHeight="1">
      <c r="F858" s="496"/>
      <c r="R858" s="372"/>
      <c r="S858" s="461"/>
    </row>
    <row r="859" ht="15.75" customHeight="1">
      <c r="F859" s="496"/>
      <c r="R859" s="372"/>
      <c r="S859" s="461"/>
    </row>
    <row r="860" ht="15.75" customHeight="1">
      <c r="F860" s="496"/>
      <c r="R860" s="372"/>
      <c r="S860" s="461"/>
    </row>
    <row r="861" ht="15.75" customHeight="1">
      <c r="F861" s="496"/>
      <c r="R861" s="372"/>
      <c r="S861" s="461"/>
    </row>
    <row r="862" ht="15.75" customHeight="1">
      <c r="F862" s="496"/>
      <c r="R862" s="372"/>
      <c r="S862" s="461"/>
    </row>
    <row r="863" ht="15.75" customHeight="1">
      <c r="F863" s="496"/>
      <c r="R863" s="372"/>
      <c r="S863" s="461"/>
    </row>
    <row r="864" ht="15.75" customHeight="1">
      <c r="F864" s="496"/>
      <c r="R864" s="372"/>
      <c r="S864" s="461"/>
    </row>
    <row r="865" ht="15.75" customHeight="1">
      <c r="F865" s="496"/>
      <c r="R865" s="372"/>
      <c r="S865" s="461"/>
    </row>
    <row r="866" ht="15.75" customHeight="1">
      <c r="F866" s="496"/>
      <c r="R866" s="372"/>
      <c r="S866" s="461"/>
    </row>
    <row r="867" ht="15.75" customHeight="1">
      <c r="F867" s="496"/>
      <c r="R867" s="372"/>
      <c r="S867" s="461"/>
    </row>
    <row r="868" ht="15.75" customHeight="1">
      <c r="F868" s="496"/>
      <c r="R868" s="372"/>
      <c r="S868" s="461"/>
    </row>
    <row r="869" ht="15.75" customHeight="1">
      <c r="F869" s="496"/>
      <c r="R869" s="372"/>
      <c r="S869" s="461"/>
    </row>
    <row r="870" ht="15.75" customHeight="1">
      <c r="F870" s="496"/>
      <c r="R870" s="372"/>
      <c r="S870" s="461"/>
    </row>
    <row r="871" ht="15.75" customHeight="1">
      <c r="F871" s="496"/>
      <c r="R871" s="372"/>
      <c r="S871" s="461"/>
    </row>
    <row r="872" ht="15.75" customHeight="1">
      <c r="F872" s="496"/>
      <c r="R872" s="372"/>
      <c r="S872" s="461"/>
    </row>
    <row r="873" ht="15.75" customHeight="1">
      <c r="F873" s="496"/>
      <c r="R873" s="372"/>
      <c r="S873" s="461"/>
    </row>
    <row r="874" ht="15.75" customHeight="1">
      <c r="F874" s="496"/>
      <c r="R874" s="372"/>
      <c r="S874" s="461"/>
    </row>
    <row r="875" ht="15.75" customHeight="1">
      <c r="F875" s="496"/>
      <c r="R875" s="372"/>
      <c r="S875" s="461"/>
    </row>
    <row r="876" ht="15.75" customHeight="1">
      <c r="F876" s="496"/>
      <c r="R876" s="372"/>
      <c r="S876" s="461"/>
    </row>
    <row r="877" ht="15.75" customHeight="1">
      <c r="F877" s="496"/>
      <c r="R877" s="372"/>
      <c r="S877" s="461"/>
    </row>
    <row r="878" ht="15.75" customHeight="1">
      <c r="F878" s="496"/>
      <c r="R878" s="372"/>
      <c r="S878" s="461"/>
    </row>
    <row r="879" ht="15.75" customHeight="1">
      <c r="F879" s="496"/>
      <c r="R879" s="372"/>
      <c r="S879" s="461"/>
    </row>
    <row r="880" ht="15.75" customHeight="1">
      <c r="F880" s="496"/>
      <c r="R880" s="372"/>
      <c r="S880" s="461"/>
    </row>
    <row r="881" ht="15.75" customHeight="1">
      <c r="F881" s="496"/>
      <c r="R881" s="372"/>
      <c r="S881" s="461"/>
    </row>
    <row r="882" ht="15.75" customHeight="1">
      <c r="F882" s="496"/>
      <c r="R882" s="372"/>
      <c r="S882" s="461"/>
    </row>
    <row r="883" ht="15.75" customHeight="1">
      <c r="F883" s="496"/>
      <c r="R883" s="372"/>
      <c r="S883" s="461"/>
    </row>
    <row r="884" ht="15.75" customHeight="1">
      <c r="F884" s="496"/>
      <c r="R884" s="372"/>
      <c r="S884" s="461"/>
    </row>
    <row r="885" ht="15.75" customHeight="1">
      <c r="F885" s="496"/>
      <c r="R885" s="372"/>
      <c r="S885" s="461"/>
    </row>
    <row r="886" ht="15.75" customHeight="1">
      <c r="F886" s="496"/>
      <c r="R886" s="372"/>
      <c r="S886" s="461"/>
    </row>
    <row r="887" ht="15.75" customHeight="1">
      <c r="F887" s="496"/>
      <c r="R887" s="372"/>
      <c r="S887" s="461"/>
    </row>
    <row r="888" ht="15.75" customHeight="1">
      <c r="F888" s="496"/>
      <c r="R888" s="372"/>
      <c r="S888" s="461"/>
    </row>
    <row r="889" ht="15.75" customHeight="1">
      <c r="F889" s="496"/>
      <c r="R889" s="372"/>
      <c r="S889" s="461"/>
    </row>
    <row r="890" ht="15.75" customHeight="1">
      <c r="F890" s="496"/>
      <c r="R890" s="372"/>
      <c r="S890" s="461"/>
    </row>
    <row r="891" ht="15.75" customHeight="1">
      <c r="F891" s="496"/>
      <c r="R891" s="372"/>
      <c r="S891" s="461"/>
    </row>
    <row r="892" ht="15.75" customHeight="1">
      <c r="F892" s="496"/>
      <c r="R892" s="372"/>
      <c r="S892" s="461"/>
    </row>
    <row r="893" ht="15.75" customHeight="1">
      <c r="F893" s="496"/>
      <c r="R893" s="372"/>
      <c r="S893" s="461"/>
    </row>
    <row r="894" ht="15.75" customHeight="1">
      <c r="F894" s="496"/>
      <c r="R894" s="372"/>
      <c r="S894" s="461"/>
    </row>
    <row r="895" ht="15.75" customHeight="1">
      <c r="F895" s="496"/>
      <c r="R895" s="372"/>
      <c r="S895" s="461"/>
    </row>
    <row r="896" ht="15.75" customHeight="1">
      <c r="F896" s="496"/>
      <c r="R896" s="372"/>
      <c r="S896" s="461"/>
    </row>
    <row r="897" ht="15.75" customHeight="1">
      <c r="F897" s="496"/>
      <c r="R897" s="372"/>
      <c r="S897" s="461"/>
    </row>
    <row r="898" ht="15.75" customHeight="1">
      <c r="F898" s="496"/>
      <c r="R898" s="372"/>
      <c r="S898" s="461"/>
    </row>
    <row r="899" ht="15.75" customHeight="1">
      <c r="F899" s="496"/>
      <c r="R899" s="372"/>
      <c r="S899" s="461"/>
    </row>
    <row r="900" ht="15.75" customHeight="1">
      <c r="F900" s="496"/>
      <c r="R900" s="372"/>
      <c r="S900" s="461"/>
    </row>
    <row r="901" ht="15.75" customHeight="1">
      <c r="F901" s="496"/>
      <c r="R901" s="372"/>
      <c r="S901" s="461"/>
    </row>
    <row r="902" ht="15.75" customHeight="1">
      <c r="F902" s="496"/>
      <c r="R902" s="372"/>
      <c r="S902" s="461"/>
    </row>
    <row r="903" ht="15.75" customHeight="1">
      <c r="F903" s="496"/>
      <c r="R903" s="372"/>
      <c r="S903" s="461"/>
    </row>
    <row r="904" ht="15.75" customHeight="1">
      <c r="F904" s="496"/>
      <c r="R904" s="372"/>
      <c r="S904" s="461"/>
    </row>
    <row r="905" ht="15.75" customHeight="1">
      <c r="F905" s="496"/>
      <c r="R905" s="372"/>
      <c r="S905" s="461"/>
    </row>
    <row r="906" ht="15.75" customHeight="1">
      <c r="F906" s="496"/>
      <c r="R906" s="372"/>
      <c r="S906" s="461"/>
    </row>
    <row r="907" ht="15.75" customHeight="1">
      <c r="F907" s="496"/>
      <c r="R907" s="372"/>
      <c r="S907" s="461"/>
    </row>
    <row r="908" ht="15.75" customHeight="1">
      <c r="F908" s="496"/>
      <c r="R908" s="372"/>
      <c r="S908" s="461"/>
    </row>
    <row r="909" ht="15.75" customHeight="1">
      <c r="F909" s="496"/>
      <c r="R909" s="372"/>
      <c r="S909" s="461"/>
    </row>
    <row r="910" ht="15.75" customHeight="1">
      <c r="F910" s="496"/>
      <c r="R910" s="372"/>
      <c r="S910" s="461"/>
    </row>
    <row r="911" ht="15.75" customHeight="1">
      <c r="F911" s="496"/>
      <c r="R911" s="372"/>
      <c r="S911" s="461"/>
    </row>
    <row r="912" ht="15.75" customHeight="1">
      <c r="F912" s="496"/>
      <c r="R912" s="372"/>
      <c r="S912" s="461"/>
    </row>
    <row r="913" ht="15.75" customHeight="1">
      <c r="F913" s="496"/>
      <c r="R913" s="372"/>
      <c r="S913" s="461"/>
    </row>
    <row r="914" ht="15.75" customHeight="1">
      <c r="F914" s="496"/>
      <c r="R914" s="372"/>
      <c r="S914" s="461"/>
    </row>
    <row r="915" ht="15.75" customHeight="1">
      <c r="F915" s="496"/>
      <c r="R915" s="372"/>
      <c r="S915" s="461"/>
    </row>
    <row r="916" ht="15.75" customHeight="1">
      <c r="F916" s="496"/>
      <c r="R916" s="372"/>
      <c r="S916" s="461"/>
    </row>
    <row r="917" ht="15.75" customHeight="1">
      <c r="F917" s="496"/>
      <c r="R917" s="372"/>
      <c r="S917" s="461"/>
    </row>
    <row r="918" ht="15.75" customHeight="1">
      <c r="F918" s="496"/>
      <c r="R918" s="372"/>
      <c r="S918" s="461"/>
    </row>
    <row r="919" ht="15.75" customHeight="1">
      <c r="F919" s="496"/>
      <c r="R919" s="372"/>
      <c r="S919" s="461"/>
    </row>
    <row r="920" ht="15.75" customHeight="1">
      <c r="F920" s="496"/>
      <c r="R920" s="372"/>
      <c r="S920" s="461"/>
    </row>
    <row r="921" ht="15.75" customHeight="1">
      <c r="F921" s="496"/>
      <c r="R921" s="372"/>
      <c r="S921" s="461"/>
    </row>
    <row r="922" ht="15.75" customHeight="1">
      <c r="F922" s="496"/>
      <c r="R922" s="372"/>
      <c r="S922" s="461"/>
    </row>
    <row r="923" ht="15.75" customHeight="1">
      <c r="F923" s="496"/>
      <c r="R923" s="372"/>
      <c r="S923" s="461"/>
    </row>
    <row r="924" ht="15.75" customHeight="1">
      <c r="F924" s="496"/>
      <c r="R924" s="372"/>
      <c r="S924" s="461"/>
    </row>
    <row r="925" ht="15.75" customHeight="1">
      <c r="F925" s="496"/>
      <c r="R925" s="372"/>
      <c r="S925" s="461"/>
    </row>
    <row r="926" ht="15.75" customHeight="1">
      <c r="F926" s="496"/>
      <c r="R926" s="372"/>
      <c r="S926" s="461"/>
    </row>
    <row r="927" ht="15.75" customHeight="1">
      <c r="F927" s="496"/>
      <c r="R927" s="372"/>
      <c r="S927" s="461"/>
    </row>
    <row r="928" ht="15.75" customHeight="1">
      <c r="F928" s="496"/>
      <c r="R928" s="372"/>
      <c r="S928" s="461"/>
    </row>
    <row r="929" ht="15.75" customHeight="1">
      <c r="F929" s="496"/>
      <c r="R929" s="372"/>
      <c r="S929" s="461"/>
    </row>
    <row r="930" ht="15.75" customHeight="1">
      <c r="F930" s="496"/>
      <c r="R930" s="372"/>
      <c r="S930" s="461"/>
    </row>
    <row r="931" ht="15.75" customHeight="1">
      <c r="F931" s="496"/>
      <c r="R931" s="372"/>
      <c r="S931" s="461"/>
    </row>
    <row r="932" ht="15.75" customHeight="1">
      <c r="F932" s="496"/>
      <c r="R932" s="372"/>
      <c r="S932" s="461"/>
    </row>
    <row r="933" ht="15.75" customHeight="1">
      <c r="F933" s="496"/>
      <c r="R933" s="372"/>
      <c r="S933" s="461"/>
    </row>
  </sheetData>
  <mergeCells count="174">
    <mergeCell ref="C1:Q1"/>
    <mergeCell ref="C2:D2"/>
    <mergeCell ref="C3:D3"/>
    <mergeCell ref="F3:G3"/>
    <mergeCell ref="C4:D4"/>
    <mergeCell ref="F4:G4"/>
    <mergeCell ref="F5:G5"/>
    <mergeCell ref="F8:G8"/>
    <mergeCell ref="F9:G9"/>
    <mergeCell ref="C5:D5"/>
    <mergeCell ref="C6:D6"/>
    <mergeCell ref="F6:G6"/>
    <mergeCell ref="C7:D7"/>
    <mergeCell ref="F7:G7"/>
    <mergeCell ref="C8:D8"/>
    <mergeCell ref="C9:D9"/>
    <mergeCell ref="C10:D10"/>
    <mergeCell ref="F10:G10"/>
    <mergeCell ref="C11:D11"/>
    <mergeCell ref="F11:G11"/>
    <mergeCell ref="C12:D12"/>
    <mergeCell ref="F12:G12"/>
    <mergeCell ref="F13:G13"/>
    <mergeCell ref="C13:D13"/>
    <mergeCell ref="C14:D14"/>
    <mergeCell ref="C15:D15"/>
    <mergeCell ref="C16:D16"/>
    <mergeCell ref="C17:D17"/>
    <mergeCell ref="C18:D18"/>
    <mergeCell ref="C19:D19"/>
    <mergeCell ref="F14:G14"/>
    <mergeCell ref="F15:G15"/>
    <mergeCell ref="F16:G16"/>
    <mergeCell ref="F17:G17"/>
    <mergeCell ref="F18:G18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C69:D69"/>
    <mergeCell ref="C70:D70"/>
    <mergeCell ref="C71:D71"/>
    <mergeCell ref="C72:D72"/>
    <mergeCell ref="C73:D73"/>
    <mergeCell ref="C74:D74"/>
    <mergeCell ref="C75:D75"/>
    <mergeCell ref="C83:D83"/>
    <mergeCell ref="C84:D84"/>
    <mergeCell ref="C85:D85"/>
    <mergeCell ref="C86:D86"/>
    <mergeCell ref="C87:D87"/>
    <mergeCell ref="C88:D88"/>
    <mergeCell ref="C89:D89"/>
    <mergeCell ref="C76:D76"/>
    <mergeCell ref="C77:D77"/>
    <mergeCell ref="C78:D78"/>
    <mergeCell ref="C79:D79"/>
    <mergeCell ref="C80:D80"/>
    <mergeCell ref="C81:D81"/>
    <mergeCell ref="C82:D82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F86:G86"/>
    <mergeCell ref="F87:G87"/>
    <mergeCell ref="F88:G88"/>
    <mergeCell ref="F89:G89"/>
    <mergeCell ref="F79:G79"/>
    <mergeCell ref="F80:G80"/>
    <mergeCell ref="F81:G81"/>
    <mergeCell ref="F82:G82"/>
    <mergeCell ref="F83:G83"/>
    <mergeCell ref="F84:G84"/>
    <mergeCell ref="F85:G85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7.86"/>
    <col customWidth="1" min="3" max="3" width="63.29"/>
    <col customWidth="1" min="4" max="4" width="5.57"/>
    <col customWidth="1" min="5" max="5" width="17.71"/>
    <col customWidth="1" min="6" max="6" width="8.29"/>
    <col customWidth="1" hidden="1" min="7" max="7" width="12.0"/>
    <col customWidth="1" hidden="1" min="8" max="8" width="15.14"/>
    <col customWidth="1" hidden="1" min="9" max="9" width="10.29"/>
    <col customWidth="1" hidden="1" min="10" max="10" width="11.57"/>
    <col customWidth="1" hidden="1" min="11" max="11" width="14.0"/>
    <col customWidth="1" min="12" max="12" width="11.71"/>
    <col customWidth="1" min="13" max="13" width="26.0"/>
    <col customWidth="1" min="14" max="14" width="16.86"/>
    <col customWidth="1" min="15" max="15" width="12.86"/>
    <col customWidth="1" min="16" max="16" width="15.71"/>
    <col customWidth="1" min="17" max="25" width="8.71"/>
  </cols>
  <sheetData>
    <row r="1" ht="57.75" customHeight="1">
      <c r="A1" s="460"/>
      <c r="B1" s="424"/>
      <c r="Q1" s="372"/>
      <c r="R1" s="461"/>
    </row>
    <row r="2" ht="35.25" customHeight="1">
      <c r="A2" s="124" t="s">
        <v>831</v>
      </c>
      <c r="B2" s="125" t="s">
        <v>16</v>
      </c>
      <c r="C2" s="35"/>
      <c r="D2" s="126"/>
      <c r="E2" s="462" t="s">
        <v>395</v>
      </c>
      <c r="F2" s="126"/>
      <c r="G2" s="126" t="s">
        <v>1181</v>
      </c>
      <c r="H2" s="126"/>
      <c r="I2" s="126"/>
      <c r="J2" s="126" t="s">
        <v>1182</v>
      </c>
      <c r="K2" s="425" t="s">
        <v>1183</v>
      </c>
      <c r="L2" s="425" t="s">
        <v>837</v>
      </c>
      <c r="M2" s="426" t="s">
        <v>838</v>
      </c>
      <c r="N2" s="128" t="s">
        <v>263</v>
      </c>
      <c r="O2" s="126"/>
      <c r="P2" s="463" t="s">
        <v>24</v>
      </c>
      <c r="Q2" s="464" t="s">
        <v>25</v>
      </c>
      <c r="R2" s="465" t="s">
        <v>26</v>
      </c>
    </row>
    <row r="3" ht="15.75" customHeight="1">
      <c r="A3" s="136" t="s">
        <v>1026</v>
      </c>
      <c r="B3" s="138" t="s">
        <v>1027</v>
      </c>
      <c r="C3" s="35"/>
      <c r="D3" s="136"/>
      <c r="E3" s="467">
        <v>140.0</v>
      </c>
      <c r="F3" s="35"/>
      <c r="L3" s="389">
        <f t="shared" ref="L3:L92" si="1">M3/1.21</f>
        <v>2099</v>
      </c>
      <c r="M3" s="132">
        <v>2539.79</v>
      </c>
      <c r="N3" s="497">
        <f t="shared" ref="N3:N18" si="2">M3*1.45</f>
        <v>3682.6955</v>
      </c>
      <c r="O3" s="469" t="s">
        <v>1028</v>
      </c>
      <c r="P3" s="498">
        <f t="shared" ref="P3:P18" si="3">M3*1.5</f>
        <v>3809.685</v>
      </c>
      <c r="Q3" s="448">
        <v>1.0</v>
      </c>
      <c r="R3" s="471">
        <f t="shared" ref="R3:R18" si="4">E3-Q3</f>
        <v>139</v>
      </c>
    </row>
    <row r="4" ht="15.75" customHeight="1">
      <c r="A4" s="472" t="s">
        <v>1029</v>
      </c>
      <c r="B4" s="436" t="s">
        <v>1030</v>
      </c>
      <c r="C4" s="35"/>
      <c r="D4" s="136"/>
      <c r="E4" s="467">
        <v>480.0</v>
      </c>
      <c r="F4" s="35"/>
      <c r="L4" s="473">
        <f t="shared" si="1"/>
        <v>174.9090909</v>
      </c>
      <c r="M4" s="132">
        <v>211.64</v>
      </c>
      <c r="N4" s="497">
        <f t="shared" si="2"/>
        <v>306.878</v>
      </c>
      <c r="O4" s="474"/>
      <c r="P4" s="498">
        <f t="shared" si="3"/>
        <v>317.46</v>
      </c>
      <c r="Q4" s="448">
        <v>19.0</v>
      </c>
      <c r="R4" s="471">
        <f t="shared" si="4"/>
        <v>461</v>
      </c>
    </row>
    <row r="5" ht="15.75" customHeight="1">
      <c r="A5" s="136" t="s">
        <v>1031</v>
      </c>
      <c r="B5" s="138" t="s">
        <v>1032</v>
      </c>
      <c r="C5" s="35"/>
      <c r="D5" s="136"/>
      <c r="E5" s="467">
        <v>140.0</v>
      </c>
      <c r="F5" s="35"/>
      <c r="L5" s="473">
        <f t="shared" si="1"/>
        <v>2099</v>
      </c>
      <c r="M5" s="132">
        <v>2539.79</v>
      </c>
      <c r="N5" s="497">
        <f t="shared" si="2"/>
        <v>3682.6955</v>
      </c>
      <c r="O5" s="469" t="s">
        <v>1028</v>
      </c>
      <c r="P5" s="498">
        <f t="shared" si="3"/>
        <v>3809.685</v>
      </c>
      <c r="Q5" s="434"/>
      <c r="R5" s="471">
        <f t="shared" si="4"/>
        <v>140</v>
      </c>
    </row>
    <row r="6" ht="15.75" customHeight="1">
      <c r="A6" s="472" t="s">
        <v>1033</v>
      </c>
      <c r="B6" s="436" t="s">
        <v>1034</v>
      </c>
      <c r="C6" s="35"/>
      <c r="D6" s="136"/>
      <c r="E6" s="467">
        <v>480.0</v>
      </c>
      <c r="F6" s="35"/>
      <c r="L6" s="473">
        <f t="shared" si="1"/>
        <v>174.9090909</v>
      </c>
      <c r="M6" s="132">
        <v>211.64</v>
      </c>
      <c r="N6" s="497">
        <f t="shared" si="2"/>
        <v>306.878</v>
      </c>
      <c r="O6" s="423"/>
      <c r="P6" s="498">
        <f t="shared" si="3"/>
        <v>317.46</v>
      </c>
      <c r="Q6" s="448">
        <v>2.0</v>
      </c>
      <c r="R6" s="471">
        <f t="shared" si="4"/>
        <v>478</v>
      </c>
    </row>
    <row r="7" ht="15.75" customHeight="1">
      <c r="A7" s="136" t="s">
        <v>1035</v>
      </c>
      <c r="B7" s="150" t="s">
        <v>1036</v>
      </c>
      <c r="C7" s="35"/>
      <c r="D7" s="136"/>
      <c r="E7" s="135">
        <v>5.0</v>
      </c>
      <c r="F7" s="35"/>
      <c r="L7" s="473">
        <f t="shared" si="1"/>
        <v>8566.214876</v>
      </c>
      <c r="M7" s="132">
        <v>10365.12</v>
      </c>
      <c r="N7" s="497">
        <f t="shared" si="2"/>
        <v>15029.424</v>
      </c>
      <c r="P7" s="498">
        <f t="shared" si="3"/>
        <v>15547.68</v>
      </c>
      <c r="Q7" s="434"/>
      <c r="R7" s="471">
        <f t="shared" si="4"/>
        <v>5</v>
      </c>
    </row>
    <row r="8" ht="15.75" customHeight="1">
      <c r="A8" s="136" t="s">
        <v>1037</v>
      </c>
      <c r="B8" s="150" t="s">
        <v>1038</v>
      </c>
      <c r="C8" s="35"/>
      <c r="D8" s="136"/>
      <c r="E8" s="135">
        <v>15.0</v>
      </c>
      <c r="F8" s="35"/>
      <c r="L8" s="473">
        <f t="shared" si="1"/>
        <v>12770.02479</v>
      </c>
      <c r="M8" s="132">
        <v>15451.73</v>
      </c>
      <c r="N8" s="497">
        <f t="shared" si="2"/>
        <v>22405.0085</v>
      </c>
      <c r="P8" s="498">
        <f t="shared" si="3"/>
        <v>23177.595</v>
      </c>
      <c r="Q8" s="434"/>
      <c r="R8" s="471">
        <f t="shared" si="4"/>
        <v>15</v>
      </c>
    </row>
    <row r="9" ht="15.75" customHeight="1">
      <c r="A9" s="136" t="s">
        <v>1039</v>
      </c>
      <c r="B9" s="150" t="s">
        <v>1040</v>
      </c>
      <c r="C9" s="35"/>
      <c r="D9" s="136"/>
      <c r="E9" s="135">
        <v>5.0</v>
      </c>
      <c r="F9" s="35"/>
      <c r="L9" s="473">
        <f t="shared" si="1"/>
        <v>17296.04959</v>
      </c>
      <c r="M9" s="132">
        <v>20928.22</v>
      </c>
      <c r="N9" s="497">
        <f t="shared" si="2"/>
        <v>30345.919</v>
      </c>
      <c r="P9" s="498">
        <f t="shared" si="3"/>
        <v>31392.33</v>
      </c>
      <c r="Q9" s="434"/>
      <c r="R9" s="471">
        <f t="shared" si="4"/>
        <v>5</v>
      </c>
    </row>
    <row r="10" ht="15.75" customHeight="1">
      <c r="A10" s="136" t="s">
        <v>1041</v>
      </c>
      <c r="B10" s="150" t="s">
        <v>1042</v>
      </c>
      <c r="C10" s="35"/>
      <c r="D10" s="136"/>
      <c r="E10" s="135">
        <v>5.0</v>
      </c>
      <c r="F10" s="35"/>
      <c r="L10" s="473">
        <f t="shared" si="1"/>
        <v>25276.96694</v>
      </c>
      <c r="M10" s="132">
        <v>30585.13</v>
      </c>
      <c r="N10" s="497">
        <f t="shared" si="2"/>
        <v>44348.4385</v>
      </c>
      <c r="P10" s="498">
        <f t="shared" si="3"/>
        <v>45877.695</v>
      </c>
      <c r="Q10" s="434"/>
      <c r="R10" s="471">
        <f t="shared" si="4"/>
        <v>5</v>
      </c>
    </row>
    <row r="11" ht="15.75" customHeight="1">
      <c r="A11" s="136" t="s">
        <v>1043</v>
      </c>
      <c r="B11" s="150" t="s">
        <v>1044</v>
      </c>
      <c r="C11" s="35"/>
      <c r="D11" s="136"/>
      <c r="E11" s="135">
        <v>5.0</v>
      </c>
      <c r="F11" s="35"/>
      <c r="L11" s="473">
        <f t="shared" si="1"/>
        <v>11846.02479</v>
      </c>
      <c r="M11" s="132">
        <v>14333.69</v>
      </c>
      <c r="N11" s="497">
        <f t="shared" si="2"/>
        <v>20783.8505</v>
      </c>
      <c r="P11" s="498">
        <f t="shared" si="3"/>
        <v>21500.535</v>
      </c>
      <c r="Q11" s="434"/>
      <c r="R11" s="471">
        <f t="shared" si="4"/>
        <v>5</v>
      </c>
    </row>
    <row r="12" ht="15.75" customHeight="1">
      <c r="A12" s="136" t="s">
        <v>1045</v>
      </c>
      <c r="B12" s="150" t="s">
        <v>1046</v>
      </c>
      <c r="C12" s="35"/>
      <c r="D12" s="136"/>
      <c r="E12" s="135">
        <v>5.0</v>
      </c>
      <c r="F12" s="35"/>
      <c r="L12" s="473">
        <f t="shared" si="1"/>
        <v>16910.10744</v>
      </c>
      <c r="M12" s="132">
        <v>20461.23</v>
      </c>
      <c r="N12" s="497">
        <f t="shared" si="2"/>
        <v>29668.7835</v>
      </c>
      <c r="P12" s="498">
        <f t="shared" si="3"/>
        <v>30691.845</v>
      </c>
      <c r="Q12" s="434"/>
      <c r="R12" s="471">
        <f t="shared" si="4"/>
        <v>5</v>
      </c>
      <c r="V12" s="475"/>
    </row>
    <row r="13" ht="15.75" customHeight="1">
      <c r="A13" s="136" t="s">
        <v>1047</v>
      </c>
      <c r="B13" s="150" t="s">
        <v>1048</v>
      </c>
      <c r="C13" s="35"/>
      <c r="D13" s="136"/>
      <c r="E13" s="135">
        <v>5.0</v>
      </c>
      <c r="F13" s="35"/>
      <c r="L13" s="473">
        <f t="shared" si="1"/>
        <v>22319.98347</v>
      </c>
      <c r="M13" s="132">
        <v>27007.18</v>
      </c>
      <c r="N13" s="497">
        <f t="shared" si="2"/>
        <v>39160.411</v>
      </c>
      <c r="P13" s="498">
        <f t="shared" si="3"/>
        <v>40510.77</v>
      </c>
      <c r="Q13" s="434"/>
      <c r="R13" s="471">
        <f t="shared" si="4"/>
        <v>5</v>
      </c>
    </row>
    <row r="14" ht="15.75" customHeight="1">
      <c r="A14" s="136" t="s">
        <v>1049</v>
      </c>
      <c r="B14" s="150" t="s">
        <v>1050</v>
      </c>
      <c r="C14" s="35"/>
      <c r="D14" s="136"/>
      <c r="E14" s="135">
        <v>5.0</v>
      </c>
      <c r="F14" s="35"/>
      <c r="L14" s="473">
        <f t="shared" si="1"/>
        <v>33378.43802</v>
      </c>
      <c r="M14" s="132">
        <v>40387.91</v>
      </c>
      <c r="N14" s="497">
        <f t="shared" si="2"/>
        <v>58562.4695</v>
      </c>
      <c r="P14" s="498">
        <f t="shared" si="3"/>
        <v>60581.865</v>
      </c>
      <c r="Q14" s="434"/>
      <c r="R14" s="471">
        <f t="shared" si="4"/>
        <v>5</v>
      </c>
    </row>
    <row r="15" ht="15.75" customHeight="1">
      <c r="A15" s="136" t="s">
        <v>1051</v>
      </c>
      <c r="B15" s="150" t="s">
        <v>1052</v>
      </c>
      <c r="C15" s="35"/>
      <c r="D15" s="136"/>
      <c r="E15" s="135">
        <v>10.0</v>
      </c>
      <c r="F15" s="35"/>
      <c r="L15" s="473">
        <f t="shared" si="1"/>
        <v>7498.07438</v>
      </c>
      <c r="M15" s="132">
        <v>9072.67</v>
      </c>
      <c r="N15" s="497">
        <f t="shared" si="2"/>
        <v>13155.3715</v>
      </c>
      <c r="P15" s="498">
        <f t="shared" si="3"/>
        <v>13609.005</v>
      </c>
      <c r="Q15" s="434"/>
      <c r="R15" s="471">
        <f t="shared" si="4"/>
        <v>10</v>
      </c>
    </row>
    <row r="16" ht="15.75" customHeight="1">
      <c r="A16" s="136" t="s">
        <v>1053</v>
      </c>
      <c r="B16" s="150" t="s">
        <v>1054</v>
      </c>
      <c r="C16" s="35"/>
      <c r="D16" s="136"/>
      <c r="E16" s="135">
        <v>10.0</v>
      </c>
      <c r="F16" s="35"/>
      <c r="L16" s="473">
        <f t="shared" si="1"/>
        <v>10510.01653</v>
      </c>
      <c r="M16" s="132">
        <v>12717.12</v>
      </c>
      <c r="N16" s="497">
        <f t="shared" si="2"/>
        <v>18439.824</v>
      </c>
      <c r="P16" s="498">
        <f t="shared" si="3"/>
        <v>19075.68</v>
      </c>
      <c r="Q16" s="434"/>
      <c r="R16" s="471">
        <f t="shared" si="4"/>
        <v>10</v>
      </c>
    </row>
    <row r="17" ht="15.75" customHeight="1">
      <c r="A17" s="136" t="s">
        <v>1055</v>
      </c>
      <c r="B17" s="150" t="s">
        <v>1056</v>
      </c>
      <c r="C17" s="35"/>
      <c r="D17" s="136"/>
      <c r="E17" s="135">
        <v>10.0</v>
      </c>
      <c r="F17" s="35"/>
      <c r="L17" s="473">
        <f t="shared" si="1"/>
        <v>10618.39669</v>
      </c>
      <c r="M17" s="132">
        <v>12848.26</v>
      </c>
      <c r="N17" s="497">
        <f t="shared" si="2"/>
        <v>18629.977</v>
      </c>
      <c r="P17" s="498">
        <f t="shared" si="3"/>
        <v>19272.39</v>
      </c>
      <c r="Q17" s="434"/>
      <c r="R17" s="471">
        <f t="shared" si="4"/>
        <v>10</v>
      </c>
    </row>
    <row r="18" ht="15.75" customHeight="1">
      <c r="A18" s="136" t="s">
        <v>1057</v>
      </c>
      <c r="B18" s="150" t="s">
        <v>1058</v>
      </c>
      <c r="C18" s="35"/>
      <c r="D18" s="136"/>
      <c r="E18" s="135">
        <v>10.0</v>
      </c>
      <c r="F18" s="35"/>
      <c r="L18" s="473">
        <f t="shared" si="1"/>
        <v>14545.04959</v>
      </c>
      <c r="M18" s="132">
        <v>17599.51</v>
      </c>
      <c r="N18" s="497">
        <f t="shared" si="2"/>
        <v>25519.2895</v>
      </c>
      <c r="P18" s="498">
        <f t="shared" si="3"/>
        <v>26399.265</v>
      </c>
      <c r="Q18" s="434"/>
      <c r="R18" s="471">
        <f t="shared" si="4"/>
        <v>10</v>
      </c>
    </row>
    <row r="19" ht="15.75" customHeight="1">
      <c r="A19" s="472" t="s">
        <v>1059</v>
      </c>
      <c r="B19" s="458" t="s">
        <v>1060</v>
      </c>
      <c r="C19" s="35"/>
      <c r="D19" s="136"/>
      <c r="E19" s="476">
        <v>10.0</v>
      </c>
      <c r="F19" s="137"/>
      <c r="L19" s="473">
        <f t="shared" si="1"/>
        <v>0</v>
      </c>
      <c r="N19" s="468">
        <f>S19*1.45</f>
        <v>12504.6724</v>
      </c>
      <c r="P19" s="477">
        <f>S19*1.5</f>
        <v>12935.868</v>
      </c>
      <c r="Q19" s="434"/>
      <c r="R19" s="493">
        <v>10.0</v>
      </c>
      <c r="S19" s="132">
        <f>7127.2*1.21</f>
        <v>8623.912</v>
      </c>
    </row>
    <row r="20" ht="15.75" customHeight="1">
      <c r="A20" s="136">
        <v>2410050.0</v>
      </c>
      <c r="B20" s="478" t="s">
        <v>1061</v>
      </c>
      <c r="C20" s="35"/>
      <c r="D20" s="136"/>
      <c r="E20" s="135">
        <v>84.0</v>
      </c>
      <c r="F20" s="35"/>
      <c r="L20" s="473">
        <f t="shared" si="1"/>
        <v>4276.363636</v>
      </c>
      <c r="M20" s="132">
        <v>5174.4</v>
      </c>
      <c r="N20" s="497">
        <f t="shared" ref="N20:N92" si="5">M20*1.45</f>
        <v>7502.88</v>
      </c>
      <c r="P20" s="498">
        <f t="shared" ref="P20:P92" si="6">M20*1.5</f>
        <v>7761.6</v>
      </c>
      <c r="Q20" s="434"/>
      <c r="R20" s="471">
        <f t="shared" ref="R20:R89" si="7">E20-Q20</f>
        <v>84</v>
      </c>
    </row>
    <row r="21" ht="15.75" customHeight="1">
      <c r="A21" s="136">
        <v>241407.0</v>
      </c>
      <c r="B21" s="478" t="s">
        <v>1062</v>
      </c>
      <c r="C21" s="35"/>
      <c r="D21" s="136"/>
      <c r="E21" s="135">
        <v>1470.0</v>
      </c>
      <c r="F21" s="35"/>
      <c r="L21" s="473">
        <f t="shared" si="1"/>
        <v>265.553719</v>
      </c>
      <c r="M21" s="132">
        <v>321.32</v>
      </c>
      <c r="N21" s="497">
        <f t="shared" si="5"/>
        <v>465.914</v>
      </c>
      <c r="O21" s="479"/>
      <c r="P21" s="498">
        <f t="shared" si="6"/>
        <v>481.98</v>
      </c>
      <c r="Q21" s="434"/>
      <c r="R21" s="471">
        <f t="shared" si="7"/>
        <v>1470</v>
      </c>
    </row>
    <row r="22" ht="15.75" customHeight="1">
      <c r="A22" s="136">
        <v>241821.0</v>
      </c>
      <c r="B22" s="478" t="s">
        <v>1063</v>
      </c>
      <c r="C22" s="35"/>
      <c r="D22" s="136"/>
      <c r="E22" s="135">
        <v>440.0</v>
      </c>
      <c r="F22" s="35"/>
      <c r="L22" s="473">
        <f t="shared" si="1"/>
        <v>551.3057851</v>
      </c>
      <c r="M22" s="132">
        <v>667.08</v>
      </c>
      <c r="N22" s="497">
        <f t="shared" si="5"/>
        <v>967.266</v>
      </c>
      <c r="P22" s="498">
        <f t="shared" si="6"/>
        <v>1000.62</v>
      </c>
      <c r="Q22" s="434"/>
      <c r="R22" s="471">
        <f t="shared" si="7"/>
        <v>440</v>
      </c>
    </row>
    <row r="23" ht="15.75" customHeight="1">
      <c r="A23" s="136" t="s">
        <v>1064</v>
      </c>
      <c r="B23" s="478" t="s">
        <v>1065</v>
      </c>
      <c r="C23" s="35"/>
      <c r="D23" s="136"/>
      <c r="E23" s="135">
        <v>440.0</v>
      </c>
      <c r="F23" s="35"/>
      <c r="L23" s="473">
        <f t="shared" si="1"/>
        <v>659.6942149</v>
      </c>
      <c r="M23" s="132">
        <v>798.23</v>
      </c>
      <c r="N23" s="497">
        <f t="shared" si="5"/>
        <v>1157.4335</v>
      </c>
      <c r="P23" s="498">
        <f t="shared" si="6"/>
        <v>1197.345</v>
      </c>
      <c r="Q23" s="434"/>
      <c r="R23" s="471">
        <f t="shared" si="7"/>
        <v>440</v>
      </c>
    </row>
    <row r="24" ht="15.75" customHeight="1">
      <c r="A24" s="136">
        <v>242010.0</v>
      </c>
      <c r="B24" s="478" t="s">
        <v>1066</v>
      </c>
      <c r="C24" s="35"/>
      <c r="D24" s="136"/>
      <c r="E24" s="135">
        <v>300.0</v>
      </c>
      <c r="F24" s="35"/>
      <c r="L24" s="473">
        <f t="shared" si="1"/>
        <v>344.3884298</v>
      </c>
      <c r="M24" s="132">
        <v>416.71</v>
      </c>
      <c r="N24" s="497">
        <f t="shared" si="5"/>
        <v>604.2295</v>
      </c>
      <c r="P24" s="498">
        <f t="shared" si="6"/>
        <v>625.065</v>
      </c>
      <c r="Q24" s="434"/>
      <c r="R24" s="471">
        <f t="shared" si="7"/>
        <v>300</v>
      </c>
    </row>
    <row r="25" ht="15.75" customHeight="1">
      <c r="A25" s="136" t="s">
        <v>1067</v>
      </c>
      <c r="B25" s="480" t="s">
        <v>1068</v>
      </c>
      <c r="C25" s="35"/>
      <c r="D25" s="472"/>
      <c r="E25" s="135">
        <v>300.0</v>
      </c>
      <c r="F25" s="35"/>
      <c r="L25" s="473">
        <f t="shared" si="1"/>
        <v>369.0165289</v>
      </c>
      <c r="M25" s="132">
        <v>446.51</v>
      </c>
      <c r="N25" s="497">
        <f t="shared" si="5"/>
        <v>647.4395</v>
      </c>
      <c r="P25" s="498">
        <f t="shared" si="6"/>
        <v>669.765</v>
      </c>
      <c r="Q25" s="434"/>
      <c r="R25" s="471">
        <f t="shared" si="7"/>
        <v>300</v>
      </c>
    </row>
    <row r="26" ht="15.75" customHeight="1">
      <c r="A26" s="136" t="s">
        <v>1069</v>
      </c>
      <c r="B26" s="478" t="s">
        <v>1070</v>
      </c>
      <c r="C26" s="35"/>
      <c r="D26" s="136"/>
      <c r="E26" s="135">
        <v>300.0</v>
      </c>
      <c r="F26" s="35"/>
      <c r="L26" s="473">
        <f t="shared" si="1"/>
        <v>378.8677686</v>
      </c>
      <c r="M26" s="132">
        <v>458.43</v>
      </c>
      <c r="N26" s="497">
        <f t="shared" si="5"/>
        <v>664.7235</v>
      </c>
      <c r="P26" s="498">
        <f t="shared" si="6"/>
        <v>687.645</v>
      </c>
      <c r="Q26" s="434"/>
      <c r="R26" s="471">
        <f t="shared" si="7"/>
        <v>300</v>
      </c>
    </row>
    <row r="27" ht="15.75" customHeight="1">
      <c r="A27" s="136">
        <v>242730.0</v>
      </c>
      <c r="B27" s="478" t="s">
        <v>1071</v>
      </c>
      <c r="C27" s="35"/>
      <c r="D27" s="136"/>
      <c r="E27" s="135">
        <v>90.0</v>
      </c>
      <c r="F27" s="35"/>
      <c r="L27" s="473">
        <f t="shared" si="1"/>
        <v>1311.157025</v>
      </c>
      <c r="M27" s="132">
        <v>1586.5</v>
      </c>
      <c r="N27" s="497">
        <f t="shared" si="5"/>
        <v>2300.425</v>
      </c>
      <c r="P27" s="498">
        <f t="shared" si="6"/>
        <v>2379.75</v>
      </c>
      <c r="Q27" s="434"/>
      <c r="R27" s="471">
        <f t="shared" si="7"/>
        <v>90</v>
      </c>
    </row>
    <row r="28" ht="15.75" customHeight="1">
      <c r="A28" s="136">
        <v>243012.0</v>
      </c>
      <c r="B28" s="478" t="s">
        <v>1072</v>
      </c>
      <c r="C28" s="35"/>
      <c r="D28" s="136"/>
      <c r="E28" s="135">
        <v>162.0</v>
      </c>
      <c r="F28" s="35"/>
      <c r="L28" s="473">
        <f t="shared" si="1"/>
        <v>1077.628099</v>
      </c>
      <c r="M28" s="132">
        <v>1303.93</v>
      </c>
      <c r="N28" s="497">
        <f t="shared" si="5"/>
        <v>1890.6985</v>
      </c>
      <c r="P28" s="498">
        <f t="shared" si="6"/>
        <v>1955.895</v>
      </c>
      <c r="Q28" s="434"/>
      <c r="R28" s="471">
        <f t="shared" si="7"/>
        <v>162</v>
      </c>
    </row>
    <row r="29" ht="15.75" customHeight="1">
      <c r="A29" s="499" t="s">
        <v>1184</v>
      </c>
      <c r="B29" s="500" t="s">
        <v>1185</v>
      </c>
      <c r="C29" s="35"/>
      <c r="D29" s="501"/>
      <c r="E29" s="502">
        <v>33.0</v>
      </c>
      <c r="F29" s="35"/>
      <c r="G29" s="503"/>
      <c r="H29" s="503"/>
      <c r="I29" s="503"/>
      <c r="J29" s="503"/>
      <c r="K29" s="503"/>
      <c r="L29" s="473">
        <f t="shared" si="1"/>
        <v>321.4132231</v>
      </c>
      <c r="M29" s="504">
        <v>388.91</v>
      </c>
      <c r="N29" s="497">
        <f t="shared" si="5"/>
        <v>563.9195</v>
      </c>
      <c r="O29" s="505">
        <v>19446.0</v>
      </c>
      <c r="P29" s="498">
        <f t="shared" si="6"/>
        <v>583.365</v>
      </c>
      <c r="Q29" s="506"/>
      <c r="R29" s="507">
        <f t="shared" si="7"/>
        <v>33</v>
      </c>
      <c r="S29" s="503"/>
      <c r="T29" s="503"/>
      <c r="U29" s="503"/>
      <c r="V29" s="503"/>
      <c r="W29" s="503"/>
      <c r="X29" s="503"/>
      <c r="Y29" s="503"/>
    </row>
    <row r="30" ht="15.75" customHeight="1">
      <c r="A30" s="472" t="s">
        <v>1073</v>
      </c>
      <c r="B30" s="481" t="s">
        <v>1186</v>
      </c>
      <c r="C30" s="35"/>
      <c r="D30" s="136"/>
      <c r="E30" s="482">
        <v>850.0</v>
      </c>
      <c r="F30" s="137"/>
      <c r="L30" s="473">
        <f t="shared" si="1"/>
        <v>321.4132231</v>
      </c>
      <c r="M30" s="132">
        <v>388.91</v>
      </c>
      <c r="N30" s="497">
        <f t="shared" si="5"/>
        <v>563.9195</v>
      </c>
      <c r="O30" s="132"/>
      <c r="P30" s="498">
        <f t="shared" si="6"/>
        <v>583.365</v>
      </c>
      <c r="Q30" s="434"/>
      <c r="R30" s="471">
        <f t="shared" si="7"/>
        <v>850</v>
      </c>
    </row>
    <row r="31" ht="15.75" customHeight="1">
      <c r="A31" s="499" t="s">
        <v>1187</v>
      </c>
      <c r="B31" s="508" t="s">
        <v>1188</v>
      </c>
      <c r="C31" s="35"/>
      <c r="D31" s="501"/>
      <c r="E31" s="509">
        <v>33.0</v>
      </c>
      <c r="F31" s="510"/>
      <c r="G31" s="503"/>
      <c r="H31" s="503"/>
      <c r="I31" s="503"/>
      <c r="J31" s="503"/>
      <c r="K31" s="503"/>
      <c r="L31" s="473">
        <f t="shared" si="1"/>
        <v>381.9669421</v>
      </c>
      <c r="M31" s="504">
        <v>462.18</v>
      </c>
      <c r="N31" s="497">
        <f t="shared" si="5"/>
        <v>670.161</v>
      </c>
      <c r="O31" s="511">
        <v>23109.25</v>
      </c>
      <c r="P31" s="498">
        <f t="shared" si="6"/>
        <v>693.27</v>
      </c>
      <c r="Q31" s="512">
        <v>1.0</v>
      </c>
      <c r="R31" s="507">
        <f t="shared" si="7"/>
        <v>32</v>
      </c>
      <c r="S31" s="503"/>
      <c r="T31" s="503"/>
      <c r="U31" s="503"/>
      <c r="V31" s="503"/>
      <c r="W31" s="503"/>
      <c r="X31" s="503"/>
      <c r="Y31" s="503"/>
    </row>
    <row r="32" ht="15.75" customHeight="1">
      <c r="A32" s="136" t="s">
        <v>1075</v>
      </c>
      <c r="B32" s="483" t="s">
        <v>1189</v>
      </c>
      <c r="C32" s="35"/>
      <c r="D32" s="136"/>
      <c r="E32" s="467">
        <v>850.0</v>
      </c>
      <c r="F32" s="35"/>
      <c r="L32" s="473">
        <f t="shared" si="1"/>
        <v>381.9669421</v>
      </c>
      <c r="M32" s="389">
        <v>462.18</v>
      </c>
      <c r="N32" s="497">
        <f t="shared" si="5"/>
        <v>670.161</v>
      </c>
      <c r="P32" s="498">
        <f t="shared" si="6"/>
        <v>693.27</v>
      </c>
      <c r="Q32" s="448">
        <v>25.0</v>
      </c>
      <c r="R32" s="471">
        <f t="shared" si="7"/>
        <v>825</v>
      </c>
    </row>
    <row r="33" ht="15.75" customHeight="1">
      <c r="A33" s="499" t="s">
        <v>1190</v>
      </c>
      <c r="B33" s="500" t="s">
        <v>1191</v>
      </c>
      <c r="C33" s="35"/>
      <c r="D33" s="501"/>
      <c r="E33" s="509">
        <v>33.0</v>
      </c>
      <c r="F33" s="510"/>
      <c r="G33" s="503"/>
      <c r="H33" s="503"/>
      <c r="I33" s="503"/>
      <c r="J33" s="503"/>
      <c r="K33" s="503"/>
      <c r="L33" s="473">
        <f t="shared" si="1"/>
        <v>479.8347107</v>
      </c>
      <c r="M33" s="504">
        <v>580.6</v>
      </c>
      <c r="N33" s="497">
        <f t="shared" si="5"/>
        <v>841.87</v>
      </c>
      <c r="O33" s="505">
        <v>29030.25</v>
      </c>
      <c r="P33" s="498">
        <f t="shared" si="6"/>
        <v>870.9</v>
      </c>
      <c r="Q33" s="506"/>
      <c r="R33" s="507">
        <f t="shared" si="7"/>
        <v>33</v>
      </c>
      <c r="S33" s="503"/>
      <c r="T33" s="503"/>
      <c r="U33" s="503"/>
      <c r="V33" s="503"/>
      <c r="W33" s="503"/>
      <c r="X33" s="503"/>
      <c r="Y33" s="503"/>
    </row>
    <row r="34" ht="15.75" customHeight="1">
      <c r="A34" s="136" t="s">
        <v>1077</v>
      </c>
      <c r="B34" s="483" t="s">
        <v>1192</v>
      </c>
      <c r="C34" s="35"/>
      <c r="D34" s="136"/>
      <c r="E34" s="467">
        <v>850.0</v>
      </c>
      <c r="F34" s="35"/>
      <c r="L34" s="473">
        <f t="shared" si="1"/>
        <v>479.8347107</v>
      </c>
      <c r="M34" s="132">
        <v>580.6</v>
      </c>
      <c r="N34" s="497">
        <f t="shared" si="5"/>
        <v>841.87</v>
      </c>
      <c r="P34" s="498">
        <f t="shared" si="6"/>
        <v>870.9</v>
      </c>
      <c r="Q34" s="434"/>
      <c r="R34" s="471">
        <f t="shared" si="7"/>
        <v>850</v>
      </c>
    </row>
    <row r="35" ht="15.75" customHeight="1">
      <c r="A35" s="136" t="s">
        <v>1079</v>
      </c>
      <c r="B35" s="436" t="s">
        <v>1080</v>
      </c>
      <c r="C35" s="35"/>
      <c r="D35" s="136"/>
      <c r="E35" s="135">
        <v>1845.0</v>
      </c>
      <c r="F35" s="35"/>
      <c r="L35" s="473">
        <f t="shared" si="1"/>
        <v>900.322314</v>
      </c>
      <c r="M35" s="132">
        <v>1089.39</v>
      </c>
      <c r="N35" s="497">
        <f t="shared" si="5"/>
        <v>1579.6155</v>
      </c>
      <c r="O35" s="479"/>
      <c r="P35" s="498">
        <f t="shared" si="6"/>
        <v>1634.085</v>
      </c>
      <c r="Q35" s="434"/>
      <c r="R35" s="471">
        <f t="shared" si="7"/>
        <v>1845</v>
      </c>
    </row>
    <row r="36" ht="15.75" customHeight="1">
      <c r="A36" s="136" t="s">
        <v>1081</v>
      </c>
      <c r="B36" s="436" t="s">
        <v>1082</v>
      </c>
      <c r="C36" s="35"/>
      <c r="D36" s="136"/>
      <c r="E36" s="135">
        <v>1665.0</v>
      </c>
      <c r="F36" s="35"/>
      <c r="L36" s="473">
        <f t="shared" si="1"/>
        <v>1085.123967</v>
      </c>
      <c r="M36" s="132">
        <v>1313.0</v>
      </c>
      <c r="N36" s="497">
        <f t="shared" si="5"/>
        <v>1903.85</v>
      </c>
      <c r="O36" s="479"/>
      <c r="P36" s="498">
        <f t="shared" si="6"/>
        <v>1969.5</v>
      </c>
      <c r="Q36" s="448">
        <v>3.0</v>
      </c>
      <c r="R36" s="471">
        <f t="shared" si="7"/>
        <v>1662</v>
      </c>
    </row>
    <row r="37" ht="15.75" customHeight="1">
      <c r="A37" s="136" t="s">
        <v>1083</v>
      </c>
      <c r="B37" s="436" t="s">
        <v>1084</v>
      </c>
      <c r="C37" s="35"/>
      <c r="D37" s="136"/>
      <c r="E37" s="135">
        <v>1080.0</v>
      </c>
      <c r="F37" s="35"/>
      <c r="L37" s="473">
        <f t="shared" si="1"/>
        <v>1460.578512</v>
      </c>
      <c r="M37" s="132">
        <v>1767.3</v>
      </c>
      <c r="N37" s="497">
        <f t="shared" si="5"/>
        <v>2562.585</v>
      </c>
      <c r="O37" s="479"/>
      <c r="P37" s="498">
        <f t="shared" si="6"/>
        <v>2650.95</v>
      </c>
      <c r="Q37" s="434"/>
      <c r="R37" s="471">
        <f t="shared" si="7"/>
        <v>1080</v>
      </c>
    </row>
    <row r="38" ht="15.75" customHeight="1">
      <c r="A38" s="136" t="s">
        <v>1085</v>
      </c>
      <c r="B38" s="436" t="s">
        <v>1086</v>
      </c>
      <c r="C38" s="35"/>
      <c r="D38" s="136"/>
      <c r="E38" s="135">
        <v>1080.0</v>
      </c>
      <c r="F38" s="35"/>
      <c r="L38" s="473">
        <f t="shared" si="1"/>
        <v>1532.669421</v>
      </c>
      <c r="M38" s="132">
        <v>1854.53</v>
      </c>
      <c r="N38" s="497">
        <f t="shared" si="5"/>
        <v>2689.0685</v>
      </c>
      <c r="O38" s="479"/>
      <c r="P38" s="498">
        <f t="shared" si="6"/>
        <v>2781.795</v>
      </c>
      <c r="Q38" s="434"/>
      <c r="R38" s="471">
        <f t="shared" si="7"/>
        <v>1080</v>
      </c>
    </row>
    <row r="39" ht="15.75" customHeight="1">
      <c r="A39" s="136" t="s">
        <v>1087</v>
      </c>
      <c r="B39" s="138" t="s">
        <v>1088</v>
      </c>
      <c r="C39" s="35"/>
      <c r="D39" s="136"/>
      <c r="E39" s="135">
        <v>45.0</v>
      </c>
      <c r="F39" s="35"/>
      <c r="L39" s="473">
        <f t="shared" si="1"/>
        <v>701.9421488</v>
      </c>
      <c r="M39" s="132">
        <v>849.35</v>
      </c>
      <c r="N39" s="497">
        <f t="shared" si="5"/>
        <v>1231.5575</v>
      </c>
      <c r="P39" s="498">
        <f t="shared" si="6"/>
        <v>1274.025</v>
      </c>
      <c r="Q39" s="434"/>
      <c r="R39" s="471">
        <f t="shared" si="7"/>
        <v>45</v>
      </c>
    </row>
    <row r="40" ht="15.75" customHeight="1">
      <c r="A40" s="485">
        <v>12450.0</v>
      </c>
      <c r="B40" s="138" t="s">
        <v>1089</v>
      </c>
      <c r="C40" s="35"/>
      <c r="D40" s="136"/>
      <c r="E40" s="135">
        <v>3.0</v>
      </c>
      <c r="F40" s="35"/>
      <c r="L40" s="473">
        <f t="shared" si="1"/>
        <v>20404.59504</v>
      </c>
      <c r="M40" s="132">
        <v>24689.56</v>
      </c>
      <c r="N40" s="497">
        <f t="shared" si="5"/>
        <v>35799.862</v>
      </c>
      <c r="P40" s="498">
        <f t="shared" si="6"/>
        <v>37034.34</v>
      </c>
      <c r="Q40" s="434"/>
      <c r="R40" s="471">
        <f t="shared" si="7"/>
        <v>3</v>
      </c>
    </row>
    <row r="41" ht="15.75" customHeight="1">
      <c r="A41" s="485">
        <v>12050.0</v>
      </c>
      <c r="B41" s="138" t="s">
        <v>1090</v>
      </c>
      <c r="C41" s="35"/>
      <c r="D41" s="136"/>
      <c r="E41" s="135">
        <v>3.0</v>
      </c>
      <c r="F41" s="35"/>
      <c r="L41" s="473">
        <f t="shared" si="1"/>
        <v>20252.79339</v>
      </c>
      <c r="M41" s="132">
        <v>24505.88</v>
      </c>
      <c r="N41" s="497">
        <f t="shared" si="5"/>
        <v>35533.526</v>
      </c>
      <c r="P41" s="498">
        <f t="shared" si="6"/>
        <v>36758.82</v>
      </c>
      <c r="Q41" s="434"/>
      <c r="R41" s="471">
        <f t="shared" si="7"/>
        <v>3</v>
      </c>
    </row>
    <row r="42" ht="15.75" customHeight="1">
      <c r="A42" s="485">
        <v>12350.0</v>
      </c>
      <c r="B42" s="138" t="s">
        <v>1091</v>
      </c>
      <c r="C42" s="35"/>
      <c r="D42" s="136"/>
      <c r="E42" s="135">
        <v>3.0</v>
      </c>
      <c r="F42" s="35"/>
      <c r="L42" s="473">
        <f t="shared" si="1"/>
        <v>22844.36364</v>
      </c>
      <c r="M42" s="132">
        <v>27641.68</v>
      </c>
      <c r="N42" s="497">
        <f t="shared" si="5"/>
        <v>40080.436</v>
      </c>
      <c r="P42" s="498">
        <f t="shared" si="6"/>
        <v>41462.52</v>
      </c>
      <c r="Q42" s="434"/>
      <c r="R42" s="471">
        <f t="shared" si="7"/>
        <v>3</v>
      </c>
    </row>
    <row r="43" ht="15.75" customHeight="1">
      <c r="A43" s="485">
        <v>12780.0</v>
      </c>
      <c r="B43" s="138" t="s">
        <v>1092</v>
      </c>
      <c r="C43" s="35"/>
      <c r="D43" s="136"/>
      <c r="E43" s="135">
        <v>3.0</v>
      </c>
      <c r="F43" s="35"/>
      <c r="L43" s="473">
        <f t="shared" si="1"/>
        <v>31709.27273</v>
      </c>
      <c r="M43" s="132">
        <v>38368.22</v>
      </c>
      <c r="N43" s="497">
        <f t="shared" si="5"/>
        <v>55633.919</v>
      </c>
      <c r="P43" s="498">
        <f t="shared" si="6"/>
        <v>57552.33</v>
      </c>
      <c r="Q43" s="434"/>
      <c r="R43" s="471">
        <f t="shared" si="7"/>
        <v>3</v>
      </c>
    </row>
    <row r="44" ht="15.75" customHeight="1">
      <c r="A44" s="485">
        <v>12280.0</v>
      </c>
      <c r="B44" s="138" t="s">
        <v>1093</v>
      </c>
      <c r="C44" s="35"/>
      <c r="D44" s="136"/>
      <c r="E44" s="135">
        <v>3.0</v>
      </c>
      <c r="F44" s="35"/>
      <c r="L44" s="473">
        <f t="shared" si="1"/>
        <v>44918.30579</v>
      </c>
      <c r="M44" s="132">
        <v>54351.15</v>
      </c>
      <c r="N44" s="497">
        <f t="shared" si="5"/>
        <v>78809.1675</v>
      </c>
      <c r="P44" s="498">
        <f t="shared" si="6"/>
        <v>81526.725</v>
      </c>
      <c r="Q44" s="434"/>
      <c r="R44" s="471">
        <f t="shared" si="7"/>
        <v>3</v>
      </c>
    </row>
    <row r="45" ht="15.75" customHeight="1">
      <c r="A45" s="485">
        <v>12980.0</v>
      </c>
      <c r="B45" s="138" t="s">
        <v>1094</v>
      </c>
      <c r="C45" s="35"/>
      <c r="D45" s="136"/>
      <c r="E45" s="135">
        <v>3.0</v>
      </c>
      <c r="F45" s="35"/>
      <c r="L45" s="473">
        <f t="shared" si="1"/>
        <v>58075.36364</v>
      </c>
      <c r="M45" s="132">
        <v>70271.19</v>
      </c>
      <c r="N45" s="497">
        <f t="shared" si="5"/>
        <v>101893.2255</v>
      </c>
      <c r="P45" s="498">
        <f t="shared" si="6"/>
        <v>105406.785</v>
      </c>
      <c r="Q45" s="434"/>
      <c r="R45" s="471">
        <f t="shared" si="7"/>
        <v>3</v>
      </c>
    </row>
    <row r="46" ht="15.75" customHeight="1">
      <c r="A46" s="136" t="s">
        <v>1095</v>
      </c>
      <c r="B46" s="138" t="s">
        <v>1096</v>
      </c>
      <c r="C46" s="35"/>
      <c r="D46" s="136"/>
      <c r="E46" s="135">
        <v>3.0</v>
      </c>
      <c r="F46" s="35"/>
      <c r="L46" s="473">
        <f t="shared" si="1"/>
        <v>24222.43802</v>
      </c>
      <c r="M46" s="132">
        <v>29309.15</v>
      </c>
      <c r="N46" s="497">
        <f t="shared" si="5"/>
        <v>42498.2675</v>
      </c>
      <c r="P46" s="498">
        <f t="shared" si="6"/>
        <v>43963.725</v>
      </c>
      <c r="Q46" s="434"/>
      <c r="R46" s="471">
        <f t="shared" si="7"/>
        <v>3</v>
      </c>
    </row>
    <row r="47" ht="15.75" customHeight="1">
      <c r="A47" s="136" t="s">
        <v>1097</v>
      </c>
      <c r="B47" s="138" t="s">
        <v>1098</v>
      </c>
      <c r="C47" s="35"/>
      <c r="D47" s="136"/>
      <c r="E47" s="135">
        <v>3.0</v>
      </c>
      <c r="F47" s="35"/>
      <c r="L47" s="473">
        <f t="shared" si="1"/>
        <v>24699.45455</v>
      </c>
      <c r="M47" s="132">
        <v>29886.34</v>
      </c>
      <c r="N47" s="497">
        <f t="shared" si="5"/>
        <v>43335.193</v>
      </c>
      <c r="P47" s="498">
        <f t="shared" si="6"/>
        <v>44829.51</v>
      </c>
      <c r="Q47" s="434"/>
      <c r="R47" s="471">
        <f t="shared" si="7"/>
        <v>3</v>
      </c>
    </row>
    <row r="48" ht="15.75" customHeight="1">
      <c r="A48" s="136" t="s">
        <v>1099</v>
      </c>
      <c r="B48" s="138" t="s">
        <v>1100</v>
      </c>
      <c r="C48" s="35"/>
      <c r="D48" s="136"/>
      <c r="E48" s="135">
        <v>3.0</v>
      </c>
      <c r="F48" s="35"/>
      <c r="L48" s="473">
        <f t="shared" si="1"/>
        <v>25882.13223</v>
      </c>
      <c r="M48" s="132">
        <v>31317.38</v>
      </c>
      <c r="N48" s="497">
        <f t="shared" si="5"/>
        <v>45410.201</v>
      </c>
      <c r="P48" s="498">
        <f t="shared" si="6"/>
        <v>46976.07</v>
      </c>
      <c r="Q48" s="434"/>
      <c r="R48" s="471">
        <f t="shared" si="7"/>
        <v>3</v>
      </c>
    </row>
    <row r="49" ht="15.75" customHeight="1">
      <c r="A49" s="136" t="s">
        <v>1101</v>
      </c>
      <c r="B49" s="138" t="s">
        <v>1102</v>
      </c>
      <c r="C49" s="35"/>
      <c r="D49" s="136"/>
      <c r="E49" s="135">
        <v>3.0</v>
      </c>
      <c r="F49" s="35"/>
      <c r="L49" s="473">
        <f t="shared" si="1"/>
        <v>34296.00826</v>
      </c>
      <c r="M49" s="132">
        <v>41498.17</v>
      </c>
      <c r="N49" s="497">
        <f t="shared" si="5"/>
        <v>60172.3465</v>
      </c>
      <c r="P49" s="498">
        <f t="shared" si="6"/>
        <v>62247.255</v>
      </c>
      <c r="Q49" s="434"/>
      <c r="R49" s="471">
        <f t="shared" si="7"/>
        <v>3</v>
      </c>
    </row>
    <row r="50" ht="15.75" customHeight="1">
      <c r="A50" s="136" t="s">
        <v>1103</v>
      </c>
      <c r="B50" s="138" t="s">
        <v>1104</v>
      </c>
      <c r="C50" s="35"/>
      <c r="D50" s="136"/>
      <c r="E50" s="135">
        <v>3.0</v>
      </c>
      <c r="F50" s="35"/>
      <c r="L50" s="473">
        <f t="shared" si="1"/>
        <v>50943.2562</v>
      </c>
      <c r="M50" s="132">
        <v>61641.34</v>
      </c>
      <c r="N50" s="497">
        <f t="shared" si="5"/>
        <v>89379.943</v>
      </c>
      <c r="P50" s="498">
        <f t="shared" si="6"/>
        <v>92462.01</v>
      </c>
      <c r="Q50" s="434"/>
      <c r="R50" s="471">
        <f t="shared" si="7"/>
        <v>3</v>
      </c>
    </row>
    <row r="51" ht="15.75" customHeight="1">
      <c r="A51" s="136">
        <v>66666.0</v>
      </c>
      <c r="B51" s="138" t="s">
        <v>1105</v>
      </c>
      <c r="C51" s="35"/>
      <c r="D51" s="136"/>
      <c r="E51" s="135">
        <v>90.0</v>
      </c>
      <c r="F51" s="35"/>
      <c r="L51" s="473">
        <f t="shared" si="1"/>
        <v>2316.92562</v>
      </c>
      <c r="M51" s="132">
        <v>2803.48</v>
      </c>
      <c r="N51" s="497">
        <f t="shared" si="5"/>
        <v>4065.046</v>
      </c>
      <c r="P51" s="498">
        <f t="shared" si="6"/>
        <v>4205.22</v>
      </c>
      <c r="Q51" s="434"/>
      <c r="R51" s="471">
        <f t="shared" si="7"/>
        <v>90</v>
      </c>
    </row>
    <row r="52" ht="15.75" customHeight="1">
      <c r="A52" s="136" t="s">
        <v>1106</v>
      </c>
      <c r="B52" s="486" t="s">
        <v>1107</v>
      </c>
      <c r="C52" s="35"/>
      <c r="D52" s="136"/>
      <c r="E52" s="135">
        <v>1800.0</v>
      </c>
      <c r="F52" s="35"/>
      <c r="L52" s="473">
        <f t="shared" si="1"/>
        <v>92.05785124</v>
      </c>
      <c r="M52" s="132">
        <v>111.39</v>
      </c>
      <c r="N52" s="497">
        <f t="shared" si="5"/>
        <v>161.5155</v>
      </c>
      <c r="P52" s="498">
        <f t="shared" si="6"/>
        <v>167.085</v>
      </c>
      <c r="Q52" s="434"/>
      <c r="R52" s="471">
        <f t="shared" si="7"/>
        <v>1800</v>
      </c>
    </row>
    <row r="53" ht="15.75" customHeight="1">
      <c r="A53" s="136" t="s">
        <v>1108</v>
      </c>
      <c r="B53" s="486" t="s">
        <v>1109</v>
      </c>
      <c r="C53" s="35"/>
      <c r="D53" s="136"/>
      <c r="E53" s="135">
        <v>1800.0</v>
      </c>
      <c r="F53" s="35"/>
      <c r="L53" s="473">
        <f t="shared" si="1"/>
        <v>92.8677686</v>
      </c>
      <c r="M53" s="132">
        <v>112.37</v>
      </c>
      <c r="N53" s="497">
        <f t="shared" si="5"/>
        <v>162.9365</v>
      </c>
      <c r="P53" s="498">
        <f t="shared" si="6"/>
        <v>168.555</v>
      </c>
      <c r="Q53" s="434"/>
      <c r="R53" s="471">
        <f t="shared" si="7"/>
        <v>1800</v>
      </c>
    </row>
    <row r="54" ht="15.75" customHeight="1">
      <c r="A54" s="136" t="s">
        <v>1110</v>
      </c>
      <c r="B54" s="486" t="s">
        <v>1111</v>
      </c>
      <c r="C54" s="35"/>
      <c r="D54" s="136"/>
      <c r="E54" s="135">
        <v>1500.0</v>
      </c>
      <c r="F54" s="35"/>
      <c r="L54" s="473">
        <f t="shared" si="1"/>
        <v>175.6033058</v>
      </c>
      <c r="M54" s="132">
        <v>212.48</v>
      </c>
      <c r="N54" s="497">
        <f t="shared" si="5"/>
        <v>308.096</v>
      </c>
      <c r="P54" s="498">
        <f t="shared" si="6"/>
        <v>318.72</v>
      </c>
      <c r="Q54" s="434"/>
      <c r="R54" s="471">
        <f t="shared" si="7"/>
        <v>1500</v>
      </c>
    </row>
    <row r="55" ht="15.75" customHeight="1">
      <c r="A55" s="136" t="s">
        <v>1112</v>
      </c>
      <c r="B55" s="486" t="s">
        <v>1113</v>
      </c>
      <c r="C55" s="35"/>
      <c r="D55" s="136"/>
      <c r="E55" s="135">
        <v>2400.0</v>
      </c>
      <c r="F55" s="35"/>
      <c r="L55" s="473">
        <f t="shared" si="1"/>
        <v>198.0661157</v>
      </c>
      <c r="M55" s="132">
        <v>239.66</v>
      </c>
      <c r="N55" s="497">
        <f t="shared" si="5"/>
        <v>347.507</v>
      </c>
      <c r="P55" s="498">
        <f t="shared" si="6"/>
        <v>359.49</v>
      </c>
      <c r="Q55" s="434"/>
      <c r="R55" s="471">
        <f t="shared" si="7"/>
        <v>2400</v>
      </c>
    </row>
    <row r="56" ht="15.75" customHeight="1">
      <c r="A56" s="136" t="s">
        <v>1114</v>
      </c>
      <c r="B56" s="487" t="s">
        <v>1115</v>
      </c>
      <c r="C56" s="35"/>
      <c r="D56" s="136"/>
      <c r="E56" s="135">
        <v>2400.0</v>
      </c>
      <c r="F56" s="35"/>
      <c r="L56" s="473">
        <f t="shared" si="1"/>
        <v>66.15702479</v>
      </c>
      <c r="M56" s="132">
        <v>80.05</v>
      </c>
      <c r="N56" s="497">
        <f t="shared" si="5"/>
        <v>116.0725</v>
      </c>
      <c r="P56" s="498">
        <f t="shared" si="6"/>
        <v>120.075</v>
      </c>
      <c r="Q56" s="434"/>
      <c r="R56" s="471">
        <f t="shared" si="7"/>
        <v>2400</v>
      </c>
    </row>
    <row r="57" ht="15.75" customHeight="1">
      <c r="A57" s="136" t="s">
        <v>1116</v>
      </c>
      <c r="B57" s="487" t="s">
        <v>1117</v>
      </c>
      <c r="C57" s="35"/>
      <c r="D57" s="136"/>
      <c r="E57" s="135">
        <v>1500.0</v>
      </c>
      <c r="F57" s="35"/>
      <c r="L57" s="473">
        <f t="shared" si="1"/>
        <v>69.19834711</v>
      </c>
      <c r="M57" s="132">
        <v>83.73</v>
      </c>
      <c r="N57" s="497">
        <f t="shared" si="5"/>
        <v>121.4085</v>
      </c>
      <c r="P57" s="498">
        <f t="shared" si="6"/>
        <v>125.595</v>
      </c>
      <c r="Q57" s="434"/>
      <c r="R57" s="471">
        <f t="shared" si="7"/>
        <v>1500</v>
      </c>
    </row>
    <row r="58" ht="15.75" customHeight="1">
      <c r="A58" s="136" t="s">
        <v>1118</v>
      </c>
      <c r="B58" s="487" t="s">
        <v>1119</v>
      </c>
      <c r="C58" s="35"/>
      <c r="D58" s="136"/>
      <c r="E58" s="135">
        <v>1600.0</v>
      </c>
      <c r="F58" s="35"/>
      <c r="L58" s="473">
        <f t="shared" si="1"/>
        <v>92.05785124</v>
      </c>
      <c r="M58" s="132">
        <v>111.39</v>
      </c>
      <c r="N58" s="497">
        <f t="shared" si="5"/>
        <v>161.5155</v>
      </c>
      <c r="P58" s="498">
        <f t="shared" si="6"/>
        <v>167.085</v>
      </c>
      <c r="Q58" s="434"/>
      <c r="R58" s="471">
        <f t="shared" si="7"/>
        <v>1600</v>
      </c>
    </row>
    <row r="59" ht="15.75" customHeight="1">
      <c r="A59" s="136" t="s">
        <v>1120</v>
      </c>
      <c r="B59" s="487" t="s">
        <v>1121</v>
      </c>
      <c r="C59" s="35"/>
      <c r="D59" s="136"/>
      <c r="E59" s="135">
        <v>900.0</v>
      </c>
      <c r="F59" s="35"/>
      <c r="L59" s="473">
        <f t="shared" si="1"/>
        <v>99.74380165</v>
      </c>
      <c r="M59" s="132">
        <v>120.69</v>
      </c>
      <c r="N59" s="497">
        <f t="shared" si="5"/>
        <v>175.0005</v>
      </c>
      <c r="P59" s="498">
        <f t="shared" si="6"/>
        <v>181.035</v>
      </c>
      <c r="Q59" s="434"/>
      <c r="R59" s="471">
        <f t="shared" si="7"/>
        <v>900</v>
      </c>
    </row>
    <row r="60" ht="15.75" customHeight="1">
      <c r="A60" s="136" t="s">
        <v>1122</v>
      </c>
      <c r="B60" s="488" t="s">
        <v>1123</v>
      </c>
      <c r="C60" s="35"/>
      <c r="D60" s="136"/>
      <c r="E60" s="135">
        <v>900.0</v>
      </c>
      <c r="F60" s="35"/>
      <c r="L60" s="473">
        <f t="shared" si="1"/>
        <v>190.3719008</v>
      </c>
      <c r="M60" s="132">
        <v>230.35</v>
      </c>
      <c r="N60" s="497">
        <f t="shared" si="5"/>
        <v>334.0075</v>
      </c>
      <c r="P60" s="498">
        <f t="shared" si="6"/>
        <v>345.525</v>
      </c>
      <c r="Q60" s="434"/>
      <c r="R60" s="471">
        <f t="shared" si="7"/>
        <v>900</v>
      </c>
    </row>
    <row r="61" ht="15.75" customHeight="1">
      <c r="A61" s="136" t="s">
        <v>1124</v>
      </c>
      <c r="B61" s="488" t="s">
        <v>1125</v>
      </c>
      <c r="C61" s="35"/>
      <c r="D61" s="136"/>
      <c r="E61" s="135">
        <v>500.0</v>
      </c>
      <c r="F61" s="35"/>
      <c r="L61" s="473">
        <f t="shared" si="1"/>
        <v>207.3636364</v>
      </c>
      <c r="M61" s="132">
        <v>250.91</v>
      </c>
      <c r="N61" s="497">
        <f t="shared" si="5"/>
        <v>363.8195</v>
      </c>
      <c r="P61" s="498">
        <f t="shared" si="6"/>
        <v>376.365</v>
      </c>
      <c r="Q61" s="448">
        <v>4.0</v>
      </c>
      <c r="R61" s="471">
        <f t="shared" si="7"/>
        <v>496</v>
      </c>
    </row>
    <row r="62" ht="15.75" customHeight="1">
      <c r="A62" s="136" t="s">
        <v>1126</v>
      </c>
      <c r="B62" s="488" t="s">
        <v>1127</v>
      </c>
      <c r="C62" s="35"/>
      <c r="D62" s="136"/>
      <c r="E62" s="135">
        <v>400.0</v>
      </c>
      <c r="F62" s="35"/>
      <c r="L62" s="473">
        <f t="shared" si="1"/>
        <v>247.2231405</v>
      </c>
      <c r="M62" s="132">
        <v>299.14</v>
      </c>
      <c r="N62" s="497">
        <f t="shared" si="5"/>
        <v>433.753</v>
      </c>
      <c r="P62" s="498">
        <f t="shared" si="6"/>
        <v>448.71</v>
      </c>
      <c r="Q62" s="434"/>
      <c r="R62" s="471">
        <f t="shared" si="7"/>
        <v>400</v>
      </c>
    </row>
    <row r="63" ht="15.75" customHeight="1">
      <c r="A63" s="136" t="s">
        <v>1128</v>
      </c>
      <c r="B63" s="488" t="s">
        <v>1129</v>
      </c>
      <c r="C63" s="35"/>
      <c r="D63" s="136"/>
      <c r="E63" s="135">
        <v>300.0</v>
      </c>
      <c r="F63" s="35"/>
      <c r="L63" s="473">
        <f t="shared" si="1"/>
        <v>265.8347107</v>
      </c>
      <c r="M63" s="132">
        <v>321.66</v>
      </c>
      <c r="N63" s="497">
        <f t="shared" si="5"/>
        <v>466.407</v>
      </c>
      <c r="P63" s="498">
        <f t="shared" si="6"/>
        <v>482.49</v>
      </c>
      <c r="Q63" s="448">
        <v>9.0</v>
      </c>
      <c r="R63" s="471">
        <f t="shared" si="7"/>
        <v>291</v>
      </c>
    </row>
    <row r="64" ht="15.75" customHeight="1">
      <c r="A64" s="136" t="s">
        <v>1130</v>
      </c>
      <c r="B64" s="489" t="s">
        <v>1131</v>
      </c>
      <c r="C64" s="35"/>
      <c r="D64" s="136"/>
      <c r="E64" s="135">
        <v>800.0</v>
      </c>
      <c r="F64" s="35"/>
      <c r="L64" s="473">
        <f t="shared" si="1"/>
        <v>91.23966942</v>
      </c>
      <c r="M64" s="132">
        <v>110.4</v>
      </c>
      <c r="N64" s="497">
        <f t="shared" si="5"/>
        <v>160.08</v>
      </c>
      <c r="P64" s="498">
        <f t="shared" si="6"/>
        <v>165.6</v>
      </c>
      <c r="Q64" s="434"/>
      <c r="R64" s="471">
        <f t="shared" si="7"/>
        <v>800</v>
      </c>
    </row>
    <row r="65" ht="15.75" customHeight="1">
      <c r="A65" s="136" t="s">
        <v>1132</v>
      </c>
      <c r="B65" s="489" t="s">
        <v>1133</v>
      </c>
      <c r="C65" s="35"/>
      <c r="D65" s="136"/>
      <c r="E65" s="135">
        <v>800.0</v>
      </c>
      <c r="F65" s="35"/>
      <c r="L65" s="473">
        <f t="shared" si="1"/>
        <v>93.67768595</v>
      </c>
      <c r="M65" s="132">
        <v>113.35</v>
      </c>
      <c r="N65" s="497">
        <f t="shared" si="5"/>
        <v>164.3575</v>
      </c>
      <c r="P65" s="498">
        <f t="shared" si="6"/>
        <v>170.025</v>
      </c>
      <c r="Q65" s="448">
        <v>9.0</v>
      </c>
      <c r="R65" s="471">
        <f t="shared" si="7"/>
        <v>791</v>
      </c>
    </row>
    <row r="66" ht="15.75" customHeight="1">
      <c r="A66" s="136" t="s">
        <v>1134</v>
      </c>
      <c r="B66" s="489" t="s">
        <v>1135</v>
      </c>
      <c r="C66" s="35"/>
      <c r="D66" s="136"/>
      <c r="E66" s="135">
        <v>800.0</v>
      </c>
      <c r="F66" s="35"/>
      <c r="L66" s="473">
        <f t="shared" si="1"/>
        <v>101.3471074</v>
      </c>
      <c r="M66" s="132">
        <v>122.63</v>
      </c>
      <c r="N66" s="497">
        <f t="shared" si="5"/>
        <v>177.8135</v>
      </c>
      <c r="P66" s="498">
        <f t="shared" si="6"/>
        <v>183.945</v>
      </c>
      <c r="Q66" s="434"/>
      <c r="R66" s="471">
        <f t="shared" si="7"/>
        <v>800</v>
      </c>
    </row>
    <row r="67" ht="15.75" customHeight="1">
      <c r="A67" s="136" t="s">
        <v>1136</v>
      </c>
      <c r="B67" s="489" t="s">
        <v>1137</v>
      </c>
      <c r="C67" s="35"/>
      <c r="D67" s="136"/>
      <c r="E67" s="135">
        <v>700.0</v>
      </c>
      <c r="F67" s="35"/>
      <c r="L67" s="473">
        <f t="shared" si="1"/>
        <v>113.2975207</v>
      </c>
      <c r="M67" s="132">
        <v>137.09</v>
      </c>
      <c r="N67" s="497">
        <f t="shared" si="5"/>
        <v>198.7805</v>
      </c>
      <c r="P67" s="498">
        <f t="shared" si="6"/>
        <v>205.635</v>
      </c>
      <c r="Q67" s="434"/>
      <c r="R67" s="471">
        <f t="shared" si="7"/>
        <v>700</v>
      </c>
    </row>
    <row r="68">
      <c r="A68" s="136">
        <v>21410.0</v>
      </c>
      <c r="B68" s="436" t="s">
        <v>1138</v>
      </c>
      <c r="C68" s="35"/>
      <c r="E68" s="135">
        <v>200.0</v>
      </c>
      <c r="F68" s="35"/>
      <c r="L68" s="473">
        <f t="shared" si="1"/>
        <v>218.785124</v>
      </c>
      <c r="M68" s="132">
        <v>264.73</v>
      </c>
      <c r="N68" s="497">
        <f t="shared" si="5"/>
        <v>383.8585</v>
      </c>
      <c r="P68" s="498">
        <f t="shared" si="6"/>
        <v>397.095</v>
      </c>
      <c r="Q68" s="434"/>
      <c r="R68" s="471">
        <f t="shared" si="7"/>
        <v>200</v>
      </c>
      <c r="S68" s="389">
        <f>218.79*1.21</f>
        <v>264.7359</v>
      </c>
    </row>
    <row r="69" ht="15.75" customHeight="1">
      <c r="A69" s="136">
        <v>21412.0</v>
      </c>
      <c r="B69" s="138" t="s">
        <v>1139</v>
      </c>
      <c r="C69" s="35"/>
      <c r="D69" s="136"/>
      <c r="E69" s="135">
        <v>200.0</v>
      </c>
      <c r="F69" s="35"/>
      <c r="L69" s="473">
        <f t="shared" si="1"/>
        <v>218.785124</v>
      </c>
      <c r="M69" s="132">
        <v>264.73</v>
      </c>
      <c r="N69" s="497">
        <f t="shared" si="5"/>
        <v>383.8585</v>
      </c>
      <c r="P69" s="498">
        <f t="shared" si="6"/>
        <v>397.095</v>
      </c>
      <c r="Q69" s="434"/>
      <c r="R69" s="471">
        <f t="shared" si="7"/>
        <v>200</v>
      </c>
    </row>
    <row r="70" ht="15.75" customHeight="1">
      <c r="A70" s="136">
        <v>21411.0</v>
      </c>
      <c r="B70" s="138" t="s">
        <v>1140</v>
      </c>
      <c r="C70" s="35"/>
      <c r="D70" s="136"/>
      <c r="E70" s="135">
        <v>200.0</v>
      </c>
      <c r="F70" s="35"/>
      <c r="L70" s="473">
        <f t="shared" si="1"/>
        <v>337.3140496</v>
      </c>
      <c r="M70" s="132">
        <v>408.15</v>
      </c>
      <c r="N70" s="497">
        <f t="shared" si="5"/>
        <v>591.8175</v>
      </c>
      <c r="P70" s="498">
        <f t="shared" si="6"/>
        <v>612.225</v>
      </c>
      <c r="Q70" s="448">
        <v>1.0</v>
      </c>
      <c r="R70" s="471">
        <f t="shared" si="7"/>
        <v>199</v>
      </c>
    </row>
    <row r="71" ht="15.75" customHeight="1">
      <c r="A71" s="136">
        <v>21414.0</v>
      </c>
      <c r="B71" s="436" t="s">
        <v>1141</v>
      </c>
      <c r="C71" s="35"/>
      <c r="D71" s="136"/>
      <c r="E71" s="135">
        <v>200.0</v>
      </c>
      <c r="F71" s="35"/>
      <c r="L71" s="473">
        <f t="shared" si="1"/>
        <v>218.785124</v>
      </c>
      <c r="M71" s="132">
        <v>264.73</v>
      </c>
      <c r="N71" s="497">
        <f t="shared" si="5"/>
        <v>383.8585</v>
      </c>
      <c r="P71" s="498">
        <f t="shared" si="6"/>
        <v>397.095</v>
      </c>
      <c r="Q71" s="434"/>
      <c r="R71" s="471">
        <f t="shared" si="7"/>
        <v>200</v>
      </c>
    </row>
    <row r="72" ht="15.75" customHeight="1">
      <c r="A72" s="472" t="s">
        <v>1142</v>
      </c>
      <c r="B72" s="138" t="s">
        <v>1143</v>
      </c>
      <c r="C72" s="35"/>
      <c r="D72" s="136"/>
      <c r="E72" s="135">
        <v>2000.0</v>
      </c>
      <c r="F72" s="35"/>
      <c r="L72" s="473">
        <f t="shared" si="1"/>
        <v>3168.024793</v>
      </c>
      <c r="M72" s="132">
        <v>3833.31</v>
      </c>
      <c r="N72" s="497">
        <f t="shared" si="5"/>
        <v>5558.2995</v>
      </c>
      <c r="P72" s="498">
        <f t="shared" si="6"/>
        <v>5749.965</v>
      </c>
      <c r="Q72" s="434"/>
      <c r="R72" s="471">
        <f t="shared" si="7"/>
        <v>2000</v>
      </c>
    </row>
    <row r="73" ht="15.75" customHeight="1">
      <c r="A73" s="136">
        <v>61016.0</v>
      </c>
      <c r="B73" s="138" t="s">
        <v>1144</v>
      </c>
      <c r="C73" s="35"/>
      <c r="D73" s="136"/>
      <c r="E73" s="135">
        <v>59.0</v>
      </c>
      <c r="F73" s="35"/>
      <c r="L73" s="473">
        <f t="shared" si="1"/>
        <v>3424.842975</v>
      </c>
      <c r="M73" s="132">
        <v>4144.06</v>
      </c>
      <c r="N73" s="497">
        <f t="shared" si="5"/>
        <v>6008.887</v>
      </c>
      <c r="P73" s="498">
        <f t="shared" si="6"/>
        <v>6216.09</v>
      </c>
      <c r="Q73" s="448">
        <v>1.0</v>
      </c>
      <c r="R73" s="471">
        <f t="shared" si="7"/>
        <v>58</v>
      </c>
    </row>
    <row r="74" ht="15.75" customHeight="1">
      <c r="A74" s="136">
        <v>61618.0</v>
      </c>
      <c r="B74" s="138" t="s">
        <v>1145</v>
      </c>
      <c r="C74" s="35"/>
      <c r="D74" s="136"/>
      <c r="E74" s="135">
        <v>30.0</v>
      </c>
      <c r="F74" s="35"/>
      <c r="L74" s="473">
        <f t="shared" si="1"/>
        <v>4587.652893</v>
      </c>
      <c r="M74" s="132">
        <v>5551.06</v>
      </c>
      <c r="N74" s="497">
        <f t="shared" si="5"/>
        <v>8049.037</v>
      </c>
      <c r="P74" s="498">
        <f t="shared" si="6"/>
        <v>8326.59</v>
      </c>
      <c r="Q74" s="434"/>
      <c r="R74" s="471">
        <f t="shared" si="7"/>
        <v>30</v>
      </c>
    </row>
    <row r="75" ht="15.75" customHeight="1">
      <c r="A75" s="136">
        <v>61825.0</v>
      </c>
      <c r="B75" s="138" t="s">
        <v>1146</v>
      </c>
      <c r="C75" s="35"/>
      <c r="D75" s="136"/>
      <c r="E75" s="135">
        <v>24.0</v>
      </c>
      <c r="F75" s="35"/>
      <c r="L75" s="473">
        <f t="shared" si="1"/>
        <v>6708.305785</v>
      </c>
      <c r="M75" s="132">
        <v>8117.05</v>
      </c>
      <c r="N75" s="497">
        <f t="shared" si="5"/>
        <v>11769.7225</v>
      </c>
      <c r="P75" s="498">
        <f t="shared" si="6"/>
        <v>12175.575</v>
      </c>
      <c r="Q75" s="434"/>
      <c r="R75" s="471">
        <f t="shared" si="7"/>
        <v>24</v>
      </c>
    </row>
    <row r="76" ht="15.75" customHeight="1">
      <c r="A76" s="136" t="s">
        <v>1147</v>
      </c>
      <c r="B76" s="138" t="s">
        <v>1148</v>
      </c>
      <c r="C76" s="35"/>
      <c r="D76" s="136"/>
      <c r="E76" s="135">
        <v>6.0</v>
      </c>
      <c r="F76" s="35"/>
      <c r="L76" s="473">
        <f t="shared" si="1"/>
        <v>40723.80992</v>
      </c>
      <c r="M76" s="132">
        <v>49275.81</v>
      </c>
      <c r="N76" s="497">
        <f t="shared" si="5"/>
        <v>71449.9245</v>
      </c>
      <c r="P76" s="498">
        <f t="shared" si="6"/>
        <v>73913.715</v>
      </c>
      <c r="Q76" s="434"/>
      <c r="R76" s="471">
        <f t="shared" si="7"/>
        <v>6</v>
      </c>
    </row>
    <row r="77" ht="15.75" customHeight="1">
      <c r="A77" s="136" t="s">
        <v>1149</v>
      </c>
      <c r="B77" s="138" t="s">
        <v>1150</v>
      </c>
      <c r="C77" s="35"/>
      <c r="D77" s="136"/>
      <c r="E77" s="135">
        <v>2.0</v>
      </c>
      <c r="F77" s="35"/>
      <c r="L77" s="473">
        <f t="shared" si="1"/>
        <v>14651.75207</v>
      </c>
      <c r="M77" s="132">
        <v>17728.62</v>
      </c>
      <c r="N77" s="497">
        <f t="shared" si="5"/>
        <v>25706.499</v>
      </c>
      <c r="P77" s="498">
        <f t="shared" si="6"/>
        <v>26592.93</v>
      </c>
      <c r="Q77" s="434"/>
      <c r="R77" s="471">
        <f t="shared" si="7"/>
        <v>2</v>
      </c>
    </row>
    <row r="78" ht="15.75" customHeight="1">
      <c r="A78" s="136" t="s">
        <v>1151</v>
      </c>
      <c r="B78" s="138" t="s">
        <v>1152</v>
      </c>
      <c r="C78" s="35"/>
      <c r="D78" s="136"/>
      <c r="E78" s="135">
        <v>4.0</v>
      </c>
      <c r="F78" s="35"/>
      <c r="L78" s="473">
        <f t="shared" si="1"/>
        <v>11468.3719</v>
      </c>
      <c r="M78" s="132">
        <v>13876.73</v>
      </c>
      <c r="N78" s="497">
        <f t="shared" si="5"/>
        <v>20121.2585</v>
      </c>
      <c r="P78" s="498">
        <f t="shared" si="6"/>
        <v>20815.095</v>
      </c>
      <c r="Q78" s="434"/>
      <c r="R78" s="471">
        <f t="shared" si="7"/>
        <v>4</v>
      </c>
    </row>
    <row r="79" ht="15.75" customHeight="1">
      <c r="A79" s="136" t="s">
        <v>1153</v>
      </c>
      <c r="B79" s="138" t="s">
        <v>1154</v>
      </c>
      <c r="C79" s="35"/>
      <c r="D79" s="136"/>
      <c r="E79" s="135">
        <v>4.0</v>
      </c>
      <c r="F79" s="35"/>
      <c r="L79" s="473">
        <f t="shared" si="1"/>
        <v>13022.07438</v>
      </c>
      <c r="M79" s="132">
        <v>15756.71</v>
      </c>
      <c r="N79" s="497">
        <f t="shared" si="5"/>
        <v>22847.2295</v>
      </c>
      <c r="P79" s="498">
        <f t="shared" si="6"/>
        <v>23635.065</v>
      </c>
      <c r="Q79" s="434"/>
      <c r="R79" s="471">
        <f t="shared" si="7"/>
        <v>4</v>
      </c>
    </row>
    <row r="80" ht="15.75" customHeight="1">
      <c r="A80" s="136" t="s">
        <v>1155</v>
      </c>
      <c r="B80" s="138" t="s">
        <v>1156</v>
      </c>
      <c r="C80" s="35"/>
      <c r="D80" s="136"/>
      <c r="E80" s="135">
        <v>4.0</v>
      </c>
      <c r="F80" s="35"/>
      <c r="L80" s="473">
        <f t="shared" si="1"/>
        <v>15257.29752</v>
      </c>
      <c r="M80" s="132">
        <v>18461.33</v>
      </c>
      <c r="N80" s="497">
        <f t="shared" si="5"/>
        <v>26768.9285</v>
      </c>
      <c r="P80" s="498">
        <f t="shared" si="6"/>
        <v>27691.995</v>
      </c>
      <c r="Q80" s="434"/>
      <c r="R80" s="471">
        <f t="shared" si="7"/>
        <v>4</v>
      </c>
    </row>
    <row r="81" ht="15.75" customHeight="1">
      <c r="A81" s="136" t="s">
        <v>1157</v>
      </c>
      <c r="B81" s="138" t="s">
        <v>1158</v>
      </c>
      <c r="C81" s="35"/>
      <c r="D81" s="136"/>
      <c r="E81" s="135">
        <v>4.0</v>
      </c>
      <c r="F81" s="35"/>
      <c r="L81" s="473">
        <f t="shared" si="1"/>
        <v>15981.78512</v>
      </c>
      <c r="M81" s="132">
        <v>19337.96</v>
      </c>
      <c r="N81" s="497">
        <f t="shared" si="5"/>
        <v>28040.042</v>
      </c>
      <c r="P81" s="498">
        <f t="shared" si="6"/>
        <v>29006.94</v>
      </c>
      <c r="Q81" s="434"/>
      <c r="R81" s="471">
        <f t="shared" si="7"/>
        <v>4</v>
      </c>
    </row>
    <row r="82">
      <c r="A82" s="136" t="s">
        <v>1159</v>
      </c>
      <c r="B82" s="436" t="s">
        <v>1160</v>
      </c>
      <c r="C82" s="35"/>
      <c r="E82" s="135">
        <v>48.0</v>
      </c>
      <c r="F82" s="35"/>
      <c r="L82" s="473">
        <f t="shared" si="1"/>
        <v>815.0082645</v>
      </c>
      <c r="M82" s="132">
        <v>986.16</v>
      </c>
      <c r="N82" s="497">
        <f t="shared" si="5"/>
        <v>1429.932</v>
      </c>
      <c r="P82" s="498">
        <f t="shared" si="6"/>
        <v>1479.24</v>
      </c>
      <c r="Q82" s="434"/>
      <c r="R82" s="471">
        <f t="shared" si="7"/>
        <v>48</v>
      </c>
      <c r="S82" s="132">
        <v>815.01</v>
      </c>
    </row>
    <row r="83" ht="15.75" customHeight="1">
      <c r="A83" s="136" t="s">
        <v>1161</v>
      </c>
      <c r="B83" s="138" t="s">
        <v>1162</v>
      </c>
      <c r="C83" s="35"/>
      <c r="D83" s="136"/>
      <c r="E83" s="135">
        <v>95.0</v>
      </c>
      <c r="F83" s="35"/>
      <c r="L83" s="473">
        <f t="shared" si="1"/>
        <v>1501.68595</v>
      </c>
      <c r="M83" s="132">
        <v>1817.04</v>
      </c>
      <c r="N83" s="497">
        <f t="shared" si="5"/>
        <v>2634.708</v>
      </c>
      <c r="P83" s="498">
        <f t="shared" si="6"/>
        <v>2725.56</v>
      </c>
      <c r="Q83" s="434"/>
      <c r="R83" s="471">
        <f t="shared" si="7"/>
        <v>95</v>
      </c>
    </row>
    <row r="84" ht="15.75" customHeight="1">
      <c r="A84" s="136" t="s">
        <v>1163</v>
      </c>
      <c r="B84" s="138" t="s">
        <v>1164</v>
      </c>
      <c r="C84" s="35"/>
      <c r="D84" s="136"/>
      <c r="E84" s="135">
        <v>48.0</v>
      </c>
      <c r="F84" s="35"/>
      <c r="L84" s="473">
        <f t="shared" si="1"/>
        <v>1501.68595</v>
      </c>
      <c r="M84" s="132">
        <v>1817.04</v>
      </c>
      <c r="N84" s="497">
        <f t="shared" si="5"/>
        <v>2634.708</v>
      </c>
      <c r="P84" s="498">
        <f t="shared" si="6"/>
        <v>2725.56</v>
      </c>
      <c r="Q84" s="434"/>
      <c r="R84" s="471">
        <f t="shared" si="7"/>
        <v>48</v>
      </c>
    </row>
    <row r="85" ht="15.75" customHeight="1">
      <c r="A85" s="136" t="s">
        <v>1165</v>
      </c>
      <c r="B85" s="138" t="s">
        <v>1166</v>
      </c>
      <c r="C85" s="35"/>
      <c r="D85" s="136"/>
      <c r="E85" s="135">
        <v>48.0</v>
      </c>
      <c r="F85" s="35"/>
      <c r="L85" s="473">
        <f t="shared" si="1"/>
        <v>1716.297521</v>
      </c>
      <c r="M85" s="132">
        <v>2076.72</v>
      </c>
      <c r="N85" s="497">
        <f t="shared" si="5"/>
        <v>3011.244</v>
      </c>
      <c r="P85" s="498">
        <f t="shared" si="6"/>
        <v>3115.08</v>
      </c>
      <c r="Q85" s="434"/>
      <c r="R85" s="471">
        <f t="shared" si="7"/>
        <v>48</v>
      </c>
    </row>
    <row r="86" ht="15.75" customHeight="1">
      <c r="A86" s="136" t="s">
        <v>1167</v>
      </c>
      <c r="B86" s="138" t="s">
        <v>1168</v>
      </c>
      <c r="C86" s="35"/>
      <c r="D86" s="136"/>
      <c r="E86" s="135">
        <v>45.0</v>
      </c>
      <c r="F86" s="35"/>
      <c r="L86" s="473">
        <f t="shared" si="1"/>
        <v>684.9586777</v>
      </c>
      <c r="M86" s="132">
        <v>828.8</v>
      </c>
      <c r="N86" s="497">
        <f t="shared" si="5"/>
        <v>1201.76</v>
      </c>
      <c r="P86" s="498">
        <f t="shared" si="6"/>
        <v>1243.2</v>
      </c>
      <c r="Q86" s="434"/>
      <c r="R86" s="471">
        <f t="shared" si="7"/>
        <v>45</v>
      </c>
      <c r="T86" s="490"/>
    </row>
    <row r="87" ht="15.75" customHeight="1">
      <c r="A87" s="136" t="s">
        <v>1169</v>
      </c>
      <c r="B87" s="138" t="s">
        <v>1170</v>
      </c>
      <c r="C87" s="35"/>
      <c r="D87" s="136"/>
      <c r="E87" s="135">
        <v>95.0</v>
      </c>
      <c r="F87" s="35"/>
      <c r="L87" s="473">
        <f t="shared" si="1"/>
        <v>656.214876</v>
      </c>
      <c r="M87" s="132">
        <v>794.02</v>
      </c>
      <c r="N87" s="497">
        <f t="shared" si="5"/>
        <v>1151.329</v>
      </c>
      <c r="P87" s="498">
        <f t="shared" si="6"/>
        <v>1191.03</v>
      </c>
      <c r="Q87" s="434"/>
      <c r="R87" s="471">
        <f t="shared" si="7"/>
        <v>95</v>
      </c>
    </row>
    <row r="88" ht="15.75" customHeight="1">
      <c r="A88" s="136" t="s">
        <v>1171</v>
      </c>
      <c r="B88" s="138" t="s">
        <v>1172</v>
      </c>
      <c r="C88" s="35"/>
      <c r="D88" s="136"/>
      <c r="E88" s="135">
        <v>95.0</v>
      </c>
      <c r="F88" s="35"/>
      <c r="L88" s="473">
        <f t="shared" si="1"/>
        <v>656.214876</v>
      </c>
      <c r="M88" s="132">
        <v>794.02</v>
      </c>
      <c r="N88" s="497">
        <f t="shared" si="5"/>
        <v>1151.329</v>
      </c>
      <c r="P88" s="498">
        <f t="shared" si="6"/>
        <v>1191.03</v>
      </c>
      <c r="Q88" s="434"/>
      <c r="R88" s="471">
        <f t="shared" si="7"/>
        <v>95</v>
      </c>
    </row>
    <row r="89" ht="15.75" customHeight="1">
      <c r="A89" s="136" t="s">
        <v>1173</v>
      </c>
      <c r="B89" s="138" t="s">
        <v>1174</v>
      </c>
      <c r="C89" s="35"/>
      <c r="D89" s="513"/>
      <c r="E89" s="135">
        <v>36.0</v>
      </c>
      <c r="F89" s="35"/>
      <c r="L89" s="473">
        <f t="shared" si="1"/>
        <v>1996.834711</v>
      </c>
      <c r="M89" s="132">
        <v>2416.17</v>
      </c>
      <c r="N89" s="497">
        <f t="shared" si="5"/>
        <v>3503.4465</v>
      </c>
      <c r="P89" s="498">
        <f t="shared" si="6"/>
        <v>3624.255</v>
      </c>
      <c r="Q89" s="448">
        <v>2.0</v>
      </c>
      <c r="R89" s="471">
        <f t="shared" si="7"/>
        <v>34</v>
      </c>
    </row>
    <row r="90" ht="15.75" customHeight="1">
      <c r="A90" s="472" t="s">
        <v>1175</v>
      </c>
      <c r="B90" s="436" t="s">
        <v>1176</v>
      </c>
      <c r="C90" s="34"/>
      <c r="D90" s="439"/>
      <c r="E90" s="467">
        <v>27.0</v>
      </c>
      <c r="F90" s="35"/>
      <c r="L90" s="473">
        <f t="shared" si="1"/>
        <v>6818.181818</v>
      </c>
      <c r="M90" s="132">
        <v>8250.0</v>
      </c>
      <c r="N90" s="497">
        <f t="shared" si="5"/>
        <v>11962.5</v>
      </c>
      <c r="P90" s="498">
        <f t="shared" si="6"/>
        <v>12375</v>
      </c>
      <c r="Q90" s="448"/>
      <c r="R90" s="493">
        <v>26.0</v>
      </c>
    </row>
    <row r="91" ht="15.75" customHeight="1">
      <c r="A91" s="136" t="s">
        <v>1177</v>
      </c>
      <c r="B91" s="138" t="s">
        <v>1178</v>
      </c>
      <c r="C91" s="35"/>
      <c r="D91" s="136"/>
      <c r="E91" s="135">
        <v>18.0</v>
      </c>
      <c r="F91" s="35"/>
      <c r="L91" s="473">
        <f t="shared" si="1"/>
        <v>3421.008264</v>
      </c>
      <c r="M91" s="132">
        <v>4139.42</v>
      </c>
      <c r="N91" s="497">
        <f t="shared" si="5"/>
        <v>6002.159</v>
      </c>
      <c r="P91" s="498">
        <f t="shared" si="6"/>
        <v>6209.13</v>
      </c>
      <c r="Q91" s="434"/>
      <c r="R91" s="471">
        <f t="shared" ref="R91:R92" si="8">E91-Q91</f>
        <v>18</v>
      </c>
    </row>
    <row r="92">
      <c r="A92" s="136" t="s">
        <v>1179</v>
      </c>
      <c r="B92" s="138" t="s">
        <v>1180</v>
      </c>
      <c r="C92" s="35"/>
      <c r="E92" s="135">
        <v>96.0</v>
      </c>
      <c r="F92" s="35"/>
      <c r="L92" s="473">
        <f t="shared" si="1"/>
        <v>3564.892562</v>
      </c>
      <c r="M92" s="132">
        <v>4313.52</v>
      </c>
      <c r="N92" s="497">
        <f t="shared" si="5"/>
        <v>6254.604</v>
      </c>
      <c r="P92" s="498">
        <f t="shared" si="6"/>
        <v>6470.28</v>
      </c>
      <c r="Q92" s="434"/>
      <c r="R92" s="471">
        <f t="shared" si="8"/>
        <v>96</v>
      </c>
    </row>
    <row r="95">
      <c r="B95" s="495"/>
    </row>
    <row r="96" ht="15.75" customHeight="1">
      <c r="E96" s="496"/>
      <c r="Q96" s="372"/>
      <c r="R96" s="461"/>
    </row>
    <row r="97" ht="15.75" customHeight="1">
      <c r="E97" s="496"/>
      <c r="Q97" s="372"/>
      <c r="R97" s="461"/>
    </row>
    <row r="98" ht="15.75" customHeight="1">
      <c r="E98" s="496"/>
      <c r="Q98" s="372"/>
      <c r="R98" s="461"/>
    </row>
    <row r="99" ht="15.75" customHeight="1">
      <c r="E99" s="496"/>
      <c r="Q99" s="372"/>
      <c r="R99" s="461"/>
    </row>
    <row r="100" ht="15.75" customHeight="1">
      <c r="E100" s="496"/>
      <c r="Q100" s="372"/>
      <c r="R100" s="461"/>
    </row>
    <row r="101" ht="15.75" customHeight="1">
      <c r="E101" s="496"/>
      <c r="Q101" s="372"/>
      <c r="R101" s="461"/>
    </row>
    <row r="102" ht="15.75" customHeight="1">
      <c r="E102" s="496"/>
      <c r="Q102" s="372"/>
      <c r="R102" s="461"/>
    </row>
    <row r="103" ht="15.75" customHeight="1">
      <c r="E103" s="496"/>
      <c r="Q103" s="372"/>
      <c r="R103" s="461"/>
    </row>
    <row r="104" ht="15.75" customHeight="1">
      <c r="E104" s="496"/>
      <c r="Q104" s="372"/>
      <c r="R104" s="461"/>
    </row>
    <row r="105" ht="15.75" customHeight="1">
      <c r="E105" s="496"/>
      <c r="Q105" s="372"/>
      <c r="R105" s="461"/>
    </row>
    <row r="106" ht="15.75" customHeight="1">
      <c r="E106" s="496"/>
      <c r="Q106" s="372"/>
      <c r="R106" s="461"/>
    </row>
    <row r="107" ht="15.75" customHeight="1">
      <c r="E107" s="496"/>
      <c r="Q107" s="372"/>
      <c r="R107" s="461"/>
    </row>
    <row r="108" ht="15.75" customHeight="1">
      <c r="E108" s="496"/>
      <c r="Q108" s="372"/>
      <c r="R108" s="461"/>
    </row>
    <row r="109" ht="15.75" customHeight="1">
      <c r="E109" s="496"/>
      <c r="Q109" s="372"/>
      <c r="R109" s="461"/>
    </row>
    <row r="110" ht="15.75" customHeight="1">
      <c r="E110" s="496"/>
      <c r="Q110" s="372"/>
      <c r="R110" s="461"/>
    </row>
    <row r="111" ht="15.75" customHeight="1">
      <c r="E111" s="496"/>
      <c r="Q111" s="372"/>
      <c r="R111" s="461"/>
    </row>
    <row r="112" ht="15.75" customHeight="1">
      <c r="E112" s="496"/>
      <c r="Q112" s="372"/>
      <c r="R112" s="461"/>
    </row>
    <row r="113" ht="15.75" customHeight="1">
      <c r="E113" s="496"/>
      <c r="Q113" s="372"/>
      <c r="R113" s="461"/>
    </row>
    <row r="114" ht="15.75" customHeight="1">
      <c r="E114" s="496"/>
      <c r="Q114" s="372"/>
      <c r="R114" s="461"/>
    </row>
    <row r="115" ht="15.75" customHeight="1">
      <c r="E115" s="496"/>
      <c r="Q115" s="372"/>
      <c r="R115" s="461"/>
    </row>
    <row r="116" ht="15.75" customHeight="1">
      <c r="E116" s="496"/>
      <c r="Q116" s="372"/>
      <c r="R116" s="461"/>
    </row>
    <row r="117" ht="15.75" customHeight="1">
      <c r="E117" s="496"/>
      <c r="Q117" s="372"/>
      <c r="R117" s="461"/>
    </row>
    <row r="118" ht="15.75" customHeight="1">
      <c r="E118" s="496"/>
      <c r="Q118" s="372"/>
      <c r="R118" s="461"/>
    </row>
    <row r="119" ht="15.75" customHeight="1">
      <c r="E119" s="496"/>
      <c r="Q119" s="372"/>
      <c r="R119" s="461"/>
    </row>
    <row r="120" ht="15.75" customHeight="1">
      <c r="E120" s="496"/>
      <c r="Q120" s="372"/>
      <c r="R120" s="461"/>
    </row>
    <row r="121" ht="15.75" customHeight="1">
      <c r="E121" s="496"/>
      <c r="Q121" s="372"/>
      <c r="R121" s="461"/>
    </row>
    <row r="122" ht="15.75" customHeight="1">
      <c r="E122" s="496"/>
      <c r="Q122" s="372"/>
      <c r="R122" s="461"/>
    </row>
    <row r="123" ht="15.75" customHeight="1">
      <c r="E123" s="496"/>
      <c r="Q123" s="372"/>
      <c r="R123" s="461"/>
    </row>
    <row r="124" ht="15.75" customHeight="1">
      <c r="E124" s="496"/>
      <c r="Q124" s="372"/>
      <c r="R124" s="461"/>
    </row>
    <row r="125" ht="15.75" customHeight="1">
      <c r="E125" s="496"/>
      <c r="Q125" s="372"/>
      <c r="R125" s="461"/>
    </row>
    <row r="126" ht="15.75" customHeight="1">
      <c r="E126" s="496"/>
      <c r="Q126" s="372"/>
      <c r="R126" s="461"/>
    </row>
    <row r="127" ht="15.75" customHeight="1">
      <c r="E127" s="496"/>
      <c r="Q127" s="372"/>
      <c r="R127" s="461"/>
    </row>
    <row r="128" ht="15.75" customHeight="1">
      <c r="E128" s="496"/>
      <c r="Q128" s="372"/>
      <c r="R128" s="461"/>
    </row>
    <row r="129" ht="15.75" customHeight="1">
      <c r="E129" s="496"/>
      <c r="Q129" s="372"/>
      <c r="R129" s="461"/>
    </row>
    <row r="130" ht="15.75" customHeight="1">
      <c r="E130" s="496"/>
      <c r="Q130" s="372"/>
      <c r="R130" s="461"/>
    </row>
    <row r="131" ht="15.75" customHeight="1">
      <c r="E131" s="496"/>
      <c r="Q131" s="372"/>
      <c r="R131" s="461"/>
    </row>
    <row r="132" ht="15.75" customHeight="1">
      <c r="E132" s="496"/>
      <c r="Q132" s="372"/>
      <c r="R132" s="461"/>
    </row>
    <row r="133" ht="15.75" customHeight="1">
      <c r="E133" s="496"/>
      <c r="Q133" s="372"/>
      <c r="R133" s="461"/>
    </row>
    <row r="134" ht="15.75" customHeight="1">
      <c r="E134" s="496"/>
      <c r="Q134" s="372"/>
      <c r="R134" s="461"/>
    </row>
    <row r="135" ht="15.75" customHeight="1">
      <c r="E135" s="496"/>
      <c r="Q135" s="372"/>
      <c r="R135" s="461"/>
    </row>
    <row r="136" ht="15.75" customHeight="1">
      <c r="E136" s="496"/>
      <c r="Q136" s="372"/>
      <c r="R136" s="461"/>
    </row>
    <row r="137" ht="15.75" customHeight="1">
      <c r="E137" s="496"/>
      <c r="Q137" s="372"/>
      <c r="R137" s="461"/>
    </row>
    <row r="138" ht="15.75" customHeight="1">
      <c r="E138" s="496"/>
      <c r="Q138" s="372"/>
      <c r="R138" s="461"/>
    </row>
    <row r="139" ht="15.75" customHeight="1">
      <c r="E139" s="496"/>
      <c r="Q139" s="372"/>
      <c r="R139" s="461"/>
    </row>
    <row r="140" ht="15.75" customHeight="1">
      <c r="E140" s="496"/>
      <c r="Q140" s="372"/>
      <c r="R140" s="461"/>
    </row>
    <row r="141" ht="15.75" customHeight="1">
      <c r="E141" s="496"/>
      <c r="Q141" s="372"/>
      <c r="R141" s="461"/>
    </row>
    <row r="142" ht="15.75" customHeight="1">
      <c r="E142" s="496"/>
      <c r="Q142" s="372"/>
      <c r="R142" s="461"/>
    </row>
    <row r="143" ht="15.75" customHeight="1">
      <c r="E143" s="496"/>
      <c r="Q143" s="372"/>
      <c r="R143" s="461"/>
    </row>
    <row r="144" ht="15.75" customHeight="1">
      <c r="E144" s="496"/>
      <c r="Q144" s="372"/>
      <c r="R144" s="461"/>
    </row>
    <row r="145" ht="15.75" customHeight="1">
      <c r="E145" s="496"/>
      <c r="Q145" s="372"/>
      <c r="R145" s="461"/>
    </row>
    <row r="146" ht="15.75" customHeight="1">
      <c r="E146" s="496"/>
      <c r="Q146" s="372"/>
      <c r="R146" s="461"/>
    </row>
    <row r="147" ht="15.75" customHeight="1">
      <c r="E147" s="496"/>
      <c r="Q147" s="372"/>
      <c r="R147" s="461"/>
    </row>
    <row r="148" ht="15.75" customHeight="1">
      <c r="E148" s="496"/>
      <c r="Q148" s="372"/>
      <c r="R148" s="461"/>
    </row>
    <row r="149" ht="15.75" customHeight="1">
      <c r="E149" s="496"/>
      <c r="Q149" s="372"/>
      <c r="R149" s="461"/>
    </row>
    <row r="150" ht="15.75" customHeight="1">
      <c r="E150" s="496"/>
      <c r="Q150" s="372"/>
      <c r="R150" s="461"/>
    </row>
    <row r="151" ht="15.75" customHeight="1">
      <c r="E151" s="496"/>
      <c r="Q151" s="372"/>
      <c r="R151" s="461"/>
    </row>
    <row r="152" ht="15.75" customHeight="1">
      <c r="E152" s="496"/>
      <c r="Q152" s="372"/>
      <c r="R152" s="461"/>
    </row>
    <row r="153" ht="15.75" customHeight="1">
      <c r="E153" s="496"/>
      <c r="Q153" s="372"/>
      <c r="R153" s="461"/>
    </row>
    <row r="154" ht="15.75" customHeight="1">
      <c r="E154" s="496"/>
      <c r="Q154" s="372"/>
      <c r="R154" s="461"/>
    </row>
    <row r="155" ht="15.75" customHeight="1">
      <c r="E155" s="496"/>
      <c r="Q155" s="372"/>
      <c r="R155" s="461"/>
    </row>
    <row r="156" ht="15.75" customHeight="1">
      <c r="E156" s="496"/>
      <c r="Q156" s="372"/>
      <c r="R156" s="461"/>
    </row>
    <row r="157" ht="15.75" customHeight="1">
      <c r="E157" s="496"/>
      <c r="Q157" s="372"/>
      <c r="R157" s="461"/>
    </row>
    <row r="158" ht="15.75" customHeight="1">
      <c r="E158" s="496"/>
      <c r="Q158" s="372"/>
      <c r="R158" s="461"/>
    </row>
    <row r="159" ht="15.75" customHeight="1">
      <c r="E159" s="496"/>
      <c r="Q159" s="372"/>
      <c r="R159" s="461"/>
    </row>
    <row r="160" ht="15.75" customHeight="1">
      <c r="E160" s="496"/>
      <c r="Q160" s="372"/>
      <c r="R160" s="461"/>
    </row>
    <row r="161" ht="15.75" customHeight="1">
      <c r="E161" s="496"/>
      <c r="Q161" s="372"/>
      <c r="R161" s="461"/>
    </row>
    <row r="162" ht="15.75" customHeight="1">
      <c r="E162" s="496"/>
      <c r="Q162" s="372"/>
      <c r="R162" s="461"/>
    </row>
    <row r="163" ht="15.75" customHeight="1">
      <c r="E163" s="496"/>
      <c r="Q163" s="372"/>
      <c r="R163" s="461"/>
    </row>
    <row r="164" ht="15.75" customHeight="1">
      <c r="E164" s="496"/>
      <c r="Q164" s="372"/>
      <c r="R164" s="461"/>
    </row>
    <row r="165" ht="15.75" customHeight="1">
      <c r="E165" s="496"/>
      <c r="Q165" s="372"/>
      <c r="R165" s="461"/>
    </row>
    <row r="166" ht="15.75" customHeight="1">
      <c r="E166" s="496"/>
      <c r="Q166" s="372"/>
      <c r="R166" s="461"/>
    </row>
    <row r="167" ht="15.75" customHeight="1">
      <c r="E167" s="496"/>
      <c r="Q167" s="372"/>
      <c r="R167" s="461"/>
    </row>
    <row r="168" ht="15.75" customHeight="1">
      <c r="E168" s="496"/>
      <c r="Q168" s="372"/>
      <c r="R168" s="461"/>
    </row>
    <row r="169" ht="15.75" customHeight="1">
      <c r="E169" s="496"/>
      <c r="Q169" s="372"/>
      <c r="R169" s="461"/>
    </row>
    <row r="170" ht="15.75" customHeight="1">
      <c r="E170" s="496"/>
      <c r="Q170" s="372"/>
      <c r="R170" s="461"/>
    </row>
    <row r="171" ht="15.75" customHeight="1">
      <c r="E171" s="496"/>
      <c r="Q171" s="372"/>
      <c r="R171" s="461"/>
    </row>
    <row r="172" ht="15.75" customHeight="1">
      <c r="E172" s="496"/>
      <c r="Q172" s="372"/>
      <c r="R172" s="461"/>
    </row>
    <row r="173" ht="15.75" customHeight="1">
      <c r="E173" s="496"/>
      <c r="Q173" s="372"/>
      <c r="R173" s="461"/>
    </row>
    <row r="174" ht="15.75" customHeight="1">
      <c r="E174" s="496"/>
      <c r="Q174" s="372"/>
      <c r="R174" s="461"/>
    </row>
    <row r="175" ht="15.75" customHeight="1">
      <c r="E175" s="496"/>
      <c r="Q175" s="372"/>
      <c r="R175" s="461"/>
    </row>
    <row r="176" ht="15.75" customHeight="1">
      <c r="E176" s="496"/>
      <c r="Q176" s="372"/>
      <c r="R176" s="461"/>
    </row>
    <row r="177" ht="15.75" customHeight="1">
      <c r="E177" s="496"/>
      <c r="Q177" s="372"/>
      <c r="R177" s="461"/>
    </row>
    <row r="178" ht="15.75" customHeight="1">
      <c r="E178" s="496"/>
      <c r="Q178" s="372"/>
      <c r="R178" s="461"/>
    </row>
    <row r="179" ht="15.75" customHeight="1">
      <c r="E179" s="496"/>
      <c r="Q179" s="372"/>
      <c r="R179" s="461"/>
    </row>
    <row r="180" ht="15.75" customHeight="1">
      <c r="E180" s="496"/>
      <c r="Q180" s="372"/>
      <c r="R180" s="461"/>
    </row>
    <row r="181" ht="15.75" customHeight="1">
      <c r="E181" s="496"/>
      <c r="Q181" s="372"/>
      <c r="R181" s="461"/>
    </row>
    <row r="182" ht="15.75" customHeight="1">
      <c r="E182" s="496"/>
      <c r="Q182" s="372"/>
      <c r="R182" s="461"/>
    </row>
    <row r="183" ht="15.75" customHeight="1">
      <c r="E183" s="496"/>
      <c r="Q183" s="372"/>
      <c r="R183" s="461"/>
    </row>
    <row r="184" ht="15.75" customHeight="1">
      <c r="E184" s="496"/>
      <c r="Q184" s="372"/>
      <c r="R184" s="461"/>
    </row>
    <row r="185" ht="15.75" customHeight="1">
      <c r="E185" s="496"/>
      <c r="Q185" s="372"/>
      <c r="R185" s="461"/>
    </row>
    <row r="186" ht="15.75" customHeight="1">
      <c r="E186" s="496"/>
      <c r="Q186" s="372"/>
      <c r="R186" s="461"/>
    </row>
    <row r="187" ht="15.75" customHeight="1">
      <c r="E187" s="496"/>
      <c r="Q187" s="372"/>
      <c r="R187" s="461"/>
    </row>
    <row r="188" ht="15.75" customHeight="1">
      <c r="E188" s="496"/>
      <c r="Q188" s="372"/>
      <c r="R188" s="461"/>
    </row>
    <row r="189" ht="15.75" customHeight="1">
      <c r="E189" s="496"/>
      <c r="Q189" s="372"/>
      <c r="R189" s="461"/>
    </row>
    <row r="190" ht="15.75" customHeight="1">
      <c r="E190" s="496"/>
      <c r="Q190" s="372"/>
      <c r="R190" s="461"/>
    </row>
    <row r="191" ht="15.75" customHeight="1">
      <c r="E191" s="496"/>
      <c r="Q191" s="372"/>
      <c r="R191" s="461"/>
    </row>
    <row r="192" ht="15.75" customHeight="1">
      <c r="E192" s="496"/>
      <c r="Q192" s="372"/>
      <c r="R192" s="461"/>
    </row>
    <row r="193" ht="15.75" customHeight="1">
      <c r="E193" s="496"/>
      <c r="Q193" s="372"/>
      <c r="R193" s="461"/>
    </row>
    <row r="194" ht="15.75" customHeight="1">
      <c r="E194" s="496"/>
      <c r="Q194" s="372"/>
      <c r="R194" s="461"/>
    </row>
    <row r="195" ht="15.75" customHeight="1">
      <c r="E195" s="496"/>
      <c r="Q195" s="372"/>
      <c r="R195" s="461"/>
    </row>
    <row r="196" ht="15.75" customHeight="1">
      <c r="E196" s="496"/>
      <c r="Q196" s="372"/>
      <c r="R196" s="461"/>
    </row>
    <row r="197" ht="15.75" customHeight="1">
      <c r="E197" s="496"/>
      <c r="Q197" s="372"/>
      <c r="R197" s="461"/>
    </row>
    <row r="198" ht="15.75" customHeight="1">
      <c r="E198" s="496"/>
      <c r="Q198" s="372"/>
      <c r="R198" s="461"/>
    </row>
    <row r="199" ht="15.75" customHeight="1">
      <c r="E199" s="496"/>
      <c r="Q199" s="372"/>
      <c r="R199" s="461"/>
    </row>
    <row r="200" ht="15.75" customHeight="1">
      <c r="E200" s="496"/>
      <c r="Q200" s="372"/>
      <c r="R200" s="461"/>
    </row>
    <row r="201" ht="15.75" customHeight="1">
      <c r="E201" s="496"/>
      <c r="Q201" s="372"/>
      <c r="R201" s="461"/>
    </row>
    <row r="202" ht="15.75" customHeight="1">
      <c r="E202" s="496"/>
      <c r="Q202" s="372"/>
      <c r="R202" s="461"/>
    </row>
    <row r="203" ht="15.75" customHeight="1">
      <c r="E203" s="496"/>
      <c r="Q203" s="372"/>
      <c r="R203" s="461"/>
    </row>
    <row r="204" ht="15.75" customHeight="1">
      <c r="E204" s="496"/>
      <c r="Q204" s="372"/>
      <c r="R204" s="461"/>
    </row>
    <row r="205" ht="15.75" customHeight="1">
      <c r="E205" s="496"/>
      <c r="Q205" s="372"/>
      <c r="R205" s="461"/>
    </row>
    <row r="206" ht="15.75" customHeight="1">
      <c r="E206" s="496"/>
      <c r="Q206" s="372"/>
      <c r="R206" s="461"/>
    </row>
    <row r="207" ht="15.75" customHeight="1">
      <c r="E207" s="496"/>
      <c r="Q207" s="372"/>
      <c r="R207" s="461"/>
    </row>
    <row r="208" ht="15.75" customHeight="1">
      <c r="E208" s="496"/>
      <c r="Q208" s="372"/>
      <c r="R208" s="461"/>
    </row>
    <row r="209" ht="15.75" customHeight="1">
      <c r="E209" s="496"/>
      <c r="Q209" s="372"/>
      <c r="R209" s="461"/>
    </row>
    <row r="210" ht="15.75" customHeight="1">
      <c r="E210" s="496"/>
      <c r="Q210" s="372"/>
      <c r="R210" s="461"/>
    </row>
    <row r="211" ht="15.75" customHeight="1">
      <c r="E211" s="496"/>
      <c r="Q211" s="372"/>
      <c r="R211" s="461"/>
    </row>
    <row r="212" ht="15.75" customHeight="1">
      <c r="E212" s="496"/>
      <c r="Q212" s="372"/>
      <c r="R212" s="461"/>
    </row>
    <row r="213" ht="15.75" customHeight="1">
      <c r="E213" s="496"/>
      <c r="Q213" s="372"/>
      <c r="R213" s="461"/>
    </row>
    <row r="214" ht="15.75" customHeight="1">
      <c r="E214" s="496"/>
      <c r="Q214" s="372"/>
      <c r="R214" s="461"/>
    </row>
    <row r="215" ht="15.75" customHeight="1">
      <c r="E215" s="496"/>
      <c r="Q215" s="372"/>
      <c r="R215" s="461"/>
    </row>
    <row r="216" ht="15.75" customHeight="1">
      <c r="E216" s="496"/>
      <c r="Q216" s="372"/>
      <c r="R216" s="461"/>
    </row>
    <row r="217" ht="15.75" customHeight="1">
      <c r="E217" s="496"/>
      <c r="Q217" s="372"/>
      <c r="R217" s="461"/>
    </row>
    <row r="218" ht="15.75" customHeight="1">
      <c r="E218" s="496"/>
      <c r="Q218" s="372"/>
      <c r="R218" s="461"/>
    </row>
    <row r="219" ht="15.75" customHeight="1">
      <c r="E219" s="496"/>
      <c r="Q219" s="372"/>
      <c r="R219" s="461"/>
    </row>
    <row r="220" ht="15.75" customHeight="1">
      <c r="E220" s="496"/>
      <c r="Q220" s="372"/>
      <c r="R220" s="461"/>
    </row>
    <row r="221" ht="15.75" customHeight="1">
      <c r="E221" s="496"/>
      <c r="Q221" s="372"/>
      <c r="R221" s="461"/>
    </row>
    <row r="222" ht="15.75" customHeight="1">
      <c r="E222" s="496"/>
      <c r="Q222" s="372"/>
      <c r="R222" s="461"/>
    </row>
    <row r="223" ht="15.75" customHeight="1">
      <c r="E223" s="496"/>
      <c r="Q223" s="372"/>
      <c r="R223" s="461"/>
    </row>
    <row r="224" ht="15.75" customHeight="1">
      <c r="E224" s="496"/>
      <c r="Q224" s="372"/>
      <c r="R224" s="461"/>
    </row>
    <row r="225" ht="15.75" customHeight="1">
      <c r="E225" s="496"/>
      <c r="Q225" s="372"/>
      <c r="R225" s="461"/>
    </row>
    <row r="226" ht="15.75" customHeight="1">
      <c r="E226" s="496"/>
      <c r="Q226" s="372"/>
      <c r="R226" s="461"/>
    </row>
    <row r="227" ht="15.75" customHeight="1">
      <c r="E227" s="496"/>
      <c r="Q227" s="372"/>
      <c r="R227" s="461"/>
    </row>
    <row r="228" ht="15.75" customHeight="1">
      <c r="E228" s="496"/>
      <c r="Q228" s="372"/>
      <c r="R228" s="461"/>
    </row>
    <row r="229" ht="15.75" customHeight="1">
      <c r="E229" s="496"/>
      <c r="Q229" s="372"/>
      <c r="R229" s="461"/>
    </row>
    <row r="230" ht="15.75" customHeight="1">
      <c r="E230" s="496"/>
      <c r="Q230" s="372"/>
      <c r="R230" s="461"/>
    </row>
    <row r="231" ht="15.75" customHeight="1">
      <c r="E231" s="496"/>
      <c r="Q231" s="372"/>
      <c r="R231" s="461"/>
    </row>
    <row r="232" ht="15.75" customHeight="1">
      <c r="E232" s="496"/>
      <c r="Q232" s="372"/>
      <c r="R232" s="461"/>
    </row>
    <row r="233" ht="15.75" customHeight="1">
      <c r="E233" s="496"/>
      <c r="Q233" s="372"/>
      <c r="R233" s="461"/>
    </row>
    <row r="234" ht="15.75" customHeight="1">
      <c r="E234" s="496"/>
      <c r="Q234" s="372"/>
      <c r="R234" s="461"/>
    </row>
    <row r="235" ht="15.75" customHeight="1">
      <c r="E235" s="496"/>
      <c r="Q235" s="372"/>
      <c r="R235" s="461"/>
    </row>
    <row r="236" ht="15.75" customHeight="1">
      <c r="E236" s="496"/>
      <c r="Q236" s="372"/>
      <c r="R236" s="461"/>
    </row>
    <row r="237" ht="15.75" customHeight="1">
      <c r="E237" s="496"/>
      <c r="Q237" s="372"/>
      <c r="R237" s="461"/>
    </row>
    <row r="238" ht="15.75" customHeight="1">
      <c r="E238" s="496"/>
      <c r="Q238" s="372"/>
      <c r="R238" s="461"/>
    </row>
    <row r="239" ht="15.75" customHeight="1">
      <c r="E239" s="496"/>
      <c r="Q239" s="372"/>
      <c r="R239" s="461"/>
    </row>
    <row r="240" ht="15.75" customHeight="1">
      <c r="E240" s="496"/>
      <c r="Q240" s="372"/>
      <c r="R240" s="461"/>
    </row>
    <row r="241" ht="15.75" customHeight="1">
      <c r="E241" s="496"/>
      <c r="Q241" s="372"/>
      <c r="R241" s="461"/>
    </row>
    <row r="242" ht="15.75" customHeight="1">
      <c r="E242" s="496"/>
      <c r="Q242" s="372"/>
      <c r="R242" s="461"/>
    </row>
    <row r="243" ht="15.75" customHeight="1">
      <c r="E243" s="496"/>
      <c r="Q243" s="372"/>
      <c r="R243" s="461"/>
    </row>
    <row r="244" ht="15.75" customHeight="1">
      <c r="E244" s="496"/>
      <c r="Q244" s="372"/>
      <c r="R244" s="461"/>
    </row>
    <row r="245" ht="15.75" customHeight="1">
      <c r="E245" s="496"/>
      <c r="Q245" s="372"/>
      <c r="R245" s="461"/>
    </row>
    <row r="246" ht="15.75" customHeight="1">
      <c r="E246" s="496"/>
      <c r="Q246" s="372"/>
      <c r="R246" s="461"/>
    </row>
    <row r="247" ht="15.75" customHeight="1">
      <c r="E247" s="496"/>
      <c r="Q247" s="372"/>
      <c r="R247" s="461"/>
    </row>
    <row r="248" ht="15.75" customHeight="1">
      <c r="E248" s="496"/>
      <c r="Q248" s="372"/>
      <c r="R248" s="461"/>
    </row>
    <row r="249" ht="15.75" customHeight="1">
      <c r="E249" s="496"/>
      <c r="Q249" s="372"/>
      <c r="R249" s="461"/>
    </row>
    <row r="250" ht="15.75" customHeight="1">
      <c r="E250" s="496"/>
      <c r="Q250" s="372"/>
      <c r="R250" s="461"/>
    </row>
    <row r="251" ht="15.75" customHeight="1">
      <c r="E251" s="496"/>
      <c r="Q251" s="372"/>
      <c r="R251" s="461"/>
    </row>
    <row r="252" ht="15.75" customHeight="1">
      <c r="E252" s="496"/>
      <c r="Q252" s="372"/>
      <c r="R252" s="461"/>
    </row>
    <row r="253" ht="15.75" customHeight="1">
      <c r="E253" s="496"/>
      <c r="Q253" s="372"/>
      <c r="R253" s="461"/>
    </row>
    <row r="254" ht="15.75" customHeight="1">
      <c r="E254" s="496"/>
      <c r="Q254" s="372"/>
      <c r="R254" s="461"/>
    </row>
    <row r="255" ht="15.75" customHeight="1">
      <c r="E255" s="496"/>
      <c r="Q255" s="372"/>
      <c r="R255" s="461"/>
    </row>
    <row r="256" ht="15.75" customHeight="1">
      <c r="E256" s="496"/>
      <c r="Q256" s="372"/>
      <c r="R256" s="461"/>
    </row>
    <row r="257" ht="15.75" customHeight="1">
      <c r="E257" s="496"/>
      <c r="Q257" s="372"/>
      <c r="R257" s="461"/>
    </row>
    <row r="258" ht="15.75" customHeight="1">
      <c r="E258" s="496"/>
      <c r="Q258" s="372"/>
      <c r="R258" s="461"/>
    </row>
    <row r="259" ht="15.75" customHeight="1">
      <c r="E259" s="496"/>
      <c r="Q259" s="372"/>
      <c r="R259" s="461"/>
    </row>
    <row r="260" ht="15.75" customHeight="1">
      <c r="E260" s="496"/>
      <c r="Q260" s="372"/>
      <c r="R260" s="461"/>
    </row>
    <row r="261" ht="15.75" customHeight="1">
      <c r="E261" s="496"/>
      <c r="Q261" s="372"/>
      <c r="R261" s="461"/>
    </row>
    <row r="262" ht="15.75" customHeight="1">
      <c r="E262" s="496"/>
      <c r="Q262" s="372"/>
      <c r="R262" s="461"/>
    </row>
    <row r="263" ht="15.75" customHeight="1">
      <c r="E263" s="496"/>
      <c r="Q263" s="372"/>
      <c r="R263" s="461"/>
    </row>
    <row r="264" ht="15.75" customHeight="1">
      <c r="E264" s="496"/>
      <c r="Q264" s="372"/>
      <c r="R264" s="461"/>
    </row>
    <row r="265" ht="15.75" customHeight="1">
      <c r="E265" s="496"/>
      <c r="Q265" s="372"/>
      <c r="R265" s="461"/>
    </row>
    <row r="266" ht="15.75" customHeight="1">
      <c r="E266" s="496"/>
      <c r="Q266" s="372"/>
      <c r="R266" s="461"/>
    </row>
    <row r="267" ht="15.75" customHeight="1">
      <c r="E267" s="496"/>
      <c r="Q267" s="372"/>
      <c r="R267" s="461"/>
    </row>
    <row r="268" ht="15.75" customHeight="1">
      <c r="E268" s="496"/>
      <c r="Q268" s="372"/>
      <c r="R268" s="461"/>
    </row>
    <row r="269" ht="15.75" customHeight="1">
      <c r="E269" s="496"/>
      <c r="Q269" s="372"/>
      <c r="R269" s="461"/>
    </row>
    <row r="270" ht="15.75" customHeight="1">
      <c r="E270" s="496"/>
      <c r="Q270" s="372"/>
      <c r="R270" s="461"/>
    </row>
    <row r="271" ht="15.75" customHeight="1">
      <c r="E271" s="496"/>
      <c r="Q271" s="372"/>
      <c r="R271" s="461"/>
    </row>
    <row r="272" ht="15.75" customHeight="1">
      <c r="E272" s="496"/>
      <c r="Q272" s="372"/>
      <c r="R272" s="461"/>
    </row>
    <row r="273" ht="15.75" customHeight="1">
      <c r="E273" s="496"/>
      <c r="Q273" s="372"/>
      <c r="R273" s="461"/>
    </row>
    <row r="274" ht="15.75" customHeight="1">
      <c r="E274" s="496"/>
      <c r="Q274" s="372"/>
      <c r="R274" s="461"/>
    </row>
    <row r="275" ht="15.75" customHeight="1">
      <c r="E275" s="496"/>
      <c r="Q275" s="372"/>
      <c r="R275" s="461"/>
    </row>
    <row r="276" ht="15.75" customHeight="1">
      <c r="E276" s="496"/>
      <c r="Q276" s="372"/>
      <c r="R276" s="461"/>
    </row>
    <row r="277" ht="15.75" customHeight="1">
      <c r="E277" s="496"/>
      <c r="Q277" s="372"/>
      <c r="R277" s="461"/>
    </row>
    <row r="278" ht="15.75" customHeight="1">
      <c r="E278" s="496"/>
      <c r="Q278" s="372"/>
      <c r="R278" s="461"/>
    </row>
    <row r="279" ht="15.75" customHeight="1">
      <c r="E279" s="496"/>
      <c r="Q279" s="372"/>
      <c r="R279" s="461"/>
    </row>
    <row r="280" ht="15.75" customHeight="1">
      <c r="E280" s="496"/>
      <c r="Q280" s="372"/>
      <c r="R280" s="461"/>
    </row>
    <row r="281" ht="15.75" customHeight="1">
      <c r="E281" s="496"/>
      <c r="Q281" s="372"/>
      <c r="R281" s="461"/>
    </row>
    <row r="282" ht="15.75" customHeight="1">
      <c r="E282" s="496"/>
      <c r="Q282" s="372"/>
      <c r="R282" s="461"/>
    </row>
    <row r="283" ht="15.75" customHeight="1">
      <c r="E283" s="496"/>
      <c r="Q283" s="372"/>
      <c r="R283" s="461"/>
    </row>
    <row r="284" ht="15.75" customHeight="1">
      <c r="E284" s="496"/>
      <c r="Q284" s="372"/>
      <c r="R284" s="461"/>
    </row>
    <row r="285" ht="15.75" customHeight="1">
      <c r="E285" s="496"/>
      <c r="Q285" s="372"/>
      <c r="R285" s="461"/>
    </row>
    <row r="286" ht="15.75" customHeight="1">
      <c r="E286" s="496"/>
      <c r="Q286" s="372"/>
      <c r="R286" s="461"/>
    </row>
    <row r="287" ht="15.75" customHeight="1">
      <c r="E287" s="496"/>
      <c r="Q287" s="372"/>
      <c r="R287" s="461"/>
    </row>
    <row r="288" ht="15.75" customHeight="1">
      <c r="E288" s="496"/>
      <c r="Q288" s="372"/>
      <c r="R288" s="461"/>
    </row>
    <row r="289" ht="15.75" customHeight="1">
      <c r="E289" s="496"/>
      <c r="Q289" s="372"/>
      <c r="R289" s="461"/>
    </row>
    <row r="290" ht="15.75" customHeight="1">
      <c r="E290" s="496"/>
      <c r="Q290" s="372"/>
      <c r="R290" s="461"/>
    </row>
    <row r="291" ht="15.75" customHeight="1">
      <c r="E291" s="496"/>
      <c r="Q291" s="372"/>
      <c r="R291" s="461"/>
    </row>
    <row r="292" ht="15.75" customHeight="1">
      <c r="E292" s="496"/>
      <c r="Q292" s="372"/>
      <c r="R292" s="461"/>
    </row>
    <row r="293" ht="15.75" customHeight="1">
      <c r="E293" s="496"/>
      <c r="Q293" s="372"/>
      <c r="R293" s="461"/>
    </row>
    <row r="294" ht="15.75" customHeight="1">
      <c r="E294" s="496"/>
      <c r="Q294" s="372"/>
      <c r="R294" s="461"/>
    </row>
    <row r="295" ht="15.75" customHeight="1">
      <c r="E295" s="496"/>
      <c r="Q295" s="372"/>
      <c r="R295" s="461"/>
    </row>
    <row r="296" ht="15.75" customHeight="1">
      <c r="E296" s="496"/>
      <c r="Q296" s="372"/>
      <c r="R296" s="461"/>
    </row>
    <row r="297" ht="15.75" customHeight="1">
      <c r="E297" s="496"/>
      <c r="Q297" s="372"/>
      <c r="R297" s="461"/>
    </row>
    <row r="298" ht="15.75" customHeight="1">
      <c r="E298" s="496"/>
      <c r="Q298" s="372"/>
      <c r="R298" s="461"/>
    </row>
    <row r="299" ht="15.75" customHeight="1">
      <c r="E299" s="496"/>
      <c r="Q299" s="372"/>
      <c r="R299" s="461"/>
    </row>
    <row r="300" ht="15.75" customHeight="1">
      <c r="E300" s="496"/>
      <c r="Q300" s="372"/>
      <c r="R300" s="461"/>
    </row>
    <row r="301" ht="15.75" customHeight="1">
      <c r="E301" s="496"/>
      <c r="Q301" s="372"/>
      <c r="R301" s="461"/>
    </row>
    <row r="302" ht="15.75" customHeight="1">
      <c r="E302" s="496"/>
      <c r="Q302" s="372"/>
      <c r="R302" s="461"/>
    </row>
    <row r="303" ht="15.75" customHeight="1">
      <c r="E303" s="496"/>
      <c r="Q303" s="372"/>
      <c r="R303" s="461"/>
    </row>
    <row r="304" ht="15.75" customHeight="1">
      <c r="E304" s="496"/>
      <c r="Q304" s="372"/>
      <c r="R304" s="461"/>
    </row>
    <row r="305" ht="15.75" customHeight="1">
      <c r="E305" s="496"/>
      <c r="Q305" s="372"/>
      <c r="R305" s="461"/>
    </row>
    <row r="306" ht="15.75" customHeight="1">
      <c r="E306" s="496"/>
      <c r="Q306" s="372"/>
      <c r="R306" s="461"/>
    </row>
    <row r="307" ht="15.75" customHeight="1">
      <c r="E307" s="496"/>
      <c r="Q307" s="372"/>
      <c r="R307" s="461"/>
    </row>
    <row r="308" ht="15.75" customHeight="1">
      <c r="E308" s="496"/>
      <c r="Q308" s="372"/>
      <c r="R308" s="461"/>
    </row>
    <row r="309" ht="15.75" customHeight="1">
      <c r="E309" s="496"/>
      <c r="Q309" s="372"/>
      <c r="R309" s="461"/>
    </row>
    <row r="310" ht="15.75" customHeight="1">
      <c r="E310" s="496"/>
      <c r="Q310" s="372"/>
      <c r="R310" s="461"/>
    </row>
    <row r="311" ht="15.75" customHeight="1">
      <c r="E311" s="496"/>
      <c r="Q311" s="372"/>
      <c r="R311" s="461"/>
    </row>
    <row r="312" ht="15.75" customHeight="1">
      <c r="E312" s="496"/>
      <c r="Q312" s="372"/>
      <c r="R312" s="461"/>
    </row>
    <row r="313" ht="15.75" customHeight="1">
      <c r="E313" s="496"/>
      <c r="Q313" s="372"/>
      <c r="R313" s="461"/>
    </row>
    <row r="314" ht="15.75" customHeight="1">
      <c r="E314" s="496"/>
      <c r="Q314" s="372"/>
      <c r="R314" s="461"/>
    </row>
    <row r="315" ht="15.75" customHeight="1">
      <c r="E315" s="496"/>
      <c r="Q315" s="372"/>
      <c r="R315" s="461"/>
    </row>
    <row r="316" ht="15.75" customHeight="1">
      <c r="E316" s="496"/>
      <c r="Q316" s="372"/>
      <c r="R316" s="461"/>
    </row>
    <row r="317" ht="15.75" customHeight="1">
      <c r="E317" s="496"/>
      <c r="Q317" s="372"/>
      <c r="R317" s="461"/>
    </row>
    <row r="318" ht="15.75" customHeight="1">
      <c r="E318" s="496"/>
      <c r="Q318" s="372"/>
      <c r="R318" s="461"/>
    </row>
    <row r="319" ht="15.75" customHeight="1">
      <c r="E319" s="496"/>
      <c r="Q319" s="372"/>
      <c r="R319" s="461"/>
    </row>
    <row r="320" ht="15.75" customHeight="1">
      <c r="E320" s="496"/>
      <c r="Q320" s="372"/>
      <c r="R320" s="461"/>
    </row>
    <row r="321" ht="15.75" customHeight="1">
      <c r="E321" s="496"/>
      <c r="Q321" s="372"/>
      <c r="R321" s="461"/>
    </row>
    <row r="322" ht="15.75" customHeight="1">
      <c r="E322" s="496"/>
      <c r="Q322" s="372"/>
      <c r="R322" s="461"/>
    </row>
    <row r="323" ht="15.75" customHeight="1">
      <c r="E323" s="496"/>
      <c r="Q323" s="372"/>
      <c r="R323" s="461"/>
    </row>
    <row r="324" ht="15.75" customHeight="1">
      <c r="E324" s="496"/>
      <c r="Q324" s="372"/>
      <c r="R324" s="461"/>
    </row>
    <row r="325" ht="15.75" customHeight="1">
      <c r="E325" s="496"/>
      <c r="Q325" s="372"/>
      <c r="R325" s="461"/>
    </row>
    <row r="326" ht="15.75" customHeight="1">
      <c r="E326" s="496"/>
      <c r="Q326" s="372"/>
      <c r="R326" s="461"/>
    </row>
    <row r="327" ht="15.75" customHeight="1">
      <c r="E327" s="496"/>
      <c r="Q327" s="372"/>
      <c r="R327" s="461"/>
    </row>
    <row r="328" ht="15.75" customHeight="1">
      <c r="E328" s="496"/>
      <c r="Q328" s="372"/>
      <c r="R328" s="461"/>
    </row>
    <row r="329" ht="15.75" customHeight="1">
      <c r="E329" s="496"/>
      <c r="Q329" s="372"/>
      <c r="R329" s="461"/>
    </row>
    <row r="330" ht="15.75" customHeight="1">
      <c r="E330" s="496"/>
      <c r="Q330" s="372"/>
      <c r="R330" s="461"/>
    </row>
    <row r="331" ht="15.75" customHeight="1">
      <c r="E331" s="496"/>
      <c r="Q331" s="372"/>
      <c r="R331" s="461"/>
    </row>
    <row r="332" ht="15.75" customHeight="1">
      <c r="E332" s="496"/>
      <c r="Q332" s="372"/>
      <c r="R332" s="461"/>
    </row>
    <row r="333" ht="15.75" customHeight="1">
      <c r="E333" s="496"/>
      <c r="Q333" s="372"/>
      <c r="R333" s="461"/>
    </row>
    <row r="334" ht="15.75" customHeight="1">
      <c r="E334" s="496"/>
      <c r="Q334" s="372"/>
      <c r="R334" s="461"/>
    </row>
    <row r="335" ht="15.75" customHeight="1">
      <c r="E335" s="496"/>
      <c r="Q335" s="372"/>
      <c r="R335" s="461"/>
    </row>
    <row r="336" ht="15.75" customHeight="1">
      <c r="E336" s="496"/>
      <c r="Q336" s="372"/>
      <c r="R336" s="461"/>
    </row>
    <row r="337" ht="15.75" customHeight="1">
      <c r="E337" s="496"/>
      <c r="Q337" s="372"/>
      <c r="R337" s="461"/>
    </row>
    <row r="338" ht="15.75" customHeight="1">
      <c r="E338" s="496"/>
      <c r="Q338" s="372"/>
      <c r="R338" s="461"/>
    </row>
    <row r="339" ht="15.75" customHeight="1">
      <c r="E339" s="496"/>
      <c r="Q339" s="372"/>
      <c r="R339" s="461"/>
    </row>
    <row r="340" ht="15.75" customHeight="1">
      <c r="E340" s="496"/>
      <c r="Q340" s="372"/>
      <c r="R340" s="461"/>
    </row>
    <row r="341" ht="15.75" customHeight="1">
      <c r="E341" s="496"/>
      <c r="Q341" s="372"/>
      <c r="R341" s="461"/>
    </row>
    <row r="342" ht="15.75" customHeight="1">
      <c r="E342" s="496"/>
      <c r="Q342" s="372"/>
      <c r="R342" s="461"/>
    </row>
    <row r="343" ht="15.75" customHeight="1">
      <c r="E343" s="496"/>
      <c r="Q343" s="372"/>
      <c r="R343" s="461"/>
    </row>
    <row r="344" ht="15.75" customHeight="1">
      <c r="E344" s="496"/>
      <c r="Q344" s="372"/>
      <c r="R344" s="461"/>
    </row>
    <row r="345" ht="15.75" customHeight="1">
      <c r="E345" s="496"/>
      <c r="Q345" s="372"/>
      <c r="R345" s="461"/>
    </row>
    <row r="346" ht="15.75" customHeight="1">
      <c r="E346" s="496"/>
      <c r="Q346" s="372"/>
      <c r="R346" s="461"/>
    </row>
    <row r="347" ht="15.75" customHeight="1">
      <c r="E347" s="496"/>
      <c r="Q347" s="372"/>
      <c r="R347" s="461"/>
    </row>
    <row r="348" ht="15.75" customHeight="1">
      <c r="E348" s="496"/>
      <c r="Q348" s="372"/>
      <c r="R348" s="461"/>
    </row>
    <row r="349" ht="15.75" customHeight="1">
      <c r="E349" s="496"/>
      <c r="Q349" s="372"/>
      <c r="R349" s="461"/>
    </row>
    <row r="350" ht="15.75" customHeight="1">
      <c r="E350" s="496"/>
      <c r="Q350" s="372"/>
      <c r="R350" s="461"/>
    </row>
    <row r="351" ht="15.75" customHeight="1">
      <c r="E351" s="496"/>
      <c r="Q351" s="372"/>
      <c r="R351" s="461"/>
    </row>
    <row r="352" ht="15.75" customHeight="1">
      <c r="E352" s="496"/>
      <c r="Q352" s="372"/>
      <c r="R352" s="461"/>
    </row>
    <row r="353" ht="15.75" customHeight="1">
      <c r="E353" s="496"/>
      <c r="Q353" s="372"/>
      <c r="R353" s="461"/>
    </row>
    <row r="354" ht="15.75" customHeight="1">
      <c r="E354" s="496"/>
      <c r="Q354" s="372"/>
      <c r="R354" s="461"/>
    </row>
    <row r="355" ht="15.75" customHeight="1">
      <c r="E355" s="496"/>
      <c r="Q355" s="372"/>
      <c r="R355" s="461"/>
    </row>
    <row r="356" ht="15.75" customHeight="1">
      <c r="E356" s="496"/>
      <c r="Q356" s="372"/>
      <c r="R356" s="461"/>
    </row>
    <row r="357" ht="15.75" customHeight="1">
      <c r="E357" s="496"/>
      <c r="Q357" s="372"/>
      <c r="R357" s="461"/>
    </row>
    <row r="358" ht="15.75" customHeight="1">
      <c r="E358" s="496"/>
      <c r="Q358" s="372"/>
      <c r="R358" s="461"/>
    </row>
    <row r="359" ht="15.75" customHeight="1">
      <c r="E359" s="496"/>
      <c r="Q359" s="372"/>
      <c r="R359" s="461"/>
    </row>
    <row r="360" ht="15.75" customHeight="1">
      <c r="E360" s="496"/>
      <c r="Q360" s="372"/>
      <c r="R360" s="461"/>
    </row>
    <row r="361" ht="15.75" customHeight="1">
      <c r="E361" s="496"/>
      <c r="Q361" s="372"/>
      <c r="R361" s="461"/>
    </row>
    <row r="362" ht="15.75" customHeight="1">
      <c r="E362" s="496"/>
      <c r="Q362" s="372"/>
      <c r="R362" s="461"/>
    </row>
    <row r="363" ht="15.75" customHeight="1">
      <c r="E363" s="496"/>
      <c r="Q363" s="372"/>
      <c r="R363" s="461"/>
    </row>
    <row r="364" ht="15.75" customHeight="1">
      <c r="E364" s="496"/>
      <c r="Q364" s="372"/>
      <c r="R364" s="461"/>
    </row>
    <row r="365" ht="15.75" customHeight="1">
      <c r="E365" s="496"/>
      <c r="Q365" s="372"/>
      <c r="R365" s="461"/>
    </row>
    <row r="366" ht="15.75" customHeight="1">
      <c r="E366" s="496"/>
      <c r="Q366" s="372"/>
      <c r="R366" s="461"/>
    </row>
    <row r="367" ht="15.75" customHeight="1">
      <c r="E367" s="496"/>
      <c r="Q367" s="372"/>
      <c r="R367" s="461"/>
    </row>
    <row r="368" ht="15.75" customHeight="1">
      <c r="E368" s="496"/>
      <c r="Q368" s="372"/>
      <c r="R368" s="461"/>
    </row>
    <row r="369" ht="15.75" customHeight="1">
      <c r="E369" s="496"/>
      <c r="Q369" s="372"/>
      <c r="R369" s="461"/>
    </row>
    <row r="370" ht="15.75" customHeight="1">
      <c r="E370" s="496"/>
      <c r="Q370" s="372"/>
      <c r="R370" s="461"/>
    </row>
    <row r="371" ht="15.75" customHeight="1">
      <c r="E371" s="496"/>
      <c r="Q371" s="372"/>
      <c r="R371" s="461"/>
    </row>
    <row r="372" ht="15.75" customHeight="1">
      <c r="E372" s="496"/>
      <c r="Q372" s="372"/>
      <c r="R372" s="461"/>
    </row>
    <row r="373" ht="15.75" customHeight="1">
      <c r="E373" s="496"/>
      <c r="Q373" s="372"/>
      <c r="R373" s="461"/>
    </row>
    <row r="374" ht="15.75" customHeight="1">
      <c r="E374" s="496"/>
      <c r="Q374" s="372"/>
      <c r="R374" s="461"/>
    </row>
    <row r="375" ht="15.75" customHeight="1">
      <c r="E375" s="496"/>
      <c r="Q375" s="372"/>
      <c r="R375" s="461"/>
    </row>
    <row r="376" ht="15.75" customHeight="1">
      <c r="E376" s="496"/>
      <c r="Q376" s="372"/>
      <c r="R376" s="461"/>
    </row>
    <row r="377" ht="15.75" customHeight="1">
      <c r="E377" s="496"/>
      <c r="Q377" s="372"/>
      <c r="R377" s="461"/>
    </row>
    <row r="378" ht="15.75" customHeight="1">
      <c r="E378" s="496"/>
      <c r="Q378" s="372"/>
      <c r="R378" s="461"/>
    </row>
    <row r="379" ht="15.75" customHeight="1">
      <c r="E379" s="496"/>
      <c r="Q379" s="372"/>
      <c r="R379" s="461"/>
    </row>
    <row r="380" ht="15.75" customHeight="1">
      <c r="E380" s="496"/>
      <c r="Q380" s="372"/>
      <c r="R380" s="461"/>
    </row>
    <row r="381" ht="15.75" customHeight="1">
      <c r="E381" s="496"/>
      <c r="Q381" s="372"/>
      <c r="R381" s="461"/>
    </row>
    <row r="382" ht="15.75" customHeight="1">
      <c r="E382" s="496"/>
      <c r="Q382" s="372"/>
      <c r="R382" s="461"/>
    </row>
    <row r="383" ht="15.75" customHeight="1">
      <c r="E383" s="496"/>
      <c r="Q383" s="372"/>
      <c r="R383" s="461"/>
    </row>
    <row r="384" ht="15.75" customHeight="1">
      <c r="E384" s="496"/>
      <c r="Q384" s="372"/>
      <c r="R384" s="461"/>
    </row>
    <row r="385" ht="15.75" customHeight="1">
      <c r="E385" s="496"/>
      <c r="Q385" s="372"/>
      <c r="R385" s="461"/>
    </row>
    <row r="386" ht="15.75" customHeight="1">
      <c r="E386" s="496"/>
      <c r="Q386" s="372"/>
      <c r="R386" s="461"/>
    </row>
    <row r="387" ht="15.75" customHeight="1">
      <c r="E387" s="496"/>
      <c r="Q387" s="372"/>
      <c r="R387" s="461"/>
    </row>
    <row r="388" ht="15.75" customHeight="1">
      <c r="E388" s="496"/>
      <c r="Q388" s="372"/>
      <c r="R388" s="461"/>
    </row>
    <row r="389" ht="15.75" customHeight="1">
      <c r="E389" s="496"/>
      <c r="Q389" s="372"/>
      <c r="R389" s="461"/>
    </row>
    <row r="390" ht="15.75" customHeight="1">
      <c r="E390" s="496"/>
      <c r="Q390" s="372"/>
      <c r="R390" s="461"/>
    </row>
    <row r="391" ht="15.75" customHeight="1">
      <c r="E391" s="496"/>
      <c r="Q391" s="372"/>
      <c r="R391" s="461"/>
    </row>
    <row r="392" ht="15.75" customHeight="1">
      <c r="E392" s="496"/>
      <c r="Q392" s="372"/>
      <c r="R392" s="461"/>
    </row>
    <row r="393" ht="15.75" customHeight="1">
      <c r="E393" s="496"/>
      <c r="Q393" s="372"/>
      <c r="R393" s="461"/>
    </row>
    <row r="394" ht="15.75" customHeight="1">
      <c r="E394" s="496"/>
      <c r="Q394" s="372"/>
      <c r="R394" s="461"/>
    </row>
    <row r="395" ht="15.75" customHeight="1">
      <c r="E395" s="496"/>
      <c r="Q395" s="372"/>
      <c r="R395" s="461"/>
    </row>
    <row r="396" ht="15.75" customHeight="1">
      <c r="E396" s="496"/>
      <c r="Q396" s="372"/>
      <c r="R396" s="461"/>
    </row>
    <row r="397" ht="15.75" customHeight="1">
      <c r="E397" s="496"/>
      <c r="Q397" s="372"/>
      <c r="R397" s="461"/>
    </row>
    <row r="398" ht="15.75" customHeight="1">
      <c r="E398" s="496"/>
      <c r="Q398" s="372"/>
      <c r="R398" s="461"/>
    </row>
    <row r="399" ht="15.75" customHeight="1">
      <c r="E399" s="496"/>
      <c r="Q399" s="372"/>
      <c r="R399" s="461"/>
    </row>
    <row r="400" ht="15.75" customHeight="1">
      <c r="E400" s="496"/>
      <c r="Q400" s="372"/>
      <c r="R400" s="461"/>
    </row>
    <row r="401" ht="15.75" customHeight="1">
      <c r="E401" s="496"/>
      <c r="Q401" s="372"/>
      <c r="R401" s="461"/>
    </row>
    <row r="402" ht="15.75" customHeight="1">
      <c r="E402" s="496"/>
      <c r="Q402" s="372"/>
      <c r="R402" s="461"/>
    </row>
    <row r="403" ht="15.75" customHeight="1">
      <c r="E403" s="496"/>
      <c r="Q403" s="372"/>
      <c r="R403" s="461"/>
    </row>
    <row r="404" ht="15.75" customHeight="1">
      <c r="E404" s="496"/>
      <c r="Q404" s="372"/>
      <c r="R404" s="461"/>
    </row>
    <row r="405" ht="15.75" customHeight="1">
      <c r="E405" s="496"/>
      <c r="Q405" s="372"/>
      <c r="R405" s="461"/>
    </row>
    <row r="406" ht="15.75" customHeight="1">
      <c r="E406" s="496"/>
      <c r="Q406" s="372"/>
      <c r="R406" s="461"/>
    </row>
    <row r="407" ht="15.75" customHeight="1">
      <c r="E407" s="496"/>
      <c r="Q407" s="372"/>
      <c r="R407" s="461"/>
    </row>
    <row r="408" ht="15.75" customHeight="1">
      <c r="E408" s="496"/>
      <c r="Q408" s="372"/>
      <c r="R408" s="461"/>
    </row>
    <row r="409" ht="15.75" customHeight="1">
      <c r="E409" s="496"/>
      <c r="Q409" s="372"/>
      <c r="R409" s="461"/>
    </row>
    <row r="410" ht="15.75" customHeight="1">
      <c r="E410" s="496"/>
      <c r="Q410" s="372"/>
      <c r="R410" s="461"/>
    </row>
    <row r="411" ht="15.75" customHeight="1">
      <c r="E411" s="496"/>
      <c r="Q411" s="372"/>
      <c r="R411" s="461"/>
    </row>
    <row r="412" ht="15.75" customHeight="1">
      <c r="E412" s="496"/>
      <c r="Q412" s="372"/>
      <c r="R412" s="461"/>
    </row>
    <row r="413" ht="15.75" customHeight="1">
      <c r="E413" s="496"/>
      <c r="Q413" s="372"/>
      <c r="R413" s="461"/>
    </row>
    <row r="414" ht="15.75" customHeight="1">
      <c r="E414" s="496"/>
      <c r="Q414" s="372"/>
      <c r="R414" s="461"/>
    </row>
    <row r="415" ht="15.75" customHeight="1">
      <c r="E415" s="496"/>
      <c r="Q415" s="372"/>
      <c r="R415" s="461"/>
    </row>
    <row r="416" ht="15.75" customHeight="1">
      <c r="E416" s="496"/>
      <c r="Q416" s="372"/>
      <c r="R416" s="461"/>
    </row>
    <row r="417" ht="15.75" customHeight="1">
      <c r="E417" s="496"/>
      <c r="Q417" s="372"/>
      <c r="R417" s="461"/>
    </row>
    <row r="418" ht="15.75" customHeight="1">
      <c r="E418" s="496"/>
      <c r="Q418" s="372"/>
      <c r="R418" s="461"/>
    </row>
    <row r="419" ht="15.75" customHeight="1">
      <c r="E419" s="496"/>
      <c r="Q419" s="372"/>
      <c r="R419" s="461"/>
    </row>
    <row r="420" ht="15.75" customHeight="1">
      <c r="E420" s="496"/>
      <c r="Q420" s="372"/>
      <c r="R420" s="461"/>
    </row>
    <row r="421" ht="15.75" customHeight="1">
      <c r="E421" s="496"/>
      <c r="Q421" s="372"/>
      <c r="R421" s="461"/>
    </row>
    <row r="422" ht="15.75" customHeight="1">
      <c r="E422" s="496"/>
      <c r="Q422" s="372"/>
      <c r="R422" s="461"/>
    </row>
    <row r="423" ht="15.75" customHeight="1">
      <c r="E423" s="496"/>
      <c r="Q423" s="372"/>
      <c r="R423" s="461"/>
    </row>
    <row r="424" ht="15.75" customHeight="1">
      <c r="E424" s="496"/>
      <c r="Q424" s="372"/>
      <c r="R424" s="461"/>
    </row>
    <row r="425" ht="15.75" customHeight="1">
      <c r="E425" s="496"/>
      <c r="Q425" s="372"/>
      <c r="R425" s="461"/>
    </row>
    <row r="426" ht="15.75" customHeight="1">
      <c r="E426" s="496"/>
      <c r="Q426" s="372"/>
      <c r="R426" s="461"/>
    </row>
    <row r="427" ht="15.75" customHeight="1">
      <c r="E427" s="496"/>
      <c r="Q427" s="372"/>
      <c r="R427" s="461"/>
    </row>
    <row r="428" ht="15.75" customHeight="1">
      <c r="E428" s="496"/>
      <c r="Q428" s="372"/>
      <c r="R428" s="461"/>
    </row>
    <row r="429" ht="15.75" customHeight="1">
      <c r="E429" s="496"/>
      <c r="Q429" s="372"/>
      <c r="R429" s="461"/>
    </row>
    <row r="430" ht="15.75" customHeight="1">
      <c r="E430" s="496"/>
      <c r="Q430" s="372"/>
      <c r="R430" s="461"/>
    </row>
    <row r="431" ht="15.75" customHeight="1">
      <c r="E431" s="496"/>
      <c r="Q431" s="372"/>
      <c r="R431" s="461"/>
    </row>
    <row r="432" ht="15.75" customHeight="1">
      <c r="E432" s="496"/>
      <c r="Q432" s="372"/>
      <c r="R432" s="461"/>
    </row>
    <row r="433" ht="15.75" customHeight="1">
      <c r="E433" s="496"/>
      <c r="Q433" s="372"/>
      <c r="R433" s="461"/>
    </row>
    <row r="434" ht="15.75" customHeight="1">
      <c r="E434" s="496"/>
      <c r="Q434" s="372"/>
      <c r="R434" s="461"/>
    </row>
    <row r="435" ht="15.75" customHeight="1">
      <c r="E435" s="496"/>
      <c r="Q435" s="372"/>
      <c r="R435" s="461"/>
    </row>
    <row r="436" ht="15.75" customHeight="1">
      <c r="E436" s="496"/>
      <c r="Q436" s="372"/>
      <c r="R436" s="461"/>
    </row>
    <row r="437" ht="15.75" customHeight="1">
      <c r="E437" s="496"/>
      <c r="Q437" s="372"/>
      <c r="R437" s="461"/>
    </row>
    <row r="438" ht="15.75" customHeight="1">
      <c r="E438" s="496"/>
      <c r="Q438" s="372"/>
      <c r="R438" s="461"/>
    </row>
    <row r="439" ht="15.75" customHeight="1">
      <c r="E439" s="496"/>
      <c r="Q439" s="372"/>
      <c r="R439" s="461"/>
    </row>
    <row r="440" ht="15.75" customHeight="1">
      <c r="E440" s="496"/>
      <c r="Q440" s="372"/>
      <c r="R440" s="461"/>
    </row>
    <row r="441" ht="15.75" customHeight="1">
      <c r="E441" s="496"/>
      <c r="Q441" s="372"/>
      <c r="R441" s="461"/>
    </row>
    <row r="442" ht="15.75" customHeight="1">
      <c r="E442" s="496"/>
      <c r="Q442" s="372"/>
      <c r="R442" s="461"/>
    </row>
    <row r="443" ht="15.75" customHeight="1">
      <c r="E443" s="496"/>
      <c r="Q443" s="372"/>
      <c r="R443" s="461"/>
    </row>
    <row r="444" ht="15.75" customHeight="1">
      <c r="E444" s="496"/>
      <c r="Q444" s="372"/>
      <c r="R444" s="461"/>
    </row>
    <row r="445" ht="15.75" customHeight="1">
      <c r="E445" s="496"/>
      <c r="Q445" s="372"/>
      <c r="R445" s="461"/>
    </row>
    <row r="446" ht="15.75" customHeight="1">
      <c r="E446" s="496"/>
      <c r="Q446" s="372"/>
      <c r="R446" s="461"/>
    </row>
    <row r="447" ht="15.75" customHeight="1">
      <c r="E447" s="496"/>
      <c r="Q447" s="372"/>
      <c r="R447" s="461"/>
    </row>
    <row r="448" ht="15.75" customHeight="1">
      <c r="E448" s="496"/>
      <c r="Q448" s="372"/>
      <c r="R448" s="461"/>
    </row>
    <row r="449" ht="15.75" customHeight="1">
      <c r="E449" s="496"/>
      <c r="Q449" s="372"/>
      <c r="R449" s="461"/>
    </row>
    <row r="450" ht="15.75" customHeight="1">
      <c r="E450" s="496"/>
      <c r="Q450" s="372"/>
      <c r="R450" s="461"/>
    </row>
    <row r="451" ht="15.75" customHeight="1">
      <c r="E451" s="496"/>
      <c r="Q451" s="372"/>
      <c r="R451" s="461"/>
    </row>
    <row r="452" ht="15.75" customHeight="1">
      <c r="E452" s="496"/>
      <c r="Q452" s="372"/>
      <c r="R452" s="461"/>
    </row>
    <row r="453" ht="15.75" customHeight="1">
      <c r="E453" s="496"/>
      <c r="Q453" s="372"/>
      <c r="R453" s="461"/>
    </row>
    <row r="454" ht="15.75" customHeight="1">
      <c r="E454" s="496"/>
      <c r="Q454" s="372"/>
      <c r="R454" s="461"/>
    </row>
    <row r="455" ht="15.75" customHeight="1">
      <c r="E455" s="496"/>
      <c r="Q455" s="372"/>
      <c r="R455" s="461"/>
    </row>
    <row r="456" ht="15.75" customHeight="1">
      <c r="E456" s="496"/>
      <c r="Q456" s="372"/>
      <c r="R456" s="461"/>
    </row>
    <row r="457" ht="15.75" customHeight="1">
      <c r="E457" s="496"/>
      <c r="Q457" s="372"/>
      <c r="R457" s="461"/>
    </row>
    <row r="458" ht="15.75" customHeight="1">
      <c r="E458" s="496"/>
      <c r="Q458" s="372"/>
      <c r="R458" s="461"/>
    </row>
    <row r="459" ht="15.75" customHeight="1">
      <c r="E459" s="496"/>
      <c r="Q459" s="372"/>
      <c r="R459" s="461"/>
    </row>
    <row r="460" ht="15.75" customHeight="1">
      <c r="E460" s="496"/>
      <c r="Q460" s="372"/>
      <c r="R460" s="461"/>
    </row>
    <row r="461" ht="15.75" customHeight="1">
      <c r="E461" s="496"/>
      <c r="Q461" s="372"/>
      <c r="R461" s="461"/>
    </row>
    <row r="462" ht="15.75" customHeight="1">
      <c r="E462" s="496"/>
      <c r="Q462" s="372"/>
      <c r="R462" s="461"/>
    </row>
    <row r="463" ht="15.75" customHeight="1">
      <c r="E463" s="496"/>
      <c r="Q463" s="372"/>
      <c r="R463" s="461"/>
    </row>
    <row r="464" ht="15.75" customHeight="1">
      <c r="E464" s="496"/>
      <c r="Q464" s="372"/>
      <c r="R464" s="461"/>
    </row>
    <row r="465" ht="15.75" customHeight="1">
      <c r="E465" s="496"/>
      <c r="Q465" s="372"/>
      <c r="R465" s="461"/>
    </row>
    <row r="466" ht="15.75" customHeight="1">
      <c r="E466" s="496"/>
      <c r="Q466" s="372"/>
      <c r="R466" s="461"/>
    </row>
    <row r="467" ht="15.75" customHeight="1">
      <c r="E467" s="496"/>
      <c r="Q467" s="372"/>
      <c r="R467" s="461"/>
    </row>
    <row r="468" ht="15.75" customHeight="1">
      <c r="E468" s="496"/>
      <c r="Q468" s="372"/>
      <c r="R468" s="461"/>
    </row>
    <row r="469" ht="15.75" customHeight="1">
      <c r="E469" s="496"/>
      <c r="Q469" s="372"/>
      <c r="R469" s="461"/>
    </row>
    <row r="470" ht="15.75" customHeight="1">
      <c r="E470" s="496"/>
      <c r="Q470" s="372"/>
      <c r="R470" s="461"/>
    </row>
    <row r="471" ht="15.75" customHeight="1">
      <c r="E471" s="496"/>
      <c r="Q471" s="372"/>
      <c r="R471" s="461"/>
    </row>
    <row r="472" ht="15.75" customHeight="1">
      <c r="E472" s="496"/>
      <c r="Q472" s="372"/>
      <c r="R472" s="461"/>
    </row>
    <row r="473" ht="15.75" customHeight="1">
      <c r="E473" s="496"/>
      <c r="Q473" s="372"/>
      <c r="R473" s="461"/>
    </row>
    <row r="474" ht="15.75" customHeight="1">
      <c r="E474" s="496"/>
      <c r="Q474" s="372"/>
      <c r="R474" s="461"/>
    </row>
    <row r="475" ht="15.75" customHeight="1">
      <c r="E475" s="496"/>
      <c r="Q475" s="372"/>
      <c r="R475" s="461"/>
    </row>
    <row r="476" ht="15.75" customHeight="1">
      <c r="E476" s="496"/>
      <c r="Q476" s="372"/>
      <c r="R476" s="461"/>
    </row>
    <row r="477" ht="15.75" customHeight="1">
      <c r="E477" s="496"/>
      <c r="Q477" s="372"/>
      <c r="R477" s="461"/>
    </row>
    <row r="478" ht="15.75" customHeight="1">
      <c r="E478" s="496"/>
      <c r="Q478" s="372"/>
      <c r="R478" s="461"/>
    </row>
    <row r="479" ht="15.75" customHeight="1">
      <c r="E479" s="496"/>
      <c r="Q479" s="372"/>
      <c r="R479" s="461"/>
    </row>
    <row r="480" ht="15.75" customHeight="1">
      <c r="E480" s="496"/>
      <c r="Q480" s="372"/>
      <c r="R480" s="461"/>
    </row>
    <row r="481" ht="15.75" customHeight="1">
      <c r="E481" s="496"/>
      <c r="Q481" s="372"/>
      <c r="R481" s="461"/>
    </row>
    <row r="482" ht="15.75" customHeight="1">
      <c r="E482" s="496"/>
      <c r="Q482" s="372"/>
      <c r="R482" s="461"/>
    </row>
    <row r="483" ht="15.75" customHeight="1">
      <c r="E483" s="496"/>
      <c r="Q483" s="372"/>
      <c r="R483" s="461"/>
    </row>
    <row r="484" ht="15.75" customHeight="1">
      <c r="E484" s="496"/>
      <c r="Q484" s="372"/>
      <c r="R484" s="461"/>
    </row>
    <row r="485" ht="15.75" customHeight="1">
      <c r="E485" s="496"/>
      <c r="Q485" s="372"/>
      <c r="R485" s="461"/>
    </row>
    <row r="486" ht="15.75" customHeight="1">
      <c r="E486" s="496"/>
      <c r="Q486" s="372"/>
      <c r="R486" s="461"/>
    </row>
    <row r="487" ht="15.75" customHeight="1">
      <c r="E487" s="496"/>
      <c r="Q487" s="372"/>
      <c r="R487" s="461"/>
    </row>
    <row r="488" ht="15.75" customHeight="1">
      <c r="E488" s="496"/>
      <c r="Q488" s="372"/>
      <c r="R488" s="461"/>
    </row>
    <row r="489" ht="15.75" customHeight="1">
      <c r="E489" s="496"/>
      <c r="Q489" s="372"/>
      <c r="R489" s="461"/>
    </row>
    <row r="490" ht="15.75" customHeight="1">
      <c r="E490" s="496"/>
      <c r="Q490" s="372"/>
      <c r="R490" s="461"/>
    </row>
    <row r="491" ht="15.75" customHeight="1">
      <c r="E491" s="496"/>
      <c r="Q491" s="372"/>
      <c r="R491" s="461"/>
    </row>
    <row r="492" ht="15.75" customHeight="1">
      <c r="E492" s="496"/>
      <c r="Q492" s="372"/>
      <c r="R492" s="461"/>
    </row>
    <row r="493" ht="15.75" customHeight="1">
      <c r="E493" s="496"/>
      <c r="Q493" s="372"/>
      <c r="R493" s="461"/>
    </row>
    <row r="494" ht="15.75" customHeight="1">
      <c r="E494" s="496"/>
      <c r="Q494" s="372"/>
      <c r="R494" s="461"/>
    </row>
    <row r="495" ht="15.75" customHeight="1">
      <c r="E495" s="496"/>
      <c r="Q495" s="372"/>
      <c r="R495" s="461"/>
    </row>
    <row r="496" ht="15.75" customHeight="1">
      <c r="E496" s="496"/>
      <c r="Q496" s="372"/>
      <c r="R496" s="461"/>
    </row>
    <row r="497" ht="15.75" customHeight="1">
      <c r="E497" s="496"/>
      <c r="Q497" s="372"/>
      <c r="R497" s="461"/>
    </row>
    <row r="498" ht="15.75" customHeight="1">
      <c r="E498" s="496"/>
      <c r="Q498" s="372"/>
      <c r="R498" s="461"/>
    </row>
    <row r="499" ht="15.75" customHeight="1">
      <c r="E499" s="496"/>
      <c r="Q499" s="372"/>
      <c r="R499" s="461"/>
    </row>
    <row r="500" ht="15.75" customHeight="1">
      <c r="E500" s="496"/>
      <c r="Q500" s="372"/>
      <c r="R500" s="461"/>
    </row>
    <row r="501" ht="15.75" customHeight="1">
      <c r="E501" s="496"/>
      <c r="Q501" s="372"/>
      <c r="R501" s="461"/>
    </row>
    <row r="502" ht="15.75" customHeight="1">
      <c r="E502" s="496"/>
      <c r="Q502" s="372"/>
      <c r="R502" s="461"/>
    </row>
    <row r="503" ht="15.75" customHeight="1">
      <c r="E503" s="496"/>
      <c r="Q503" s="372"/>
      <c r="R503" s="461"/>
    </row>
    <row r="504" ht="15.75" customHeight="1">
      <c r="E504" s="496"/>
      <c r="Q504" s="372"/>
      <c r="R504" s="461"/>
    </row>
    <row r="505" ht="15.75" customHeight="1">
      <c r="E505" s="496"/>
      <c r="Q505" s="372"/>
      <c r="R505" s="461"/>
    </row>
    <row r="506" ht="15.75" customHeight="1">
      <c r="E506" s="496"/>
      <c r="Q506" s="372"/>
      <c r="R506" s="461"/>
    </row>
    <row r="507" ht="15.75" customHeight="1">
      <c r="E507" s="496"/>
      <c r="Q507" s="372"/>
      <c r="R507" s="461"/>
    </row>
    <row r="508" ht="15.75" customHeight="1">
      <c r="E508" s="496"/>
      <c r="Q508" s="372"/>
      <c r="R508" s="461"/>
    </row>
    <row r="509" ht="15.75" customHeight="1">
      <c r="E509" s="496"/>
      <c r="Q509" s="372"/>
      <c r="R509" s="461"/>
    </row>
    <row r="510" ht="15.75" customHeight="1">
      <c r="E510" s="496"/>
      <c r="Q510" s="372"/>
      <c r="R510" s="461"/>
    </row>
    <row r="511" ht="15.75" customHeight="1">
      <c r="E511" s="496"/>
      <c r="Q511" s="372"/>
      <c r="R511" s="461"/>
    </row>
    <row r="512" ht="15.75" customHeight="1">
      <c r="E512" s="496"/>
      <c r="Q512" s="372"/>
      <c r="R512" s="461"/>
    </row>
    <row r="513" ht="15.75" customHeight="1">
      <c r="E513" s="496"/>
      <c r="Q513" s="372"/>
      <c r="R513" s="461"/>
    </row>
    <row r="514" ht="15.75" customHeight="1">
      <c r="E514" s="496"/>
      <c r="Q514" s="372"/>
      <c r="R514" s="461"/>
    </row>
    <row r="515" ht="15.75" customHeight="1">
      <c r="E515" s="496"/>
      <c r="Q515" s="372"/>
      <c r="R515" s="461"/>
    </row>
    <row r="516" ht="15.75" customHeight="1">
      <c r="E516" s="496"/>
      <c r="Q516" s="372"/>
      <c r="R516" s="461"/>
    </row>
    <row r="517" ht="15.75" customHeight="1">
      <c r="E517" s="496"/>
      <c r="Q517" s="372"/>
      <c r="R517" s="461"/>
    </row>
    <row r="518" ht="15.75" customHeight="1">
      <c r="E518" s="496"/>
      <c r="Q518" s="372"/>
      <c r="R518" s="461"/>
    </row>
    <row r="519" ht="15.75" customHeight="1">
      <c r="E519" s="496"/>
      <c r="Q519" s="372"/>
      <c r="R519" s="461"/>
    </row>
    <row r="520" ht="15.75" customHeight="1">
      <c r="E520" s="496"/>
      <c r="Q520" s="372"/>
      <c r="R520" s="461"/>
    </row>
    <row r="521" ht="15.75" customHeight="1">
      <c r="E521" s="496"/>
      <c r="Q521" s="372"/>
      <c r="R521" s="461"/>
    </row>
    <row r="522" ht="15.75" customHeight="1">
      <c r="E522" s="496"/>
      <c r="Q522" s="372"/>
      <c r="R522" s="461"/>
    </row>
    <row r="523" ht="15.75" customHeight="1">
      <c r="E523" s="496"/>
      <c r="Q523" s="372"/>
      <c r="R523" s="461"/>
    </row>
    <row r="524" ht="15.75" customHeight="1">
      <c r="E524" s="496"/>
      <c r="Q524" s="372"/>
      <c r="R524" s="461"/>
    </row>
    <row r="525" ht="15.75" customHeight="1">
      <c r="E525" s="496"/>
      <c r="Q525" s="372"/>
      <c r="R525" s="461"/>
    </row>
    <row r="526" ht="15.75" customHeight="1">
      <c r="E526" s="496"/>
      <c r="Q526" s="372"/>
      <c r="R526" s="461"/>
    </row>
    <row r="527" ht="15.75" customHeight="1">
      <c r="E527" s="496"/>
      <c r="Q527" s="372"/>
      <c r="R527" s="461"/>
    </row>
    <row r="528" ht="15.75" customHeight="1">
      <c r="E528" s="496"/>
      <c r="Q528" s="372"/>
      <c r="R528" s="461"/>
    </row>
    <row r="529" ht="15.75" customHeight="1">
      <c r="E529" s="496"/>
      <c r="Q529" s="372"/>
      <c r="R529" s="461"/>
    </row>
    <row r="530" ht="15.75" customHeight="1">
      <c r="E530" s="496"/>
      <c r="Q530" s="372"/>
      <c r="R530" s="461"/>
    </row>
    <row r="531" ht="15.75" customHeight="1">
      <c r="E531" s="496"/>
      <c r="Q531" s="372"/>
      <c r="R531" s="461"/>
    </row>
    <row r="532" ht="15.75" customHeight="1">
      <c r="E532" s="496"/>
      <c r="Q532" s="372"/>
      <c r="R532" s="461"/>
    </row>
    <row r="533" ht="15.75" customHeight="1">
      <c r="E533" s="496"/>
      <c r="Q533" s="372"/>
      <c r="R533" s="461"/>
    </row>
    <row r="534" ht="15.75" customHeight="1">
      <c r="E534" s="496"/>
      <c r="Q534" s="372"/>
      <c r="R534" s="461"/>
    </row>
    <row r="535" ht="15.75" customHeight="1">
      <c r="E535" s="496"/>
      <c r="Q535" s="372"/>
      <c r="R535" s="461"/>
    </row>
    <row r="536" ht="15.75" customHeight="1">
      <c r="E536" s="496"/>
      <c r="Q536" s="372"/>
      <c r="R536" s="461"/>
    </row>
    <row r="537" ht="15.75" customHeight="1">
      <c r="E537" s="496"/>
      <c r="Q537" s="372"/>
      <c r="R537" s="461"/>
    </row>
    <row r="538" ht="15.75" customHeight="1">
      <c r="E538" s="496"/>
      <c r="Q538" s="372"/>
      <c r="R538" s="461"/>
    </row>
    <row r="539" ht="15.75" customHeight="1">
      <c r="E539" s="496"/>
      <c r="Q539" s="372"/>
      <c r="R539" s="461"/>
    </row>
    <row r="540" ht="15.75" customHeight="1">
      <c r="E540" s="496"/>
      <c r="Q540" s="372"/>
      <c r="R540" s="461"/>
    </row>
    <row r="541" ht="15.75" customHeight="1">
      <c r="E541" s="496"/>
      <c r="Q541" s="372"/>
      <c r="R541" s="461"/>
    </row>
    <row r="542" ht="15.75" customHeight="1">
      <c r="E542" s="496"/>
      <c r="Q542" s="372"/>
      <c r="R542" s="461"/>
    </row>
    <row r="543" ht="15.75" customHeight="1">
      <c r="E543" s="496"/>
      <c r="Q543" s="372"/>
      <c r="R543" s="461"/>
    </row>
    <row r="544" ht="15.75" customHeight="1">
      <c r="E544" s="496"/>
      <c r="Q544" s="372"/>
      <c r="R544" s="461"/>
    </row>
    <row r="545" ht="15.75" customHeight="1">
      <c r="E545" s="496"/>
      <c r="Q545" s="372"/>
      <c r="R545" s="461"/>
    </row>
    <row r="546" ht="15.75" customHeight="1">
      <c r="E546" s="496"/>
      <c r="Q546" s="372"/>
      <c r="R546" s="461"/>
    </row>
    <row r="547" ht="15.75" customHeight="1">
      <c r="E547" s="496"/>
      <c r="Q547" s="372"/>
      <c r="R547" s="461"/>
    </row>
    <row r="548" ht="15.75" customHeight="1">
      <c r="E548" s="496"/>
      <c r="Q548" s="372"/>
      <c r="R548" s="461"/>
    </row>
    <row r="549" ht="15.75" customHeight="1">
      <c r="E549" s="496"/>
      <c r="Q549" s="372"/>
      <c r="R549" s="461"/>
    </row>
    <row r="550" ht="15.75" customHeight="1">
      <c r="E550" s="496"/>
      <c r="Q550" s="372"/>
      <c r="R550" s="461"/>
    </row>
    <row r="551" ht="15.75" customHeight="1">
      <c r="E551" s="496"/>
      <c r="Q551" s="372"/>
      <c r="R551" s="461"/>
    </row>
    <row r="552" ht="15.75" customHeight="1">
      <c r="E552" s="496"/>
      <c r="Q552" s="372"/>
      <c r="R552" s="461"/>
    </row>
    <row r="553" ht="15.75" customHeight="1">
      <c r="E553" s="496"/>
      <c r="Q553" s="372"/>
      <c r="R553" s="461"/>
    </row>
    <row r="554" ht="15.75" customHeight="1">
      <c r="E554" s="496"/>
      <c r="Q554" s="372"/>
      <c r="R554" s="461"/>
    </row>
    <row r="555" ht="15.75" customHeight="1">
      <c r="E555" s="496"/>
      <c r="Q555" s="372"/>
      <c r="R555" s="461"/>
    </row>
    <row r="556" ht="15.75" customHeight="1">
      <c r="E556" s="496"/>
      <c r="Q556" s="372"/>
      <c r="R556" s="461"/>
    </row>
    <row r="557" ht="15.75" customHeight="1">
      <c r="E557" s="496"/>
      <c r="Q557" s="372"/>
      <c r="R557" s="461"/>
    </row>
    <row r="558" ht="15.75" customHeight="1">
      <c r="E558" s="496"/>
      <c r="Q558" s="372"/>
      <c r="R558" s="461"/>
    </row>
    <row r="559" ht="15.75" customHeight="1">
      <c r="E559" s="496"/>
      <c r="Q559" s="372"/>
      <c r="R559" s="461"/>
    </row>
    <row r="560" ht="15.75" customHeight="1">
      <c r="E560" s="496"/>
      <c r="Q560" s="372"/>
      <c r="R560" s="461"/>
    </row>
    <row r="561" ht="15.75" customHeight="1">
      <c r="E561" s="496"/>
      <c r="Q561" s="372"/>
      <c r="R561" s="461"/>
    </row>
    <row r="562" ht="15.75" customHeight="1">
      <c r="E562" s="496"/>
      <c r="Q562" s="372"/>
      <c r="R562" s="461"/>
    </row>
    <row r="563" ht="15.75" customHeight="1">
      <c r="E563" s="496"/>
      <c r="Q563" s="372"/>
      <c r="R563" s="461"/>
    </row>
    <row r="564" ht="15.75" customHeight="1">
      <c r="E564" s="496"/>
      <c r="Q564" s="372"/>
      <c r="R564" s="461"/>
    </row>
    <row r="565" ht="15.75" customHeight="1">
      <c r="E565" s="496"/>
      <c r="Q565" s="372"/>
      <c r="R565" s="461"/>
    </row>
    <row r="566" ht="15.75" customHeight="1">
      <c r="E566" s="496"/>
      <c r="Q566" s="372"/>
      <c r="R566" s="461"/>
    </row>
    <row r="567" ht="15.75" customHeight="1">
      <c r="E567" s="496"/>
      <c r="Q567" s="372"/>
      <c r="R567" s="461"/>
    </row>
    <row r="568" ht="15.75" customHeight="1">
      <c r="E568" s="496"/>
      <c r="Q568" s="372"/>
      <c r="R568" s="461"/>
    </row>
    <row r="569" ht="15.75" customHeight="1">
      <c r="E569" s="496"/>
      <c r="Q569" s="372"/>
      <c r="R569" s="461"/>
    </row>
    <row r="570" ht="15.75" customHeight="1">
      <c r="E570" s="496"/>
      <c r="Q570" s="372"/>
      <c r="R570" s="461"/>
    </row>
    <row r="571" ht="15.75" customHeight="1">
      <c r="E571" s="496"/>
      <c r="Q571" s="372"/>
      <c r="R571" s="461"/>
    </row>
    <row r="572" ht="15.75" customHeight="1">
      <c r="E572" s="496"/>
      <c r="Q572" s="372"/>
      <c r="R572" s="461"/>
    </row>
    <row r="573" ht="15.75" customHeight="1">
      <c r="E573" s="496"/>
      <c r="Q573" s="372"/>
      <c r="R573" s="461"/>
    </row>
    <row r="574" ht="15.75" customHeight="1">
      <c r="E574" s="496"/>
      <c r="Q574" s="372"/>
      <c r="R574" s="461"/>
    </row>
    <row r="575" ht="15.75" customHeight="1">
      <c r="E575" s="496"/>
      <c r="Q575" s="372"/>
      <c r="R575" s="461"/>
    </row>
    <row r="576" ht="15.75" customHeight="1">
      <c r="E576" s="496"/>
      <c r="Q576" s="372"/>
      <c r="R576" s="461"/>
    </row>
    <row r="577" ht="15.75" customHeight="1">
      <c r="E577" s="496"/>
      <c r="Q577" s="372"/>
      <c r="R577" s="461"/>
    </row>
    <row r="578" ht="15.75" customHeight="1">
      <c r="E578" s="496"/>
      <c r="Q578" s="372"/>
      <c r="R578" s="461"/>
    </row>
    <row r="579" ht="15.75" customHeight="1">
      <c r="E579" s="496"/>
      <c r="Q579" s="372"/>
      <c r="R579" s="461"/>
    </row>
    <row r="580" ht="15.75" customHeight="1">
      <c r="E580" s="496"/>
      <c r="Q580" s="372"/>
      <c r="R580" s="461"/>
    </row>
    <row r="581" ht="15.75" customHeight="1">
      <c r="E581" s="496"/>
      <c r="Q581" s="372"/>
      <c r="R581" s="461"/>
    </row>
    <row r="582" ht="15.75" customHeight="1">
      <c r="E582" s="496"/>
      <c r="Q582" s="372"/>
      <c r="R582" s="461"/>
    </row>
    <row r="583" ht="15.75" customHeight="1">
      <c r="E583" s="496"/>
      <c r="Q583" s="372"/>
      <c r="R583" s="461"/>
    </row>
    <row r="584" ht="15.75" customHeight="1">
      <c r="E584" s="496"/>
      <c r="Q584" s="372"/>
      <c r="R584" s="461"/>
    </row>
    <row r="585" ht="15.75" customHeight="1">
      <c r="E585" s="496"/>
      <c r="Q585" s="372"/>
      <c r="R585" s="461"/>
    </row>
    <row r="586" ht="15.75" customHeight="1">
      <c r="E586" s="496"/>
      <c r="Q586" s="372"/>
      <c r="R586" s="461"/>
    </row>
    <row r="587" ht="15.75" customHeight="1">
      <c r="E587" s="496"/>
      <c r="Q587" s="372"/>
      <c r="R587" s="461"/>
    </row>
    <row r="588" ht="15.75" customHeight="1">
      <c r="E588" s="496"/>
      <c r="Q588" s="372"/>
      <c r="R588" s="461"/>
    </row>
    <row r="589" ht="15.75" customHeight="1">
      <c r="E589" s="496"/>
      <c r="Q589" s="372"/>
      <c r="R589" s="461"/>
    </row>
    <row r="590" ht="15.75" customHeight="1">
      <c r="E590" s="496"/>
      <c r="Q590" s="372"/>
      <c r="R590" s="461"/>
    </row>
    <row r="591" ht="15.75" customHeight="1">
      <c r="E591" s="496"/>
      <c r="Q591" s="372"/>
      <c r="R591" s="461"/>
    </row>
    <row r="592" ht="15.75" customHeight="1">
      <c r="E592" s="496"/>
      <c r="Q592" s="372"/>
      <c r="R592" s="461"/>
    </row>
    <row r="593" ht="15.75" customHeight="1">
      <c r="E593" s="496"/>
      <c r="Q593" s="372"/>
      <c r="R593" s="461"/>
    </row>
    <row r="594" ht="15.75" customHeight="1">
      <c r="E594" s="496"/>
      <c r="Q594" s="372"/>
      <c r="R594" s="461"/>
    </row>
    <row r="595" ht="15.75" customHeight="1">
      <c r="E595" s="496"/>
      <c r="Q595" s="372"/>
      <c r="R595" s="461"/>
    </row>
    <row r="596" ht="15.75" customHeight="1">
      <c r="E596" s="496"/>
      <c r="Q596" s="372"/>
      <c r="R596" s="461"/>
    </row>
    <row r="597" ht="15.75" customHeight="1">
      <c r="E597" s="496"/>
      <c r="Q597" s="372"/>
      <c r="R597" s="461"/>
    </row>
    <row r="598" ht="15.75" customHeight="1">
      <c r="E598" s="496"/>
      <c r="Q598" s="372"/>
      <c r="R598" s="461"/>
    </row>
    <row r="599" ht="15.75" customHeight="1">
      <c r="E599" s="496"/>
      <c r="Q599" s="372"/>
      <c r="R599" s="461"/>
    </row>
    <row r="600" ht="15.75" customHeight="1">
      <c r="E600" s="496"/>
      <c r="Q600" s="372"/>
      <c r="R600" s="461"/>
    </row>
    <row r="601" ht="15.75" customHeight="1">
      <c r="E601" s="496"/>
      <c r="Q601" s="372"/>
      <c r="R601" s="461"/>
    </row>
    <row r="602" ht="15.75" customHeight="1">
      <c r="E602" s="496"/>
      <c r="Q602" s="372"/>
      <c r="R602" s="461"/>
    </row>
    <row r="603" ht="15.75" customHeight="1">
      <c r="E603" s="496"/>
      <c r="Q603" s="372"/>
      <c r="R603" s="461"/>
    </row>
    <row r="604" ht="15.75" customHeight="1">
      <c r="E604" s="496"/>
      <c r="Q604" s="372"/>
      <c r="R604" s="461"/>
    </row>
    <row r="605" ht="15.75" customHeight="1">
      <c r="E605" s="496"/>
      <c r="Q605" s="372"/>
      <c r="R605" s="461"/>
    </row>
    <row r="606" ht="15.75" customHeight="1">
      <c r="E606" s="496"/>
      <c r="Q606" s="372"/>
      <c r="R606" s="461"/>
    </row>
    <row r="607" ht="15.75" customHeight="1">
      <c r="E607" s="496"/>
      <c r="Q607" s="372"/>
      <c r="R607" s="461"/>
    </row>
    <row r="608" ht="15.75" customHeight="1">
      <c r="E608" s="496"/>
      <c r="Q608" s="372"/>
      <c r="R608" s="461"/>
    </row>
    <row r="609" ht="15.75" customHeight="1">
      <c r="E609" s="496"/>
      <c r="Q609" s="372"/>
      <c r="R609" s="461"/>
    </row>
    <row r="610" ht="15.75" customHeight="1">
      <c r="E610" s="496"/>
      <c r="Q610" s="372"/>
      <c r="R610" s="461"/>
    </row>
    <row r="611" ht="15.75" customHeight="1">
      <c r="E611" s="496"/>
      <c r="Q611" s="372"/>
      <c r="R611" s="461"/>
    </row>
    <row r="612" ht="15.75" customHeight="1">
      <c r="E612" s="496"/>
      <c r="Q612" s="372"/>
      <c r="R612" s="461"/>
    </row>
    <row r="613" ht="15.75" customHeight="1">
      <c r="E613" s="496"/>
      <c r="Q613" s="372"/>
      <c r="R613" s="461"/>
    </row>
    <row r="614" ht="15.75" customHeight="1">
      <c r="E614" s="496"/>
      <c r="Q614" s="372"/>
      <c r="R614" s="461"/>
    </row>
    <row r="615" ht="15.75" customHeight="1">
      <c r="E615" s="496"/>
      <c r="Q615" s="372"/>
      <c r="R615" s="461"/>
    </row>
    <row r="616" ht="15.75" customHeight="1">
      <c r="E616" s="496"/>
      <c r="Q616" s="372"/>
      <c r="R616" s="461"/>
    </row>
    <row r="617" ht="15.75" customHeight="1">
      <c r="E617" s="496"/>
      <c r="Q617" s="372"/>
      <c r="R617" s="461"/>
    </row>
    <row r="618" ht="15.75" customHeight="1">
      <c r="E618" s="496"/>
      <c r="Q618" s="372"/>
      <c r="R618" s="461"/>
    </row>
    <row r="619" ht="15.75" customHeight="1">
      <c r="E619" s="496"/>
      <c r="Q619" s="372"/>
      <c r="R619" s="461"/>
    </row>
    <row r="620" ht="15.75" customHeight="1">
      <c r="E620" s="496"/>
      <c r="Q620" s="372"/>
      <c r="R620" s="461"/>
    </row>
    <row r="621" ht="15.75" customHeight="1">
      <c r="E621" s="496"/>
      <c r="Q621" s="372"/>
      <c r="R621" s="461"/>
    </row>
    <row r="622" ht="15.75" customHeight="1">
      <c r="E622" s="496"/>
      <c r="Q622" s="372"/>
      <c r="R622" s="461"/>
    </row>
    <row r="623" ht="15.75" customHeight="1">
      <c r="E623" s="496"/>
      <c r="Q623" s="372"/>
      <c r="R623" s="461"/>
    </row>
    <row r="624" ht="15.75" customHeight="1">
      <c r="E624" s="496"/>
      <c r="Q624" s="372"/>
      <c r="R624" s="461"/>
    </row>
    <row r="625" ht="15.75" customHeight="1">
      <c r="E625" s="496"/>
      <c r="Q625" s="372"/>
      <c r="R625" s="461"/>
    </row>
    <row r="626" ht="15.75" customHeight="1">
      <c r="E626" s="496"/>
      <c r="Q626" s="372"/>
      <c r="R626" s="461"/>
    </row>
    <row r="627" ht="15.75" customHeight="1">
      <c r="E627" s="496"/>
      <c r="Q627" s="372"/>
      <c r="R627" s="461"/>
    </row>
    <row r="628" ht="15.75" customHeight="1">
      <c r="E628" s="496"/>
      <c r="Q628" s="372"/>
      <c r="R628" s="461"/>
    </row>
    <row r="629" ht="15.75" customHeight="1">
      <c r="E629" s="496"/>
      <c r="Q629" s="372"/>
      <c r="R629" s="461"/>
    </row>
    <row r="630" ht="15.75" customHeight="1">
      <c r="E630" s="496"/>
      <c r="Q630" s="372"/>
      <c r="R630" s="461"/>
    </row>
    <row r="631" ht="15.75" customHeight="1">
      <c r="E631" s="496"/>
      <c r="Q631" s="372"/>
      <c r="R631" s="461"/>
    </row>
    <row r="632" ht="15.75" customHeight="1">
      <c r="E632" s="496"/>
      <c r="Q632" s="372"/>
      <c r="R632" s="461"/>
    </row>
    <row r="633" ht="15.75" customHeight="1">
      <c r="E633" s="496"/>
      <c r="Q633" s="372"/>
      <c r="R633" s="461"/>
    </row>
    <row r="634" ht="15.75" customHeight="1">
      <c r="E634" s="496"/>
      <c r="Q634" s="372"/>
      <c r="R634" s="461"/>
    </row>
    <row r="635" ht="15.75" customHeight="1">
      <c r="E635" s="496"/>
      <c r="Q635" s="372"/>
      <c r="R635" s="461"/>
    </row>
    <row r="636" ht="15.75" customHeight="1">
      <c r="E636" s="496"/>
      <c r="Q636" s="372"/>
      <c r="R636" s="461"/>
    </row>
    <row r="637" ht="15.75" customHeight="1">
      <c r="E637" s="496"/>
      <c r="Q637" s="372"/>
      <c r="R637" s="461"/>
    </row>
    <row r="638" ht="15.75" customHeight="1">
      <c r="E638" s="496"/>
      <c r="Q638" s="372"/>
      <c r="R638" s="461"/>
    </row>
    <row r="639" ht="15.75" customHeight="1">
      <c r="E639" s="496"/>
      <c r="Q639" s="372"/>
      <c r="R639" s="461"/>
    </row>
    <row r="640" ht="15.75" customHeight="1">
      <c r="E640" s="496"/>
      <c r="Q640" s="372"/>
      <c r="R640" s="461"/>
    </row>
    <row r="641" ht="15.75" customHeight="1">
      <c r="E641" s="496"/>
      <c r="Q641" s="372"/>
      <c r="R641" s="461"/>
    </row>
    <row r="642" ht="15.75" customHeight="1">
      <c r="E642" s="496"/>
      <c r="Q642" s="372"/>
      <c r="R642" s="461"/>
    </row>
    <row r="643" ht="15.75" customHeight="1">
      <c r="E643" s="496"/>
      <c r="Q643" s="372"/>
      <c r="R643" s="461"/>
    </row>
    <row r="644" ht="15.75" customHeight="1">
      <c r="E644" s="496"/>
      <c r="Q644" s="372"/>
      <c r="R644" s="461"/>
    </row>
    <row r="645" ht="15.75" customHeight="1">
      <c r="E645" s="496"/>
      <c r="Q645" s="372"/>
      <c r="R645" s="461"/>
    </row>
    <row r="646" ht="15.75" customHeight="1">
      <c r="E646" s="496"/>
      <c r="Q646" s="372"/>
      <c r="R646" s="461"/>
    </row>
    <row r="647" ht="15.75" customHeight="1">
      <c r="E647" s="496"/>
      <c r="Q647" s="372"/>
      <c r="R647" s="461"/>
    </row>
    <row r="648" ht="15.75" customHeight="1">
      <c r="E648" s="496"/>
      <c r="Q648" s="372"/>
      <c r="R648" s="461"/>
    </row>
    <row r="649" ht="15.75" customHeight="1">
      <c r="E649" s="496"/>
      <c r="Q649" s="372"/>
      <c r="R649" s="461"/>
    </row>
    <row r="650" ht="15.75" customHeight="1">
      <c r="E650" s="496"/>
      <c r="Q650" s="372"/>
      <c r="R650" s="461"/>
    </row>
    <row r="651" ht="15.75" customHeight="1">
      <c r="E651" s="496"/>
      <c r="Q651" s="372"/>
      <c r="R651" s="461"/>
    </row>
    <row r="652" ht="15.75" customHeight="1">
      <c r="E652" s="496"/>
      <c r="Q652" s="372"/>
      <c r="R652" s="461"/>
    </row>
    <row r="653" ht="15.75" customHeight="1">
      <c r="E653" s="496"/>
      <c r="Q653" s="372"/>
      <c r="R653" s="461"/>
    </row>
    <row r="654" ht="15.75" customHeight="1">
      <c r="E654" s="496"/>
      <c r="Q654" s="372"/>
      <c r="R654" s="461"/>
    </row>
    <row r="655" ht="15.75" customHeight="1">
      <c r="E655" s="496"/>
      <c r="Q655" s="372"/>
      <c r="R655" s="461"/>
    </row>
    <row r="656" ht="15.75" customHeight="1">
      <c r="E656" s="496"/>
      <c r="Q656" s="372"/>
      <c r="R656" s="461"/>
    </row>
    <row r="657" ht="15.75" customHeight="1">
      <c r="E657" s="496"/>
      <c r="Q657" s="372"/>
      <c r="R657" s="461"/>
    </row>
    <row r="658" ht="15.75" customHeight="1">
      <c r="E658" s="496"/>
      <c r="Q658" s="372"/>
      <c r="R658" s="461"/>
    </row>
    <row r="659" ht="15.75" customHeight="1">
      <c r="E659" s="496"/>
      <c r="Q659" s="372"/>
      <c r="R659" s="461"/>
    </row>
    <row r="660" ht="15.75" customHeight="1">
      <c r="E660" s="496"/>
      <c r="Q660" s="372"/>
      <c r="R660" s="461"/>
    </row>
    <row r="661" ht="15.75" customHeight="1">
      <c r="E661" s="496"/>
      <c r="Q661" s="372"/>
      <c r="R661" s="461"/>
    </row>
    <row r="662" ht="15.75" customHeight="1">
      <c r="E662" s="496"/>
      <c r="Q662" s="372"/>
      <c r="R662" s="461"/>
    </row>
    <row r="663" ht="15.75" customHeight="1">
      <c r="E663" s="496"/>
      <c r="Q663" s="372"/>
      <c r="R663" s="461"/>
    </row>
    <row r="664" ht="15.75" customHeight="1">
      <c r="E664" s="496"/>
      <c r="Q664" s="372"/>
      <c r="R664" s="461"/>
    </row>
    <row r="665" ht="15.75" customHeight="1">
      <c r="E665" s="496"/>
      <c r="Q665" s="372"/>
      <c r="R665" s="461"/>
    </row>
    <row r="666" ht="15.75" customHeight="1">
      <c r="E666" s="496"/>
      <c r="Q666" s="372"/>
      <c r="R666" s="461"/>
    </row>
    <row r="667" ht="15.75" customHeight="1">
      <c r="E667" s="496"/>
      <c r="Q667" s="372"/>
      <c r="R667" s="461"/>
    </row>
    <row r="668" ht="15.75" customHeight="1">
      <c r="E668" s="496"/>
      <c r="Q668" s="372"/>
      <c r="R668" s="461"/>
    </row>
    <row r="669" ht="15.75" customHeight="1">
      <c r="E669" s="496"/>
      <c r="Q669" s="372"/>
      <c r="R669" s="461"/>
    </row>
    <row r="670" ht="15.75" customHeight="1">
      <c r="E670" s="496"/>
      <c r="Q670" s="372"/>
      <c r="R670" s="461"/>
    </row>
    <row r="671" ht="15.75" customHeight="1">
      <c r="E671" s="496"/>
      <c r="Q671" s="372"/>
      <c r="R671" s="461"/>
    </row>
    <row r="672" ht="15.75" customHeight="1">
      <c r="E672" s="496"/>
      <c r="Q672" s="372"/>
      <c r="R672" s="461"/>
    </row>
    <row r="673" ht="15.75" customHeight="1">
      <c r="E673" s="496"/>
      <c r="Q673" s="372"/>
      <c r="R673" s="461"/>
    </row>
    <row r="674" ht="15.75" customHeight="1">
      <c r="E674" s="496"/>
      <c r="Q674" s="372"/>
      <c r="R674" s="461"/>
    </row>
    <row r="675" ht="15.75" customHeight="1">
      <c r="E675" s="496"/>
      <c r="Q675" s="372"/>
      <c r="R675" s="461"/>
    </row>
    <row r="676" ht="15.75" customHeight="1">
      <c r="E676" s="496"/>
      <c r="Q676" s="372"/>
      <c r="R676" s="461"/>
    </row>
    <row r="677" ht="15.75" customHeight="1">
      <c r="E677" s="496"/>
      <c r="Q677" s="372"/>
      <c r="R677" s="461"/>
    </row>
    <row r="678" ht="15.75" customHeight="1">
      <c r="E678" s="496"/>
      <c r="Q678" s="372"/>
      <c r="R678" s="461"/>
    </row>
    <row r="679" ht="15.75" customHeight="1">
      <c r="E679" s="496"/>
      <c r="Q679" s="372"/>
      <c r="R679" s="461"/>
    </row>
    <row r="680" ht="15.75" customHeight="1">
      <c r="E680" s="496"/>
      <c r="Q680" s="372"/>
      <c r="R680" s="461"/>
    </row>
    <row r="681" ht="15.75" customHeight="1">
      <c r="E681" s="496"/>
      <c r="Q681" s="372"/>
      <c r="R681" s="461"/>
    </row>
    <row r="682" ht="15.75" customHeight="1">
      <c r="E682" s="496"/>
      <c r="Q682" s="372"/>
      <c r="R682" s="461"/>
    </row>
    <row r="683" ht="15.75" customHeight="1">
      <c r="E683" s="496"/>
      <c r="Q683" s="372"/>
      <c r="R683" s="461"/>
    </row>
    <row r="684" ht="15.75" customHeight="1">
      <c r="E684" s="496"/>
      <c r="Q684" s="372"/>
      <c r="R684" s="461"/>
    </row>
    <row r="685" ht="15.75" customHeight="1">
      <c r="E685" s="496"/>
      <c r="Q685" s="372"/>
      <c r="R685" s="461"/>
    </row>
    <row r="686" ht="15.75" customHeight="1">
      <c r="E686" s="496"/>
      <c r="Q686" s="372"/>
      <c r="R686" s="461"/>
    </row>
    <row r="687" ht="15.75" customHeight="1">
      <c r="E687" s="496"/>
      <c r="Q687" s="372"/>
      <c r="R687" s="461"/>
    </row>
    <row r="688" ht="15.75" customHeight="1">
      <c r="E688" s="496"/>
      <c r="Q688" s="372"/>
      <c r="R688" s="461"/>
    </row>
    <row r="689" ht="15.75" customHeight="1">
      <c r="E689" s="496"/>
      <c r="Q689" s="372"/>
      <c r="R689" s="461"/>
    </row>
    <row r="690" ht="15.75" customHeight="1">
      <c r="E690" s="496"/>
      <c r="Q690" s="372"/>
      <c r="R690" s="461"/>
    </row>
    <row r="691" ht="15.75" customHeight="1">
      <c r="E691" s="496"/>
      <c r="Q691" s="372"/>
      <c r="R691" s="461"/>
    </row>
    <row r="692" ht="15.75" customHeight="1">
      <c r="E692" s="496"/>
      <c r="Q692" s="372"/>
      <c r="R692" s="461"/>
    </row>
    <row r="693" ht="15.75" customHeight="1">
      <c r="E693" s="496"/>
      <c r="Q693" s="372"/>
      <c r="R693" s="461"/>
    </row>
    <row r="694" ht="15.75" customHeight="1">
      <c r="E694" s="496"/>
      <c r="Q694" s="372"/>
      <c r="R694" s="461"/>
    </row>
    <row r="695" ht="15.75" customHeight="1">
      <c r="E695" s="496"/>
      <c r="Q695" s="372"/>
      <c r="R695" s="461"/>
    </row>
    <row r="696" ht="15.75" customHeight="1">
      <c r="E696" s="496"/>
      <c r="Q696" s="372"/>
      <c r="R696" s="461"/>
    </row>
    <row r="697" ht="15.75" customHeight="1">
      <c r="E697" s="496"/>
      <c r="Q697" s="372"/>
      <c r="R697" s="461"/>
    </row>
    <row r="698" ht="15.75" customHeight="1">
      <c r="E698" s="496"/>
      <c r="Q698" s="372"/>
      <c r="R698" s="461"/>
    </row>
    <row r="699" ht="15.75" customHeight="1">
      <c r="E699" s="496"/>
      <c r="Q699" s="372"/>
      <c r="R699" s="461"/>
    </row>
    <row r="700" ht="15.75" customHeight="1">
      <c r="E700" s="496"/>
      <c r="Q700" s="372"/>
      <c r="R700" s="461"/>
    </row>
    <row r="701" ht="15.75" customHeight="1">
      <c r="E701" s="496"/>
      <c r="Q701" s="372"/>
      <c r="R701" s="461"/>
    </row>
    <row r="702" ht="15.75" customHeight="1">
      <c r="E702" s="496"/>
      <c r="Q702" s="372"/>
      <c r="R702" s="461"/>
    </row>
    <row r="703" ht="15.75" customHeight="1">
      <c r="E703" s="496"/>
      <c r="Q703" s="372"/>
      <c r="R703" s="461"/>
    </row>
    <row r="704" ht="15.75" customHeight="1">
      <c r="E704" s="496"/>
      <c r="Q704" s="372"/>
      <c r="R704" s="461"/>
    </row>
    <row r="705" ht="15.75" customHeight="1">
      <c r="E705" s="496"/>
      <c r="Q705" s="372"/>
      <c r="R705" s="461"/>
    </row>
    <row r="706" ht="15.75" customHeight="1">
      <c r="E706" s="496"/>
      <c r="Q706" s="372"/>
      <c r="R706" s="461"/>
    </row>
    <row r="707" ht="15.75" customHeight="1">
      <c r="E707" s="496"/>
      <c r="Q707" s="372"/>
      <c r="R707" s="461"/>
    </row>
    <row r="708" ht="15.75" customHeight="1">
      <c r="E708" s="496"/>
      <c r="Q708" s="372"/>
      <c r="R708" s="461"/>
    </row>
    <row r="709" ht="15.75" customHeight="1">
      <c r="E709" s="496"/>
      <c r="Q709" s="372"/>
      <c r="R709" s="461"/>
    </row>
    <row r="710" ht="15.75" customHeight="1">
      <c r="E710" s="496"/>
      <c r="Q710" s="372"/>
      <c r="R710" s="461"/>
    </row>
    <row r="711" ht="15.75" customHeight="1">
      <c r="E711" s="496"/>
      <c r="Q711" s="372"/>
      <c r="R711" s="461"/>
    </row>
    <row r="712" ht="15.75" customHeight="1">
      <c r="E712" s="496"/>
      <c r="Q712" s="372"/>
      <c r="R712" s="461"/>
    </row>
    <row r="713" ht="15.75" customHeight="1">
      <c r="E713" s="496"/>
      <c r="Q713" s="372"/>
      <c r="R713" s="461"/>
    </row>
    <row r="714" ht="15.75" customHeight="1">
      <c r="E714" s="496"/>
      <c r="Q714" s="372"/>
      <c r="R714" s="461"/>
    </row>
    <row r="715" ht="15.75" customHeight="1">
      <c r="E715" s="496"/>
      <c r="Q715" s="372"/>
      <c r="R715" s="461"/>
    </row>
    <row r="716" ht="15.75" customHeight="1">
      <c r="E716" s="496"/>
      <c r="Q716" s="372"/>
      <c r="R716" s="461"/>
    </row>
    <row r="717" ht="15.75" customHeight="1">
      <c r="E717" s="496"/>
      <c r="Q717" s="372"/>
      <c r="R717" s="461"/>
    </row>
    <row r="718" ht="15.75" customHeight="1">
      <c r="E718" s="496"/>
      <c r="Q718" s="372"/>
      <c r="R718" s="461"/>
    </row>
    <row r="719" ht="15.75" customHeight="1">
      <c r="E719" s="496"/>
      <c r="Q719" s="372"/>
      <c r="R719" s="461"/>
    </row>
    <row r="720" ht="15.75" customHeight="1">
      <c r="E720" s="496"/>
      <c r="Q720" s="372"/>
      <c r="R720" s="461"/>
    </row>
    <row r="721" ht="15.75" customHeight="1">
      <c r="E721" s="496"/>
      <c r="Q721" s="372"/>
      <c r="R721" s="461"/>
    </row>
    <row r="722" ht="15.75" customHeight="1">
      <c r="E722" s="496"/>
      <c r="Q722" s="372"/>
      <c r="R722" s="461"/>
    </row>
    <row r="723" ht="15.75" customHeight="1">
      <c r="E723" s="496"/>
      <c r="Q723" s="372"/>
      <c r="R723" s="461"/>
    </row>
    <row r="724" ht="15.75" customHeight="1">
      <c r="E724" s="496"/>
      <c r="Q724" s="372"/>
      <c r="R724" s="461"/>
    </row>
    <row r="725" ht="15.75" customHeight="1">
      <c r="E725" s="496"/>
      <c r="Q725" s="372"/>
      <c r="R725" s="461"/>
    </row>
    <row r="726" ht="15.75" customHeight="1">
      <c r="E726" s="496"/>
      <c r="Q726" s="372"/>
      <c r="R726" s="461"/>
    </row>
    <row r="727" ht="15.75" customHeight="1">
      <c r="E727" s="496"/>
      <c r="Q727" s="372"/>
      <c r="R727" s="461"/>
    </row>
    <row r="728" ht="15.75" customHeight="1">
      <c r="E728" s="496"/>
      <c r="Q728" s="372"/>
      <c r="R728" s="461"/>
    </row>
    <row r="729" ht="15.75" customHeight="1">
      <c r="E729" s="496"/>
      <c r="Q729" s="372"/>
      <c r="R729" s="461"/>
    </row>
    <row r="730" ht="15.75" customHeight="1">
      <c r="E730" s="496"/>
      <c r="Q730" s="372"/>
      <c r="R730" s="461"/>
    </row>
    <row r="731" ht="15.75" customHeight="1">
      <c r="E731" s="496"/>
      <c r="Q731" s="372"/>
      <c r="R731" s="461"/>
    </row>
    <row r="732" ht="15.75" customHeight="1">
      <c r="E732" s="496"/>
      <c r="Q732" s="372"/>
      <c r="R732" s="461"/>
    </row>
    <row r="733" ht="15.75" customHeight="1">
      <c r="E733" s="496"/>
      <c r="Q733" s="372"/>
      <c r="R733" s="461"/>
    </row>
    <row r="734" ht="15.75" customHeight="1">
      <c r="E734" s="496"/>
      <c r="Q734" s="372"/>
      <c r="R734" s="461"/>
    </row>
    <row r="735" ht="15.75" customHeight="1">
      <c r="E735" s="496"/>
      <c r="Q735" s="372"/>
      <c r="R735" s="461"/>
    </row>
    <row r="736" ht="15.75" customHeight="1">
      <c r="E736" s="496"/>
      <c r="Q736" s="372"/>
      <c r="R736" s="461"/>
    </row>
    <row r="737" ht="15.75" customHeight="1">
      <c r="E737" s="496"/>
      <c r="Q737" s="372"/>
      <c r="R737" s="461"/>
    </row>
    <row r="738" ht="15.75" customHeight="1">
      <c r="E738" s="496"/>
      <c r="Q738" s="372"/>
      <c r="R738" s="461"/>
    </row>
    <row r="739" ht="15.75" customHeight="1">
      <c r="E739" s="496"/>
      <c r="Q739" s="372"/>
      <c r="R739" s="461"/>
    </row>
    <row r="740" ht="15.75" customHeight="1">
      <c r="E740" s="496"/>
      <c r="Q740" s="372"/>
      <c r="R740" s="461"/>
    </row>
    <row r="741" ht="15.75" customHeight="1">
      <c r="E741" s="496"/>
      <c r="Q741" s="372"/>
      <c r="R741" s="461"/>
    </row>
    <row r="742" ht="15.75" customHeight="1">
      <c r="E742" s="496"/>
      <c r="Q742" s="372"/>
      <c r="R742" s="461"/>
    </row>
    <row r="743" ht="15.75" customHeight="1">
      <c r="E743" s="496"/>
      <c r="Q743" s="372"/>
      <c r="R743" s="461"/>
    </row>
    <row r="744" ht="15.75" customHeight="1">
      <c r="E744" s="496"/>
      <c r="Q744" s="372"/>
      <c r="R744" s="461"/>
    </row>
    <row r="745" ht="15.75" customHeight="1">
      <c r="E745" s="496"/>
      <c r="Q745" s="372"/>
      <c r="R745" s="461"/>
    </row>
    <row r="746" ht="15.75" customHeight="1">
      <c r="E746" s="496"/>
      <c r="Q746" s="372"/>
      <c r="R746" s="461"/>
    </row>
    <row r="747" ht="15.75" customHeight="1">
      <c r="E747" s="496"/>
      <c r="Q747" s="372"/>
      <c r="R747" s="461"/>
    </row>
    <row r="748" ht="15.75" customHeight="1">
      <c r="E748" s="496"/>
      <c r="Q748" s="372"/>
      <c r="R748" s="461"/>
    </row>
    <row r="749" ht="15.75" customHeight="1">
      <c r="E749" s="496"/>
      <c r="Q749" s="372"/>
      <c r="R749" s="461"/>
    </row>
    <row r="750" ht="15.75" customHeight="1">
      <c r="E750" s="496"/>
      <c r="Q750" s="372"/>
      <c r="R750" s="461"/>
    </row>
    <row r="751" ht="15.75" customHeight="1">
      <c r="E751" s="496"/>
      <c r="Q751" s="372"/>
      <c r="R751" s="461"/>
    </row>
    <row r="752" ht="15.75" customHeight="1">
      <c r="E752" s="496"/>
      <c r="Q752" s="372"/>
      <c r="R752" s="461"/>
    </row>
    <row r="753" ht="15.75" customHeight="1">
      <c r="E753" s="496"/>
      <c r="Q753" s="372"/>
      <c r="R753" s="461"/>
    </row>
    <row r="754" ht="15.75" customHeight="1">
      <c r="E754" s="496"/>
      <c r="Q754" s="372"/>
      <c r="R754" s="461"/>
    </row>
    <row r="755" ht="15.75" customHeight="1">
      <c r="E755" s="496"/>
      <c r="Q755" s="372"/>
      <c r="R755" s="461"/>
    </row>
    <row r="756" ht="15.75" customHeight="1">
      <c r="E756" s="496"/>
      <c r="Q756" s="372"/>
      <c r="R756" s="461"/>
    </row>
    <row r="757" ht="15.75" customHeight="1">
      <c r="E757" s="496"/>
      <c r="Q757" s="372"/>
      <c r="R757" s="461"/>
    </row>
    <row r="758" ht="15.75" customHeight="1">
      <c r="E758" s="496"/>
      <c r="Q758" s="372"/>
      <c r="R758" s="461"/>
    </row>
    <row r="759" ht="15.75" customHeight="1">
      <c r="E759" s="496"/>
      <c r="Q759" s="372"/>
      <c r="R759" s="461"/>
    </row>
    <row r="760" ht="15.75" customHeight="1">
      <c r="E760" s="496"/>
      <c r="Q760" s="372"/>
      <c r="R760" s="461"/>
    </row>
    <row r="761" ht="15.75" customHeight="1">
      <c r="E761" s="496"/>
      <c r="Q761" s="372"/>
      <c r="R761" s="461"/>
    </row>
    <row r="762" ht="15.75" customHeight="1">
      <c r="E762" s="496"/>
      <c r="Q762" s="372"/>
      <c r="R762" s="461"/>
    </row>
    <row r="763" ht="15.75" customHeight="1">
      <c r="E763" s="496"/>
      <c r="Q763" s="372"/>
      <c r="R763" s="461"/>
    </row>
    <row r="764" ht="15.75" customHeight="1">
      <c r="E764" s="496"/>
      <c r="Q764" s="372"/>
      <c r="R764" s="461"/>
    </row>
    <row r="765" ht="15.75" customHeight="1">
      <c r="E765" s="496"/>
      <c r="Q765" s="372"/>
      <c r="R765" s="461"/>
    </row>
    <row r="766" ht="15.75" customHeight="1">
      <c r="E766" s="496"/>
      <c r="Q766" s="372"/>
      <c r="R766" s="461"/>
    </row>
    <row r="767" ht="15.75" customHeight="1">
      <c r="E767" s="496"/>
      <c r="Q767" s="372"/>
      <c r="R767" s="461"/>
    </row>
    <row r="768" ht="15.75" customHeight="1">
      <c r="E768" s="496"/>
      <c r="Q768" s="372"/>
      <c r="R768" s="461"/>
    </row>
    <row r="769" ht="15.75" customHeight="1">
      <c r="E769" s="496"/>
      <c r="Q769" s="372"/>
      <c r="R769" s="461"/>
    </row>
    <row r="770" ht="15.75" customHeight="1">
      <c r="E770" s="496"/>
      <c r="Q770" s="372"/>
      <c r="R770" s="461"/>
    </row>
    <row r="771" ht="15.75" customHeight="1">
      <c r="E771" s="496"/>
      <c r="Q771" s="372"/>
      <c r="R771" s="461"/>
    </row>
    <row r="772" ht="15.75" customHeight="1">
      <c r="E772" s="496"/>
      <c r="Q772" s="372"/>
      <c r="R772" s="461"/>
    </row>
    <row r="773" ht="15.75" customHeight="1">
      <c r="E773" s="496"/>
      <c r="Q773" s="372"/>
      <c r="R773" s="461"/>
    </row>
    <row r="774" ht="15.75" customHeight="1">
      <c r="E774" s="496"/>
      <c r="Q774" s="372"/>
      <c r="R774" s="461"/>
    </row>
    <row r="775" ht="15.75" customHeight="1">
      <c r="E775" s="496"/>
      <c r="Q775" s="372"/>
      <c r="R775" s="461"/>
    </row>
    <row r="776" ht="15.75" customHeight="1">
      <c r="E776" s="496"/>
      <c r="Q776" s="372"/>
      <c r="R776" s="461"/>
    </row>
    <row r="777" ht="15.75" customHeight="1">
      <c r="E777" s="496"/>
      <c r="Q777" s="372"/>
      <c r="R777" s="461"/>
    </row>
    <row r="778" ht="15.75" customHeight="1">
      <c r="E778" s="496"/>
      <c r="Q778" s="372"/>
      <c r="R778" s="461"/>
    </row>
    <row r="779" ht="15.75" customHeight="1">
      <c r="E779" s="496"/>
      <c r="Q779" s="372"/>
      <c r="R779" s="461"/>
    </row>
    <row r="780" ht="15.75" customHeight="1">
      <c r="E780" s="496"/>
      <c r="Q780" s="372"/>
      <c r="R780" s="461"/>
    </row>
    <row r="781" ht="15.75" customHeight="1">
      <c r="E781" s="496"/>
      <c r="Q781" s="372"/>
      <c r="R781" s="461"/>
    </row>
    <row r="782" ht="15.75" customHeight="1">
      <c r="E782" s="496"/>
      <c r="Q782" s="372"/>
      <c r="R782" s="461"/>
    </row>
    <row r="783" ht="15.75" customHeight="1">
      <c r="E783" s="496"/>
      <c r="Q783" s="372"/>
      <c r="R783" s="461"/>
    </row>
    <row r="784" ht="15.75" customHeight="1">
      <c r="E784" s="496"/>
      <c r="Q784" s="372"/>
      <c r="R784" s="461"/>
    </row>
    <row r="785" ht="15.75" customHeight="1">
      <c r="E785" s="496"/>
      <c r="Q785" s="372"/>
      <c r="R785" s="461"/>
    </row>
    <row r="786" ht="15.75" customHeight="1">
      <c r="E786" s="496"/>
      <c r="Q786" s="372"/>
      <c r="R786" s="461"/>
    </row>
    <row r="787" ht="15.75" customHeight="1">
      <c r="E787" s="496"/>
      <c r="Q787" s="372"/>
      <c r="R787" s="461"/>
    </row>
    <row r="788" ht="15.75" customHeight="1">
      <c r="E788" s="496"/>
      <c r="Q788" s="372"/>
      <c r="R788" s="461"/>
    </row>
    <row r="789" ht="15.75" customHeight="1">
      <c r="E789" s="496"/>
      <c r="Q789" s="372"/>
      <c r="R789" s="461"/>
    </row>
    <row r="790" ht="15.75" customHeight="1">
      <c r="E790" s="496"/>
      <c r="Q790" s="372"/>
      <c r="R790" s="461"/>
    </row>
    <row r="791" ht="15.75" customHeight="1">
      <c r="E791" s="496"/>
      <c r="Q791" s="372"/>
      <c r="R791" s="461"/>
    </row>
    <row r="792" ht="15.75" customHeight="1">
      <c r="E792" s="496"/>
      <c r="Q792" s="372"/>
      <c r="R792" s="461"/>
    </row>
    <row r="793" ht="15.75" customHeight="1">
      <c r="E793" s="496"/>
      <c r="Q793" s="372"/>
      <c r="R793" s="461"/>
    </row>
    <row r="794" ht="15.75" customHeight="1">
      <c r="E794" s="496"/>
      <c r="Q794" s="372"/>
      <c r="R794" s="461"/>
    </row>
    <row r="795" ht="15.75" customHeight="1">
      <c r="E795" s="496"/>
      <c r="Q795" s="372"/>
      <c r="R795" s="461"/>
    </row>
    <row r="796" ht="15.75" customHeight="1">
      <c r="E796" s="496"/>
      <c r="Q796" s="372"/>
      <c r="R796" s="461"/>
    </row>
    <row r="797" ht="15.75" customHeight="1">
      <c r="E797" s="496"/>
      <c r="Q797" s="372"/>
      <c r="R797" s="461"/>
    </row>
    <row r="798" ht="15.75" customHeight="1">
      <c r="E798" s="496"/>
      <c r="Q798" s="372"/>
      <c r="R798" s="461"/>
    </row>
    <row r="799" ht="15.75" customHeight="1">
      <c r="E799" s="496"/>
      <c r="Q799" s="372"/>
      <c r="R799" s="461"/>
    </row>
    <row r="800" ht="15.75" customHeight="1">
      <c r="E800" s="496"/>
      <c r="Q800" s="372"/>
      <c r="R800" s="461"/>
    </row>
    <row r="801" ht="15.75" customHeight="1">
      <c r="E801" s="496"/>
      <c r="Q801" s="372"/>
      <c r="R801" s="461"/>
    </row>
    <row r="802" ht="15.75" customHeight="1">
      <c r="E802" s="496"/>
      <c r="Q802" s="372"/>
      <c r="R802" s="461"/>
    </row>
    <row r="803" ht="15.75" customHeight="1">
      <c r="E803" s="496"/>
      <c r="Q803" s="372"/>
      <c r="R803" s="461"/>
    </row>
    <row r="804" ht="15.75" customHeight="1">
      <c r="E804" s="496"/>
      <c r="Q804" s="372"/>
      <c r="R804" s="461"/>
    </row>
    <row r="805" ht="15.75" customHeight="1">
      <c r="E805" s="496"/>
      <c r="Q805" s="372"/>
      <c r="R805" s="461"/>
    </row>
    <row r="806" ht="15.75" customHeight="1">
      <c r="E806" s="496"/>
      <c r="Q806" s="372"/>
      <c r="R806" s="461"/>
    </row>
    <row r="807" ht="15.75" customHeight="1">
      <c r="E807" s="496"/>
      <c r="Q807" s="372"/>
      <c r="R807" s="461"/>
    </row>
    <row r="808" ht="15.75" customHeight="1">
      <c r="E808" s="496"/>
      <c r="Q808" s="372"/>
      <c r="R808" s="461"/>
    </row>
    <row r="809" ht="15.75" customHeight="1">
      <c r="E809" s="496"/>
      <c r="Q809" s="372"/>
      <c r="R809" s="461"/>
    </row>
    <row r="810" ht="15.75" customHeight="1">
      <c r="E810" s="496"/>
      <c r="Q810" s="372"/>
      <c r="R810" s="461"/>
    </row>
    <row r="811" ht="15.75" customHeight="1">
      <c r="E811" s="496"/>
      <c r="Q811" s="372"/>
      <c r="R811" s="461"/>
    </row>
    <row r="812" ht="15.75" customHeight="1">
      <c r="E812" s="496"/>
      <c r="Q812" s="372"/>
      <c r="R812" s="461"/>
    </row>
    <row r="813" ht="15.75" customHeight="1">
      <c r="E813" s="496"/>
      <c r="Q813" s="372"/>
      <c r="R813" s="461"/>
    </row>
    <row r="814" ht="15.75" customHeight="1">
      <c r="E814" s="496"/>
      <c r="Q814" s="372"/>
      <c r="R814" s="461"/>
    </row>
    <row r="815" ht="15.75" customHeight="1">
      <c r="E815" s="496"/>
      <c r="Q815" s="372"/>
      <c r="R815" s="461"/>
    </row>
    <row r="816" ht="15.75" customHeight="1">
      <c r="E816" s="496"/>
      <c r="Q816" s="372"/>
      <c r="R816" s="461"/>
    </row>
    <row r="817" ht="15.75" customHeight="1">
      <c r="E817" s="496"/>
      <c r="Q817" s="372"/>
      <c r="R817" s="461"/>
    </row>
    <row r="818" ht="15.75" customHeight="1">
      <c r="E818" s="496"/>
      <c r="Q818" s="372"/>
      <c r="R818" s="461"/>
    </row>
    <row r="819" ht="15.75" customHeight="1">
      <c r="E819" s="496"/>
      <c r="Q819" s="372"/>
      <c r="R819" s="461"/>
    </row>
    <row r="820" ht="15.75" customHeight="1">
      <c r="E820" s="496"/>
      <c r="Q820" s="372"/>
      <c r="R820" s="461"/>
    </row>
    <row r="821" ht="15.75" customHeight="1">
      <c r="E821" s="496"/>
      <c r="Q821" s="372"/>
      <c r="R821" s="461"/>
    </row>
    <row r="822" ht="15.75" customHeight="1">
      <c r="E822" s="496"/>
      <c r="Q822" s="372"/>
      <c r="R822" s="461"/>
    </row>
    <row r="823" ht="15.75" customHeight="1">
      <c r="E823" s="496"/>
      <c r="Q823" s="372"/>
      <c r="R823" s="461"/>
    </row>
    <row r="824" ht="15.75" customHeight="1">
      <c r="E824" s="496"/>
      <c r="Q824" s="372"/>
      <c r="R824" s="461"/>
    </row>
    <row r="825" ht="15.75" customHeight="1">
      <c r="E825" s="496"/>
      <c r="Q825" s="372"/>
      <c r="R825" s="461"/>
    </row>
    <row r="826" ht="15.75" customHeight="1">
      <c r="E826" s="496"/>
      <c r="Q826" s="372"/>
      <c r="R826" s="461"/>
    </row>
    <row r="827" ht="15.75" customHeight="1">
      <c r="E827" s="496"/>
      <c r="Q827" s="372"/>
      <c r="R827" s="461"/>
    </row>
    <row r="828" ht="15.75" customHeight="1">
      <c r="E828" s="496"/>
      <c r="Q828" s="372"/>
      <c r="R828" s="461"/>
    </row>
    <row r="829" ht="15.75" customHeight="1">
      <c r="E829" s="496"/>
      <c r="Q829" s="372"/>
      <c r="R829" s="461"/>
    </row>
    <row r="830" ht="15.75" customHeight="1">
      <c r="E830" s="496"/>
      <c r="Q830" s="372"/>
      <c r="R830" s="461"/>
    </row>
    <row r="831" ht="15.75" customHeight="1">
      <c r="E831" s="496"/>
      <c r="Q831" s="372"/>
      <c r="R831" s="461"/>
    </row>
    <row r="832" ht="15.75" customHeight="1">
      <c r="E832" s="496"/>
      <c r="Q832" s="372"/>
      <c r="R832" s="461"/>
    </row>
    <row r="833" ht="15.75" customHeight="1">
      <c r="E833" s="496"/>
      <c r="Q833" s="372"/>
      <c r="R833" s="461"/>
    </row>
    <row r="834" ht="15.75" customHeight="1">
      <c r="E834" s="496"/>
      <c r="Q834" s="372"/>
      <c r="R834" s="461"/>
    </row>
    <row r="835" ht="15.75" customHeight="1">
      <c r="E835" s="496"/>
      <c r="Q835" s="372"/>
      <c r="R835" s="461"/>
    </row>
    <row r="836" ht="15.75" customHeight="1">
      <c r="E836" s="496"/>
      <c r="Q836" s="372"/>
      <c r="R836" s="461"/>
    </row>
    <row r="837" ht="15.75" customHeight="1">
      <c r="E837" s="496"/>
      <c r="Q837" s="372"/>
      <c r="R837" s="461"/>
    </row>
    <row r="838" ht="15.75" customHeight="1">
      <c r="E838" s="496"/>
      <c r="Q838" s="372"/>
      <c r="R838" s="461"/>
    </row>
    <row r="839" ht="15.75" customHeight="1">
      <c r="E839" s="496"/>
      <c r="Q839" s="372"/>
      <c r="R839" s="461"/>
    </row>
    <row r="840" ht="15.75" customHeight="1">
      <c r="E840" s="496"/>
      <c r="Q840" s="372"/>
      <c r="R840" s="461"/>
    </row>
    <row r="841" ht="15.75" customHeight="1">
      <c r="E841" s="496"/>
      <c r="Q841" s="372"/>
      <c r="R841" s="461"/>
    </row>
    <row r="842" ht="15.75" customHeight="1">
      <c r="E842" s="496"/>
      <c r="Q842" s="372"/>
      <c r="R842" s="461"/>
    </row>
    <row r="843" ht="15.75" customHeight="1">
      <c r="E843" s="496"/>
      <c r="Q843" s="372"/>
      <c r="R843" s="461"/>
    </row>
    <row r="844" ht="15.75" customHeight="1">
      <c r="E844" s="496"/>
      <c r="Q844" s="372"/>
      <c r="R844" s="461"/>
    </row>
    <row r="845" ht="15.75" customHeight="1">
      <c r="E845" s="496"/>
      <c r="Q845" s="372"/>
      <c r="R845" s="461"/>
    </row>
    <row r="846" ht="15.75" customHeight="1">
      <c r="E846" s="496"/>
      <c r="Q846" s="372"/>
      <c r="R846" s="461"/>
    </row>
    <row r="847" ht="15.75" customHeight="1">
      <c r="E847" s="496"/>
      <c r="Q847" s="372"/>
      <c r="R847" s="461"/>
    </row>
    <row r="848" ht="15.75" customHeight="1">
      <c r="E848" s="496"/>
      <c r="Q848" s="372"/>
      <c r="R848" s="461"/>
    </row>
    <row r="849" ht="15.75" customHeight="1">
      <c r="E849" s="496"/>
      <c r="Q849" s="372"/>
      <c r="R849" s="461"/>
    </row>
    <row r="850" ht="15.75" customHeight="1">
      <c r="E850" s="496"/>
      <c r="Q850" s="372"/>
      <c r="R850" s="461"/>
    </row>
    <row r="851" ht="15.75" customHeight="1">
      <c r="E851" s="496"/>
      <c r="Q851" s="372"/>
      <c r="R851" s="461"/>
    </row>
    <row r="852" ht="15.75" customHeight="1">
      <c r="E852" s="496"/>
      <c r="Q852" s="372"/>
      <c r="R852" s="461"/>
    </row>
    <row r="853" ht="15.75" customHeight="1">
      <c r="E853" s="496"/>
      <c r="Q853" s="372"/>
      <c r="R853" s="461"/>
    </row>
    <row r="854" ht="15.75" customHeight="1">
      <c r="E854" s="496"/>
      <c r="Q854" s="372"/>
      <c r="R854" s="461"/>
    </row>
    <row r="855" ht="15.75" customHeight="1">
      <c r="E855" s="496"/>
      <c r="Q855" s="372"/>
      <c r="R855" s="461"/>
    </row>
    <row r="856" ht="15.75" customHeight="1">
      <c r="E856" s="496"/>
      <c r="Q856" s="372"/>
      <c r="R856" s="461"/>
    </row>
    <row r="857" ht="15.75" customHeight="1">
      <c r="E857" s="496"/>
      <c r="Q857" s="372"/>
      <c r="R857" s="461"/>
    </row>
    <row r="858" ht="15.75" customHeight="1">
      <c r="E858" s="496"/>
      <c r="Q858" s="372"/>
      <c r="R858" s="461"/>
    </row>
    <row r="859" ht="15.75" customHeight="1">
      <c r="E859" s="496"/>
      <c r="Q859" s="372"/>
      <c r="R859" s="461"/>
    </row>
    <row r="860" ht="15.75" customHeight="1">
      <c r="E860" s="496"/>
      <c r="Q860" s="372"/>
      <c r="R860" s="461"/>
    </row>
    <row r="861" ht="15.75" customHeight="1">
      <c r="E861" s="496"/>
      <c r="Q861" s="372"/>
      <c r="R861" s="461"/>
    </row>
    <row r="862" ht="15.75" customHeight="1">
      <c r="E862" s="496"/>
      <c r="Q862" s="372"/>
      <c r="R862" s="461"/>
    </row>
    <row r="863" ht="15.75" customHeight="1">
      <c r="E863" s="496"/>
      <c r="Q863" s="372"/>
      <c r="R863" s="461"/>
    </row>
    <row r="864" ht="15.75" customHeight="1">
      <c r="E864" s="496"/>
      <c r="Q864" s="372"/>
      <c r="R864" s="461"/>
    </row>
    <row r="865" ht="15.75" customHeight="1">
      <c r="E865" s="496"/>
      <c r="Q865" s="372"/>
      <c r="R865" s="461"/>
    </row>
    <row r="866" ht="15.75" customHeight="1">
      <c r="E866" s="496"/>
      <c r="Q866" s="372"/>
      <c r="R866" s="461"/>
    </row>
    <row r="867" ht="15.75" customHeight="1">
      <c r="E867" s="496"/>
      <c r="Q867" s="372"/>
      <c r="R867" s="461"/>
    </row>
    <row r="868" ht="15.75" customHeight="1">
      <c r="E868" s="496"/>
      <c r="Q868" s="372"/>
      <c r="R868" s="461"/>
    </row>
    <row r="869" ht="15.75" customHeight="1">
      <c r="E869" s="496"/>
      <c r="Q869" s="372"/>
      <c r="R869" s="461"/>
    </row>
    <row r="870" ht="15.75" customHeight="1">
      <c r="E870" s="496"/>
      <c r="Q870" s="372"/>
      <c r="R870" s="461"/>
    </row>
    <row r="871" ht="15.75" customHeight="1">
      <c r="E871" s="496"/>
      <c r="Q871" s="372"/>
      <c r="R871" s="461"/>
    </row>
    <row r="872" ht="15.75" customHeight="1">
      <c r="E872" s="496"/>
      <c r="Q872" s="372"/>
      <c r="R872" s="461"/>
    </row>
    <row r="873" ht="15.75" customHeight="1">
      <c r="E873" s="496"/>
      <c r="Q873" s="372"/>
      <c r="R873" s="461"/>
    </row>
    <row r="874" ht="15.75" customHeight="1">
      <c r="E874" s="496"/>
      <c r="Q874" s="372"/>
      <c r="R874" s="461"/>
    </row>
    <row r="875" ht="15.75" customHeight="1">
      <c r="E875" s="496"/>
      <c r="Q875" s="372"/>
      <c r="R875" s="461"/>
    </row>
    <row r="876" ht="15.75" customHeight="1">
      <c r="E876" s="496"/>
      <c r="Q876" s="372"/>
      <c r="R876" s="461"/>
    </row>
    <row r="877" ht="15.75" customHeight="1">
      <c r="E877" s="496"/>
      <c r="Q877" s="372"/>
      <c r="R877" s="461"/>
    </row>
    <row r="878" ht="15.75" customHeight="1">
      <c r="E878" s="496"/>
      <c r="Q878" s="372"/>
      <c r="R878" s="461"/>
    </row>
    <row r="879" ht="15.75" customHeight="1">
      <c r="E879" s="496"/>
      <c r="Q879" s="372"/>
      <c r="R879" s="461"/>
    </row>
    <row r="880" ht="15.75" customHeight="1">
      <c r="E880" s="496"/>
      <c r="Q880" s="372"/>
      <c r="R880" s="461"/>
    </row>
    <row r="881" ht="15.75" customHeight="1">
      <c r="E881" s="496"/>
      <c r="Q881" s="372"/>
      <c r="R881" s="461"/>
    </row>
    <row r="882" ht="15.75" customHeight="1">
      <c r="E882" s="496"/>
      <c r="Q882" s="372"/>
      <c r="R882" s="461"/>
    </row>
    <row r="883" ht="15.75" customHeight="1">
      <c r="E883" s="496"/>
      <c r="Q883" s="372"/>
      <c r="R883" s="461"/>
    </row>
    <row r="884" ht="15.75" customHeight="1">
      <c r="E884" s="496"/>
      <c r="Q884" s="372"/>
      <c r="R884" s="461"/>
    </row>
    <row r="885" ht="15.75" customHeight="1">
      <c r="E885" s="496"/>
      <c r="Q885" s="372"/>
      <c r="R885" s="461"/>
    </row>
    <row r="886" ht="15.75" customHeight="1">
      <c r="E886" s="496"/>
      <c r="Q886" s="372"/>
      <c r="R886" s="461"/>
    </row>
    <row r="887" ht="15.75" customHeight="1">
      <c r="E887" s="496"/>
      <c r="Q887" s="372"/>
      <c r="R887" s="461"/>
    </row>
    <row r="888" ht="15.75" customHeight="1">
      <c r="E888" s="496"/>
      <c r="Q888" s="372"/>
      <c r="R888" s="461"/>
    </row>
    <row r="889" ht="15.75" customHeight="1">
      <c r="E889" s="496"/>
      <c r="Q889" s="372"/>
      <c r="R889" s="461"/>
    </row>
    <row r="890" ht="15.75" customHeight="1">
      <c r="E890" s="496"/>
      <c r="Q890" s="372"/>
      <c r="R890" s="461"/>
    </row>
    <row r="891" ht="15.75" customHeight="1">
      <c r="E891" s="496"/>
      <c r="Q891" s="372"/>
      <c r="R891" s="461"/>
    </row>
    <row r="892" ht="15.75" customHeight="1">
      <c r="E892" s="496"/>
      <c r="Q892" s="372"/>
      <c r="R892" s="461"/>
    </row>
    <row r="893" ht="15.75" customHeight="1">
      <c r="E893" s="496"/>
      <c r="Q893" s="372"/>
      <c r="R893" s="461"/>
    </row>
    <row r="894" ht="15.75" customHeight="1">
      <c r="E894" s="496"/>
      <c r="Q894" s="372"/>
      <c r="R894" s="461"/>
    </row>
    <row r="895" ht="15.75" customHeight="1">
      <c r="E895" s="496"/>
      <c r="Q895" s="372"/>
      <c r="R895" s="461"/>
    </row>
    <row r="896" ht="15.75" customHeight="1">
      <c r="E896" s="496"/>
      <c r="Q896" s="372"/>
      <c r="R896" s="461"/>
    </row>
    <row r="897" ht="15.75" customHeight="1">
      <c r="E897" s="496"/>
      <c r="Q897" s="372"/>
      <c r="R897" s="461"/>
    </row>
    <row r="898" ht="15.75" customHeight="1">
      <c r="E898" s="496"/>
      <c r="Q898" s="372"/>
      <c r="R898" s="461"/>
    </row>
    <row r="899" ht="15.75" customHeight="1">
      <c r="E899" s="496"/>
      <c r="Q899" s="372"/>
      <c r="R899" s="461"/>
    </row>
    <row r="900" ht="15.75" customHeight="1">
      <c r="E900" s="496"/>
      <c r="Q900" s="372"/>
      <c r="R900" s="461"/>
    </row>
    <row r="901" ht="15.75" customHeight="1">
      <c r="E901" s="496"/>
      <c r="Q901" s="372"/>
      <c r="R901" s="461"/>
    </row>
    <row r="902" ht="15.75" customHeight="1">
      <c r="E902" s="496"/>
      <c r="Q902" s="372"/>
      <c r="R902" s="461"/>
    </row>
    <row r="903" ht="15.75" customHeight="1">
      <c r="E903" s="496"/>
      <c r="Q903" s="372"/>
      <c r="R903" s="461"/>
    </row>
    <row r="904" ht="15.75" customHeight="1">
      <c r="E904" s="496"/>
      <c r="Q904" s="372"/>
      <c r="R904" s="461"/>
    </row>
    <row r="905" ht="15.75" customHeight="1">
      <c r="E905" s="496"/>
      <c r="Q905" s="372"/>
      <c r="R905" s="461"/>
    </row>
    <row r="906" ht="15.75" customHeight="1">
      <c r="E906" s="496"/>
      <c r="Q906" s="372"/>
      <c r="R906" s="461"/>
    </row>
    <row r="907" ht="15.75" customHeight="1">
      <c r="E907" s="496"/>
      <c r="Q907" s="372"/>
      <c r="R907" s="461"/>
    </row>
    <row r="908" ht="15.75" customHeight="1">
      <c r="E908" s="496"/>
      <c r="Q908" s="372"/>
      <c r="R908" s="461"/>
    </row>
    <row r="909" ht="15.75" customHeight="1">
      <c r="E909" s="496"/>
      <c r="Q909" s="372"/>
      <c r="R909" s="461"/>
    </row>
    <row r="910" ht="15.75" customHeight="1">
      <c r="E910" s="496"/>
      <c r="Q910" s="372"/>
      <c r="R910" s="461"/>
    </row>
    <row r="911" ht="15.75" customHeight="1">
      <c r="E911" s="496"/>
      <c r="Q911" s="372"/>
      <c r="R911" s="461"/>
    </row>
    <row r="912" ht="15.75" customHeight="1">
      <c r="E912" s="496"/>
      <c r="Q912" s="372"/>
      <c r="R912" s="461"/>
    </row>
    <row r="913" ht="15.75" customHeight="1">
      <c r="E913" s="496"/>
      <c r="Q913" s="372"/>
      <c r="R913" s="461"/>
    </row>
    <row r="914" ht="15.75" customHeight="1">
      <c r="E914" s="496"/>
      <c r="Q914" s="372"/>
      <c r="R914" s="461"/>
    </row>
    <row r="915" ht="15.75" customHeight="1">
      <c r="E915" s="496"/>
      <c r="Q915" s="372"/>
      <c r="R915" s="461"/>
    </row>
    <row r="916" ht="15.75" customHeight="1">
      <c r="E916" s="496"/>
      <c r="Q916" s="372"/>
      <c r="R916" s="461"/>
    </row>
    <row r="917" ht="15.75" customHeight="1">
      <c r="E917" s="496"/>
      <c r="Q917" s="372"/>
      <c r="R917" s="461"/>
    </row>
    <row r="918" ht="15.75" customHeight="1">
      <c r="E918" s="496"/>
      <c r="Q918" s="372"/>
      <c r="R918" s="461"/>
    </row>
    <row r="919" ht="15.75" customHeight="1">
      <c r="E919" s="496"/>
      <c r="Q919" s="372"/>
      <c r="R919" s="461"/>
    </row>
    <row r="920" ht="15.75" customHeight="1">
      <c r="E920" s="496"/>
      <c r="Q920" s="372"/>
      <c r="R920" s="461"/>
    </row>
    <row r="921" ht="15.75" customHeight="1">
      <c r="E921" s="496"/>
      <c r="Q921" s="372"/>
      <c r="R921" s="461"/>
    </row>
    <row r="922" ht="15.75" customHeight="1">
      <c r="E922" s="496"/>
      <c r="Q922" s="372"/>
      <c r="R922" s="461"/>
    </row>
    <row r="923" ht="15.75" customHeight="1">
      <c r="E923" s="496"/>
      <c r="Q923" s="372"/>
      <c r="R923" s="461"/>
    </row>
    <row r="924" ht="15.75" customHeight="1">
      <c r="E924" s="496"/>
      <c r="Q924" s="372"/>
      <c r="R924" s="461"/>
    </row>
    <row r="925" ht="15.75" customHeight="1">
      <c r="E925" s="496"/>
      <c r="Q925" s="372"/>
      <c r="R925" s="461"/>
    </row>
    <row r="926" ht="15.75" customHeight="1">
      <c r="E926" s="496"/>
      <c r="Q926" s="372"/>
      <c r="R926" s="461"/>
    </row>
    <row r="927" ht="15.75" customHeight="1">
      <c r="E927" s="496"/>
      <c r="Q927" s="372"/>
      <c r="R927" s="461"/>
    </row>
    <row r="928" ht="15.75" customHeight="1">
      <c r="E928" s="496"/>
      <c r="Q928" s="372"/>
      <c r="R928" s="461"/>
    </row>
    <row r="929" ht="15.75" customHeight="1">
      <c r="E929" s="496"/>
      <c r="Q929" s="372"/>
      <c r="R929" s="461"/>
    </row>
    <row r="930" ht="15.75" customHeight="1">
      <c r="E930" s="496"/>
      <c r="Q930" s="372"/>
      <c r="R930" s="461"/>
    </row>
    <row r="931" ht="15.75" customHeight="1">
      <c r="E931" s="496"/>
      <c r="Q931" s="372"/>
      <c r="R931" s="461"/>
    </row>
    <row r="932" ht="15.75" customHeight="1">
      <c r="E932" s="496"/>
      <c r="Q932" s="372"/>
      <c r="R932" s="461"/>
    </row>
    <row r="933" ht="15.75" customHeight="1">
      <c r="E933" s="496"/>
      <c r="Q933" s="372"/>
      <c r="R933" s="461"/>
    </row>
    <row r="934" ht="15.75" customHeight="1">
      <c r="E934" s="496"/>
      <c r="Q934" s="372"/>
      <c r="R934" s="461"/>
    </row>
    <row r="935" ht="15.75" customHeight="1">
      <c r="E935" s="496"/>
      <c r="Q935" s="372"/>
      <c r="R935" s="461"/>
    </row>
    <row r="936" ht="15.75" customHeight="1">
      <c r="E936" s="496"/>
      <c r="Q936" s="372"/>
      <c r="R936" s="461"/>
    </row>
  </sheetData>
  <mergeCells count="178">
    <mergeCell ref="B77:C77"/>
    <mergeCell ref="B78:C78"/>
    <mergeCell ref="B79:C79"/>
    <mergeCell ref="E73:F73"/>
    <mergeCell ref="E74:F74"/>
    <mergeCell ref="B75:C75"/>
    <mergeCell ref="E75:F75"/>
    <mergeCell ref="B76:C76"/>
    <mergeCell ref="E76:F76"/>
    <mergeCell ref="E77:F77"/>
    <mergeCell ref="B82:C82"/>
    <mergeCell ref="B83:C83"/>
    <mergeCell ref="B84:C84"/>
    <mergeCell ref="E78:F78"/>
    <mergeCell ref="E79:F79"/>
    <mergeCell ref="B80:C80"/>
    <mergeCell ref="E80:F80"/>
    <mergeCell ref="B81:C81"/>
    <mergeCell ref="E81:F81"/>
    <mergeCell ref="E82:F82"/>
    <mergeCell ref="B87:C87"/>
    <mergeCell ref="B88:C88"/>
    <mergeCell ref="B89:C89"/>
    <mergeCell ref="E83:F83"/>
    <mergeCell ref="E84:F84"/>
    <mergeCell ref="B85:C85"/>
    <mergeCell ref="E85:F85"/>
    <mergeCell ref="B86:C86"/>
    <mergeCell ref="E86:F86"/>
    <mergeCell ref="E87:F8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E32:F32"/>
    <mergeCell ref="E36:F36"/>
    <mergeCell ref="E37:F37"/>
    <mergeCell ref="B33:C33"/>
    <mergeCell ref="B34:C34"/>
    <mergeCell ref="E34:F34"/>
    <mergeCell ref="B35:C35"/>
    <mergeCell ref="E35:F35"/>
    <mergeCell ref="B36:C36"/>
    <mergeCell ref="B37:C37"/>
    <mergeCell ref="B38:C38"/>
    <mergeCell ref="E38:F38"/>
    <mergeCell ref="B39:C39"/>
    <mergeCell ref="E39:F39"/>
    <mergeCell ref="B40:C40"/>
    <mergeCell ref="E40:F40"/>
    <mergeCell ref="E41:F41"/>
    <mergeCell ref="B41:C41"/>
    <mergeCell ref="B42:C42"/>
    <mergeCell ref="B43:C43"/>
    <mergeCell ref="B44:C44"/>
    <mergeCell ref="B45:C45"/>
    <mergeCell ref="B46:C46"/>
    <mergeCell ref="B47:C47"/>
    <mergeCell ref="E88:F88"/>
    <mergeCell ref="E89:F89"/>
    <mergeCell ref="B90:C90"/>
    <mergeCell ref="E90:F90"/>
    <mergeCell ref="B91:C91"/>
    <mergeCell ref="E91:F91"/>
    <mergeCell ref="B92:C92"/>
    <mergeCell ref="E92:F92"/>
    <mergeCell ref="B1:P1"/>
    <mergeCell ref="B2:C2"/>
    <mergeCell ref="B3:C3"/>
    <mergeCell ref="E3:F3"/>
    <mergeCell ref="B4:C4"/>
    <mergeCell ref="E4:F4"/>
    <mergeCell ref="E5:F5"/>
    <mergeCell ref="E8:F8"/>
    <mergeCell ref="E9:F9"/>
    <mergeCell ref="B5:C5"/>
    <mergeCell ref="B6:C6"/>
    <mergeCell ref="E6:F6"/>
    <mergeCell ref="B7:C7"/>
    <mergeCell ref="E7:F7"/>
    <mergeCell ref="B8:C8"/>
    <mergeCell ref="B9:C9"/>
    <mergeCell ref="B10:C10"/>
    <mergeCell ref="E10:F10"/>
    <mergeCell ref="B11:C11"/>
    <mergeCell ref="E11:F11"/>
    <mergeCell ref="B12:C12"/>
    <mergeCell ref="E12:F12"/>
    <mergeCell ref="E13:F13"/>
    <mergeCell ref="B13:C13"/>
    <mergeCell ref="B14:C14"/>
    <mergeCell ref="B15:C15"/>
    <mergeCell ref="B16:C16"/>
    <mergeCell ref="B17:C17"/>
    <mergeCell ref="B18:C18"/>
    <mergeCell ref="B19:C19"/>
    <mergeCell ref="E22:F22"/>
    <mergeCell ref="E23:F23"/>
    <mergeCell ref="E24:F24"/>
    <mergeCell ref="E25:F25"/>
    <mergeCell ref="E26:F26"/>
    <mergeCell ref="E27:F27"/>
    <mergeCell ref="E28:F28"/>
    <mergeCell ref="E29:F29"/>
    <mergeCell ref="E14:F14"/>
    <mergeCell ref="E15:F15"/>
    <mergeCell ref="E16:F16"/>
    <mergeCell ref="E17:F17"/>
    <mergeCell ref="E18:F18"/>
    <mergeCell ref="E20:F20"/>
    <mergeCell ref="E21:F21"/>
    <mergeCell ref="E49:F49"/>
    <mergeCell ref="E50:F50"/>
    <mergeCell ref="E42:F42"/>
    <mergeCell ref="E43:F43"/>
    <mergeCell ref="E44:F44"/>
    <mergeCell ref="E45:F45"/>
    <mergeCell ref="E46:F46"/>
    <mergeCell ref="E47:F47"/>
    <mergeCell ref="E48:F48"/>
    <mergeCell ref="E52:F52"/>
    <mergeCell ref="E53:F53"/>
    <mergeCell ref="B48:C48"/>
    <mergeCell ref="B49:C49"/>
    <mergeCell ref="B50:C50"/>
    <mergeCell ref="B51:C51"/>
    <mergeCell ref="E51:F51"/>
    <mergeCell ref="B52:C52"/>
    <mergeCell ref="B53:C53"/>
    <mergeCell ref="B57:C57"/>
    <mergeCell ref="B58:C58"/>
    <mergeCell ref="B59:C59"/>
    <mergeCell ref="B54:C54"/>
    <mergeCell ref="E54:F54"/>
    <mergeCell ref="B55:C55"/>
    <mergeCell ref="E55:F55"/>
    <mergeCell ref="B56:C56"/>
    <mergeCell ref="E56:F56"/>
    <mergeCell ref="E57:F57"/>
    <mergeCell ref="B62:C62"/>
    <mergeCell ref="B63:C63"/>
    <mergeCell ref="B64:C64"/>
    <mergeCell ref="E58:F58"/>
    <mergeCell ref="E59:F59"/>
    <mergeCell ref="B60:C60"/>
    <mergeCell ref="E60:F60"/>
    <mergeCell ref="B61:C61"/>
    <mergeCell ref="E61:F61"/>
    <mergeCell ref="E62:F62"/>
    <mergeCell ref="B67:C67"/>
    <mergeCell ref="B68:C68"/>
    <mergeCell ref="B69:C69"/>
    <mergeCell ref="E63:F63"/>
    <mergeCell ref="E64:F64"/>
    <mergeCell ref="B65:C65"/>
    <mergeCell ref="E65:F65"/>
    <mergeCell ref="B66:C66"/>
    <mergeCell ref="E66:F66"/>
    <mergeCell ref="E67:F67"/>
    <mergeCell ref="B72:C72"/>
    <mergeCell ref="B73:C73"/>
    <mergeCell ref="B74:C74"/>
    <mergeCell ref="E68:F68"/>
    <mergeCell ref="E69:F69"/>
    <mergeCell ref="B70:C70"/>
    <mergeCell ref="E70:F70"/>
    <mergeCell ref="B71:C71"/>
    <mergeCell ref="E71:F71"/>
    <mergeCell ref="E72:F72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86"/>
    <col customWidth="1" min="2" max="2" width="29.14"/>
    <col customWidth="1" min="3" max="3" width="26.71"/>
    <col customWidth="1" hidden="1" min="4" max="4" width="14.0"/>
    <col customWidth="1" hidden="1" min="5" max="5" width="5.71"/>
    <col customWidth="1" hidden="1" min="6" max="6" width="8.0"/>
    <col customWidth="1" min="7" max="7" width="17.71"/>
    <col customWidth="1" min="8" max="8" width="8.29"/>
    <col customWidth="1" hidden="1" min="9" max="9" width="12.0"/>
    <col customWidth="1" hidden="1" min="10" max="10" width="15.14"/>
    <col customWidth="1" hidden="1" min="11" max="11" width="10.29"/>
    <col customWidth="1" hidden="1" min="12" max="12" width="11.57"/>
    <col customWidth="1" hidden="1" min="13" max="13" width="14.0"/>
    <col customWidth="1" min="14" max="14" width="11.71"/>
    <col customWidth="1" min="15" max="15" width="21.14"/>
    <col customWidth="1" min="16" max="16" width="16.86"/>
    <col customWidth="1" min="17" max="17" width="2.0"/>
    <col customWidth="1" min="18" max="18" width="15.71"/>
    <col customWidth="1" min="19" max="20" width="8.71"/>
    <col customWidth="1" min="21" max="22" width="13.86"/>
    <col customWidth="1" min="23" max="27" width="8.71"/>
  </cols>
  <sheetData>
    <row r="1" ht="57.75" customHeight="1">
      <c r="A1" s="424"/>
    </row>
    <row r="2" ht="35.25" customHeight="1">
      <c r="A2" s="124" t="s">
        <v>831</v>
      </c>
      <c r="B2" s="125" t="s">
        <v>16</v>
      </c>
      <c r="C2" s="35"/>
      <c r="D2" s="126" t="s">
        <v>1193</v>
      </c>
      <c r="E2" s="126"/>
      <c r="F2" s="126" t="s">
        <v>1194</v>
      </c>
      <c r="G2" s="514" t="s">
        <v>395</v>
      </c>
      <c r="H2" s="35"/>
      <c r="I2" s="126" t="s">
        <v>1195</v>
      </c>
      <c r="J2" s="126"/>
      <c r="K2" s="126"/>
      <c r="L2" s="126" t="s">
        <v>1196</v>
      </c>
      <c r="M2" s="425" t="s">
        <v>1197</v>
      </c>
      <c r="N2" s="425" t="s">
        <v>837</v>
      </c>
      <c r="O2" s="126" t="s">
        <v>838</v>
      </c>
      <c r="P2" s="128" t="s">
        <v>263</v>
      </c>
      <c r="Q2" s="126"/>
      <c r="R2" s="129" t="s">
        <v>24</v>
      </c>
      <c r="S2" s="428" t="s">
        <v>25</v>
      </c>
      <c r="T2" s="429" t="s">
        <v>26</v>
      </c>
    </row>
    <row r="3">
      <c r="A3" s="153" t="s">
        <v>1198</v>
      </c>
      <c r="B3" s="436" t="s">
        <v>1199</v>
      </c>
      <c r="C3" s="35"/>
      <c r="D3" s="138"/>
      <c r="E3" s="34"/>
      <c r="F3" s="35"/>
      <c r="G3" s="135">
        <v>27.0</v>
      </c>
      <c r="H3" s="35"/>
      <c r="I3" s="138"/>
      <c r="J3" s="34"/>
      <c r="K3" s="35"/>
      <c r="L3" s="430"/>
      <c r="M3" s="35"/>
      <c r="N3" s="301">
        <f>11.98*1300</f>
        <v>15574</v>
      </c>
      <c r="O3" s="431">
        <f t="shared" ref="O3:O8" si="1">N3*1.21</f>
        <v>18844.54</v>
      </c>
      <c r="P3" s="515">
        <f>O3/(1-0.3)</f>
        <v>26920.77143</v>
      </c>
      <c r="Q3" s="516"/>
      <c r="R3" s="517">
        <f>O3/(1-0.35)</f>
        <v>28991.6</v>
      </c>
      <c r="S3" s="428">
        <v>1.0</v>
      </c>
      <c r="T3" s="518">
        <f t="shared" ref="T3:T9" si="2">G3-S3</f>
        <v>26</v>
      </c>
    </row>
    <row r="4">
      <c r="A4" s="441" t="s">
        <v>1200</v>
      </c>
      <c r="B4" s="436" t="s">
        <v>1201</v>
      </c>
      <c r="C4" s="35"/>
      <c r="D4" s="138"/>
      <c r="E4" s="34"/>
      <c r="F4" s="35"/>
      <c r="G4" s="467">
        <v>3.0</v>
      </c>
      <c r="H4" s="35"/>
      <c r="I4" s="138"/>
      <c r="J4" s="34"/>
      <c r="K4" s="35"/>
      <c r="L4" s="430"/>
      <c r="M4" s="35"/>
      <c r="N4" s="301">
        <f t="shared" ref="N4:N5" si="3">2.19*1300</f>
        <v>2847</v>
      </c>
      <c r="O4" s="431">
        <f t="shared" si="1"/>
        <v>3444.87</v>
      </c>
      <c r="P4" s="515">
        <f t="shared" ref="P4:P5" si="4">O4/(1-0.45)</f>
        <v>6263.4</v>
      </c>
      <c r="Q4" s="516"/>
      <c r="R4" s="517">
        <f t="shared" ref="R4:R5" si="5">O4/(1-0.5)</f>
        <v>6889.74</v>
      </c>
      <c r="S4" s="428">
        <v>1.0</v>
      </c>
      <c r="T4" s="518">
        <f t="shared" si="2"/>
        <v>2</v>
      </c>
    </row>
    <row r="5">
      <c r="A5" s="153" t="s">
        <v>1202</v>
      </c>
      <c r="B5" s="436" t="s">
        <v>1203</v>
      </c>
      <c r="C5" s="35"/>
      <c r="D5" s="138"/>
      <c r="E5" s="34"/>
      <c r="F5" s="35"/>
      <c r="G5" s="467">
        <v>22.0</v>
      </c>
      <c r="H5" s="35"/>
      <c r="I5" s="138"/>
      <c r="J5" s="34"/>
      <c r="K5" s="35"/>
      <c r="L5" s="430"/>
      <c r="M5" s="35"/>
      <c r="N5" s="301">
        <f t="shared" si="3"/>
        <v>2847</v>
      </c>
      <c r="O5" s="431">
        <f t="shared" si="1"/>
        <v>3444.87</v>
      </c>
      <c r="P5" s="515">
        <f t="shared" si="4"/>
        <v>6263.4</v>
      </c>
      <c r="Q5" s="516"/>
      <c r="R5" s="517">
        <f t="shared" si="5"/>
        <v>6889.74</v>
      </c>
      <c r="S5" s="428">
        <v>1.0</v>
      </c>
      <c r="T5" s="518">
        <f t="shared" si="2"/>
        <v>21</v>
      </c>
    </row>
    <row r="6">
      <c r="A6" s="441" t="s">
        <v>1204</v>
      </c>
      <c r="B6" s="436" t="s">
        <v>1205</v>
      </c>
      <c r="C6" s="35"/>
      <c r="D6" s="138"/>
      <c r="E6" s="34"/>
      <c r="F6" s="35"/>
      <c r="G6" s="467">
        <v>16.0</v>
      </c>
      <c r="H6" s="35"/>
      <c r="I6" s="138"/>
      <c r="J6" s="34"/>
      <c r="K6" s="35"/>
      <c r="L6" s="430"/>
      <c r="M6" s="35"/>
      <c r="N6" s="302">
        <v>462.0</v>
      </c>
      <c r="O6" s="431">
        <f t="shared" si="1"/>
        <v>559.02</v>
      </c>
      <c r="P6" s="515">
        <f t="shared" ref="P6:P8" si="6">O6/(1-0.3)</f>
        <v>798.6</v>
      </c>
      <c r="Q6" s="516"/>
      <c r="R6" s="517">
        <f t="shared" ref="R6:R8" si="7">O6/(1-0.35)</f>
        <v>860.0307692</v>
      </c>
      <c r="S6" s="519"/>
      <c r="T6" s="518">
        <f t="shared" si="2"/>
        <v>16</v>
      </c>
    </row>
    <row r="7">
      <c r="A7" s="441" t="s">
        <v>1206</v>
      </c>
      <c r="B7" s="436" t="s">
        <v>1207</v>
      </c>
      <c r="C7" s="35"/>
      <c r="D7" s="138"/>
      <c r="E7" s="34"/>
      <c r="F7" s="35"/>
      <c r="G7" s="467">
        <v>81.0</v>
      </c>
      <c r="H7" s="35"/>
      <c r="I7" s="138"/>
      <c r="J7" s="34"/>
      <c r="K7" s="35"/>
      <c r="L7" s="430"/>
      <c r="M7" s="35"/>
      <c r="N7" s="302">
        <v>140.0</v>
      </c>
      <c r="O7" s="431">
        <f t="shared" si="1"/>
        <v>169.4</v>
      </c>
      <c r="P7" s="515">
        <f t="shared" si="6"/>
        <v>242</v>
      </c>
      <c r="Q7" s="516"/>
      <c r="R7" s="517">
        <f t="shared" si="7"/>
        <v>260.6153846</v>
      </c>
      <c r="S7" s="519"/>
      <c r="T7" s="518">
        <f t="shared" si="2"/>
        <v>81</v>
      </c>
    </row>
    <row r="8">
      <c r="A8" s="441" t="s">
        <v>1208</v>
      </c>
      <c r="B8" s="436" t="s">
        <v>1209</v>
      </c>
      <c r="C8" s="35"/>
      <c r="D8" s="138"/>
      <c r="E8" s="34"/>
      <c r="F8" s="35"/>
      <c r="G8" s="467">
        <v>33.0</v>
      </c>
      <c r="H8" s="35"/>
      <c r="I8" s="138"/>
      <c r="J8" s="34"/>
      <c r="K8" s="35"/>
      <c r="L8" s="430"/>
      <c r="M8" s="35"/>
      <c r="N8" s="302">
        <v>900.0</v>
      </c>
      <c r="O8" s="431">
        <f t="shared" si="1"/>
        <v>1089</v>
      </c>
      <c r="P8" s="515">
        <f t="shared" si="6"/>
        <v>1555.714286</v>
      </c>
      <c r="Q8" s="516"/>
      <c r="R8" s="517">
        <f t="shared" si="7"/>
        <v>1675.384615</v>
      </c>
      <c r="S8" s="519"/>
      <c r="T8" s="518">
        <f t="shared" si="2"/>
        <v>33</v>
      </c>
    </row>
    <row r="9">
      <c r="A9" s="153"/>
      <c r="B9" s="138"/>
      <c r="C9" s="35"/>
      <c r="D9" s="138"/>
      <c r="E9" s="34"/>
      <c r="F9" s="35"/>
      <c r="G9" s="135"/>
      <c r="H9" s="35"/>
      <c r="I9" s="138"/>
      <c r="J9" s="34"/>
      <c r="K9" s="35"/>
      <c r="L9" s="430"/>
      <c r="M9" s="35"/>
      <c r="N9" s="301"/>
      <c r="O9" s="431"/>
      <c r="P9" s="433"/>
      <c r="Q9" s="141"/>
      <c r="R9" s="142"/>
      <c r="S9" s="519"/>
      <c r="T9" s="518">
        <f t="shared" si="2"/>
        <v>0</v>
      </c>
    </row>
    <row r="10">
      <c r="A10" s="153"/>
      <c r="B10" s="138"/>
      <c r="C10" s="35"/>
      <c r="D10" s="138"/>
      <c r="E10" s="34"/>
      <c r="F10" s="35"/>
      <c r="G10" s="135"/>
      <c r="H10" s="35"/>
      <c r="I10" s="138"/>
      <c r="J10" s="34"/>
      <c r="K10" s="35"/>
      <c r="L10" s="430"/>
      <c r="M10" s="35"/>
      <c r="N10" s="301"/>
      <c r="O10" s="431"/>
      <c r="P10" s="433"/>
      <c r="Q10" s="141"/>
      <c r="R10" s="142"/>
    </row>
    <row r="11">
      <c r="A11" s="153"/>
      <c r="B11" s="138"/>
      <c r="C11" s="35"/>
      <c r="D11" s="138"/>
      <c r="E11" s="34"/>
      <c r="F11" s="35"/>
      <c r="G11" s="135"/>
      <c r="H11" s="35"/>
      <c r="I11" s="138"/>
      <c r="J11" s="34"/>
      <c r="K11" s="35"/>
      <c r="L11" s="430"/>
      <c r="M11" s="35"/>
      <c r="N11" s="301"/>
      <c r="O11" s="431"/>
      <c r="P11" s="433"/>
      <c r="Q11" s="141"/>
      <c r="R11" s="142"/>
    </row>
    <row r="12">
      <c r="A12" s="153"/>
      <c r="B12" s="138"/>
      <c r="C12" s="35"/>
      <c r="D12" s="138"/>
      <c r="E12" s="34"/>
      <c r="F12" s="35"/>
      <c r="G12" s="135"/>
      <c r="H12" s="35"/>
      <c r="I12" s="138"/>
      <c r="J12" s="34"/>
      <c r="K12" s="35"/>
      <c r="L12" s="430"/>
      <c r="M12" s="35"/>
      <c r="N12" s="301"/>
      <c r="O12" s="431"/>
      <c r="P12" s="433"/>
      <c r="Q12" s="141"/>
      <c r="R12" s="142"/>
    </row>
    <row r="13">
      <c r="A13" s="153"/>
      <c r="B13" s="138"/>
      <c r="C13" s="35"/>
      <c r="D13" s="138"/>
      <c r="E13" s="34"/>
      <c r="F13" s="35"/>
      <c r="G13" s="135"/>
      <c r="H13" s="35"/>
      <c r="I13" s="138"/>
      <c r="J13" s="34"/>
      <c r="K13" s="35"/>
      <c r="L13" s="430"/>
      <c r="M13" s="35"/>
      <c r="N13" s="301"/>
      <c r="O13" s="431"/>
      <c r="P13" s="433"/>
      <c r="Q13" s="141"/>
      <c r="R13" s="142"/>
    </row>
    <row r="14">
      <c r="A14" s="153"/>
      <c r="B14" s="138"/>
      <c r="C14" s="35"/>
      <c r="D14" s="138"/>
      <c r="E14" s="34"/>
      <c r="F14" s="35"/>
      <c r="G14" s="135"/>
      <c r="H14" s="35"/>
      <c r="I14" s="138"/>
      <c r="J14" s="34"/>
      <c r="K14" s="35"/>
      <c r="L14" s="430"/>
      <c r="M14" s="35"/>
      <c r="N14" s="301"/>
      <c r="O14" s="431"/>
      <c r="P14" s="433"/>
      <c r="Q14" s="141"/>
      <c r="R14" s="142"/>
    </row>
    <row r="15">
      <c r="A15" s="153"/>
      <c r="B15" s="138"/>
      <c r="C15" s="35"/>
      <c r="D15" s="138"/>
      <c r="E15" s="34"/>
      <c r="F15" s="35"/>
      <c r="G15" s="135"/>
      <c r="H15" s="35"/>
      <c r="I15" s="138"/>
      <c r="J15" s="34"/>
      <c r="K15" s="35"/>
      <c r="L15" s="430"/>
      <c r="M15" s="35"/>
      <c r="N15" s="301"/>
      <c r="O15" s="431"/>
      <c r="P15" s="433"/>
      <c r="Q15" s="141"/>
      <c r="R15" s="142"/>
    </row>
    <row r="16">
      <c r="A16" s="153"/>
      <c r="B16" s="138"/>
      <c r="C16" s="35"/>
      <c r="D16" s="138"/>
      <c r="E16" s="34"/>
      <c r="F16" s="35"/>
      <c r="G16" s="520"/>
      <c r="H16" s="16"/>
      <c r="I16" s="521"/>
      <c r="J16" s="3"/>
      <c r="K16" s="16"/>
      <c r="L16" s="430"/>
      <c r="M16" s="35"/>
      <c r="N16" s="301"/>
      <c r="O16" s="431"/>
      <c r="P16" s="433"/>
      <c r="Q16" s="141"/>
      <c r="R16" s="142"/>
    </row>
    <row r="17">
      <c r="A17" s="153"/>
      <c r="B17" s="138"/>
      <c r="C17" s="35"/>
      <c r="D17" s="138"/>
      <c r="E17" s="34"/>
      <c r="F17" s="35"/>
      <c r="G17" s="135"/>
      <c r="H17" s="34"/>
      <c r="I17" s="522"/>
      <c r="J17" s="34"/>
      <c r="K17" s="35"/>
      <c r="L17" s="523"/>
      <c r="M17" s="35"/>
      <c r="N17" s="301"/>
      <c r="O17" s="431"/>
      <c r="P17" s="433"/>
      <c r="Q17" s="141"/>
      <c r="R17" s="142"/>
    </row>
    <row r="18" ht="15.75" customHeight="1">
      <c r="A18" s="153"/>
      <c r="B18" s="138"/>
      <c r="C18" s="35"/>
      <c r="D18" s="438"/>
      <c r="F18" s="138"/>
      <c r="G18" s="524"/>
      <c r="H18" s="34"/>
      <c r="I18" s="34"/>
      <c r="J18" s="525"/>
      <c r="K18" s="526"/>
      <c r="L18" s="526"/>
      <c r="M18" s="490"/>
      <c r="N18" s="490"/>
      <c r="O18" s="490"/>
      <c r="P18" s="433"/>
      <c r="R18" s="142"/>
    </row>
    <row r="19" ht="15.75" customHeight="1">
      <c r="A19" s="153"/>
      <c r="B19" s="138"/>
      <c r="C19" s="35"/>
      <c r="D19" s="443"/>
      <c r="F19" s="138"/>
      <c r="G19" s="524"/>
      <c r="H19" s="34"/>
      <c r="I19" s="34"/>
      <c r="J19" s="527"/>
      <c r="K19" s="35"/>
      <c r="L19" s="527"/>
      <c r="M19" s="35"/>
      <c r="N19" s="490"/>
      <c r="O19" s="490"/>
      <c r="P19" s="433"/>
      <c r="R19" s="142"/>
    </row>
    <row r="20" ht="15.75" customHeight="1">
      <c r="A20" s="153"/>
      <c r="B20" s="138"/>
      <c r="C20" s="35"/>
      <c r="D20" s="443"/>
      <c r="F20" s="138"/>
      <c r="G20" s="524"/>
      <c r="H20" s="34"/>
      <c r="I20" s="34"/>
      <c r="J20" s="527"/>
      <c r="K20" s="35"/>
      <c r="L20" s="527"/>
      <c r="M20" s="35"/>
      <c r="N20" s="490"/>
      <c r="O20" s="490"/>
      <c r="P20" s="433"/>
      <c r="R20" s="142"/>
    </row>
    <row r="21" ht="15.75" customHeight="1">
      <c r="A21" s="153"/>
      <c r="B21" s="138"/>
      <c r="C21" s="35"/>
      <c r="D21" s="443"/>
      <c r="F21" s="138"/>
      <c r="G21" s="524"/>
      <c r="H21" s="34"/>
      <c r="I21" s="34"/>
      <c r="J21" s="527"/>
      <c r="K21" s="35"/>
      <c r="L21" s="527"/>
      <c r="M21" s="35"/>
      <c r="N21" s="490"/>
      <c r="O21" s="490"/>
      <c r="P21" s="433"/>
      <c r="R21" s="142"/>
    </row>
    <row r="22" ht="15.75" customHeight="1">
      <c r="A22" s="153"/>
      <c r="B22" s="138"/>
      <c r="C22" s="35"/>
      <c r="D22" s="443"/>
      <c r="F22" s="138"/>
      <c r="G22" s="524"/>
      <c r="H22" s="34"/>
      <c r="I22" s="34"/>
      <c r="J22" s="527"/>
      <c r="K22" s="35"/>
      <c r="L22" s="527"/>
      <c r="M22" s="35"/>
      <c r="N22" s="490"/>
      <c r="O22" s="490"/>
      <c r="P22" s="433"/>
      <c r="R22" s="142"/>
    </row>
    <row r="23" ht="15.75" customHeight="1">
      <c r="A23" s="153"/>
      <c r="B23" s="138"/>
      <c r="C23" s="35"/>
      <c r="D23" s="443"/>
      <c r="F23" s="138"/>
      <c r="G23" s="524"/>
      <c r="H23" s="34"/>
      <c r="I23" s="34"/>
      <c r="J23" s="527"/>
      <c r="K23" s="35"/>
      <c r="L23" s="527"/>
      <c r="M23" s="35"/>
      <c r="N23" s="490"/>
      <c r="O23" s="490"/>
      <c r="P23" s="433"/>
      <c r="R23" s="142"/>
    </row>
    <row r="24" ht="15.75" customHeight="1">
      <c r="A24" s="153"/>
      <c r="B24" s="138"/>
      <c r="C24" s="35"/>
      <c r="D24" s="443"/>
      <c r="F24" s="138"/>
      <c r="G24" s="524"/>
      <c r="H24" s="34"/>
      <c r="I24" s="34"/>
      <c r="J24" s="527"/>
      <c r="K24" s="35"/>
      <c r="L24" s="527"/>
      <c r="M24" s="35"/>
      <c r="N24" s="490"/>
      <c r="O24" s="490"/>
      <c r="P24" s="433"/>
      <c r="R24" s="142"/>
    </row>
    <row r="25" ht="15.75" customHeight="1">
      <c r="A25" s="153"/>
      <c r="B25" s="138"/>
      <c r="C25" s="35"/>
      <c r="D25" s="443"/>
      <c r="F25" s="138"/>
      <c r="G25" s="524"/>
      <c r="H25" s="34"/>
      <c r="I25" s="34"/>
      <c r="J25" s="527"/>
      <c r="K25" s="35"/>
      <c r="L25" s="527"/>
      <c r="M25" s="35"/>
      <c r="N25" s="490"/>
      <c r="O25" s="490"/>
      <c r="P25" s="433"/>
      <c r="R25" s="142"/>
    </row>
    <row r="26" ht="15.75" customHeight="1">
      <c r="A26" s="153"/>
      <c r="B26" s="138"/>
      <c r="C26" s="35"/>
      <c r="D26" s="443"/>
      <c r="F26" s="138"/>
      <c r="G26" s="524"/>
      <c r="H26" s="34"/>
      <c r="I26" s="34"/>
      <c r="J26" s="527"/>
      <c r="K26" s="35"/>
      <c r="L26" s="527"/>
      <c r="M26" s="35"/>
      <c r="N26" s="490"/>
      <c r="O26" s="490"/>
      <c r="P26" s="433"/>
      <c r="R26" s="142"/>
    </row>
    <row r="27" ht="15.75" customHeight="1">
      <c r="A27" s="153"/>
      <c r="B27" s="138"/>
      <c r="C27" s="35"/>
      <c r="D27" s="443"/>
      <c r="F27" s="138"/>
      <c r="G27" s="524"/>
      <c r="H27" s="34"/>
      <c r="I27" s="34"/>
      <c r="J27" s="527"/>
      <c r="K27" s="35"/>
      <c r="L27" s="527"/>
      <c r="M27" s="35"/>
      <c r="N27" s="490"/>
      <c r="O27" s="490"/>
      <c r="P27" s="433"/>
      <c r="R27" s="142"/>
    </row>
    <row r="28" ht="15.75" customHeight="1">
      <c r="A28" s="153"/>
      <c r="B28" s="138"/>
      <c r="C28" s="35"/>
      <c r="D28" s="443"/>
      <c r="F28" s="138"/>
      <c r="G28" s="524"/>
      <c r="H28" s="34"/>
      <c r="I28" s="34"/>
      <c r="J28" s="527"/>
      <c r="K28" s="35"/>
      <c r="L28" s="527"/>
      <c r="M28" s="35"/>
      <c r="N28" s="490"/>
      <c r="O28" s="490"/>
      <c r="P28" s="433"/>
      <c r="R28" s="142"/>
    </row>
    <row r="29" ht="15.75" customHeight="1">
      <c r="A29" s="153"/>
      <c r="B29" s="138"/>
      <c r="C29" s="35"/>
      <c r="D29" s="443"/>
      <c r="F29" s="138"/>
      <c r="G29" s="524"/>
      <c r="H29" s="34"/>
      <c r="I29" s="34"/>
      <c r="J29" s="527"/>
      <c r="K29" s="35"/>
      <c r="L29" s="527"/>
      <c r="M29" s="35"/>
      <c r="N29" s="490"/>
      <c r="O29" s="490"/>
      <c r="P29" s="433"/>
      <c r="R29" s="142"/>
    </row>
    <row r="30" ht="15.75" customHeight="1">
      <c r="A30" s="153"/>
      <c r="B30" s="138"/>
      <c r="C30" s="35"/>
      <c r="D30" s="443"/>
      <c r="F30" s="138"/>
      <c r="G30" s="524"/>
      <c r="H30" s="34"/>
      <c r="I30" s="34"/>
      <c r="J30" s="527"/>
      <c r="K30" s="35"/>
      <c r="L30" s="527"/>
      <c r="M30" s="35"/>
      <c r="N30" s="490"/>
      <c r="O30" s="490"/>
      <c r="P30" s="433"/>
      <c r="R30" s="142"/>
    </row>
    <row r="31" ht="15.75" customHeight="1">
      <c r="A31" s="153"/>
      <c r="B31" s="138"/>
      <c r="C31" s="35"/>
      <c r="D31" s="443"/>
      <c r="F31" s="138"/>
      <c r="G31" s="524"/>
      <c r="H31" s="34"/>
      <c r="I31" s="34"/>
      <c r="J31" s="527"/>
      <c r="K31" s="35"/>
      <c r="L31" s="527"/>
      <c r="M31" s="35"/>
      <c r="N31" s="490"/>
      <c r="O31" s="490"/>
      <c r="P31" s="433"/>
      <c r="R31" s="142"/>
    </row>
    <row r="32" ht="15.75" customHeight="1">
      <c r="A32" s="153"/>
      <c r="B32" s="138"/>
      <c r="C32" s="35"/>
      <c r="D32" s="443"/>
      <c r="F32" s="138"/>
      <c r="G32" s="524"/>
      <c r="H32" s="34"/>
      <c r="I32" s="34"/>
      <c r="J32" s="527"/>
      <c r="K32" s="35"/>
      <c r="L32" s="527"/>
      <c r="M32" s="35"/>
      <c r="N32" s="490"/>
      <c r="O32" s="490"/>
      <c r="P32" s="433"/>
      <c r="R32" s="142"/>
    </row>
    <row r="33" ht="15.75" customHeight="1">
      <c r="A33" s="153"/>
      <c r="B33" s="138"/>
      <c r="C33" s="35"/>
      <c r="D33" s="443"/>
      <c r="F33" s="456"/>
      <c r="G33" s="524"/>
      <c r="H33" s="34"/>
      <c r="I33" s="34"/>
      <c r="J33" s="527"/>
      <c r="K33" s="35"/>
      <c r="L33" s="528"/>
      <c r="M33" s="35"/>
      <c r="N33" s="490"/>
      <c r="O33" s="490"/>
      <c r="P33" s="433"/>
      <c r="R33" s="142"/>
    </row>
    <row r="34" ht="15.75" customHeight="1">
      <c r="A34" s="153"/>
      <c r="B34" s="138"/>
      <c r="C34" s="35"/>
      <c r="D34" s="443"/>
      <c r="E34" s="443"/>
      <c r="F34" s="456"/>
      <c r="G34" s="524"/>
      <c r="H34" s="34"/>
      <c r="I34" s="34"/>
      <c r="J34" s="527"/>
      <c r="K34" s="35"/>
      <c r="L34" s="528"/>
      <c r="M34" s="35"/>
      <c r="N34" s="490"/>
      <c r="O34" s="490"/>
      <c r="P34" s="433"/>
      <c r="R34" s="142"/>
      <c r="S34" s="176"/>
      <c r="T34" s="176" t="s">
        <v>1210</v>
      </c>
    </row>
    <row r="35" ht="15.75" customHeight="1">
      <c r="A35" s="153"/>
      <c r="B35" s="138"/>
      <c r="C35" s="35"/>
      <c r="D35" s="443"/>
      <c r="G35" s="524"/>
      <c r="H35" s="34"/>
      <c r="I35" s="34"/>
      <c r="J35" s="525"/>
      <c r="K35" s="526"/>
      <c r="L35" s="526"/>
      <c r="M35" s="490"/>
      <c r="N35" s="490"/>
      <c r="O35" s="490"/>
      <c r="P35" s="433"/>
      <c r="R35" s="142"/>
      <c r="S35" s="176"/>
      <c r="T35" s="176" t="s">
        <v>1210</v>
      </c>
    </row>
    <row r="36" ht="15.75" customHeight="1">
      <c r="A36" s="153"/>
      <c r="B36" s="138"/>
      <c r="C36" s="35"/>
      <c r="D36" s="443"/>
      <c r="G36" s="524"/>
      <c r="H36" s="34"/>
      <c r="I36" s="34"/>
      <c r="J36" s="525"/>
      <c r="K36" s="526"/>
      <c r="L36" s="526"/>
      <c r="M36" s="490"/>
      <c r="N36" s="490"/>
      <c r="O36" s="490"/>
      <c r="P36" s="433"/>
      <c r="R36" s="142"/>
    </row>
    <row r="37" ht="15.75" customHeight="1">
      <c r="A37" s="153"/>
      <c r="B37" s="138"/>
      <c r="C37" s="35"/>
      <c r="D37" s="443"/>
      <c r="G37" s="524"/>
      <c r="H37" s="34"/>
      <c r="I37" s="34"/>
      <c r="J37" s="525"/>
      <c r="K37" s="526"/>
      <c r="L37" s="526"/>
      <c r="M37" s="490"/>
      <c r="N37" s="490"/>
      <c r="O37" s="490"/>
      <c r="P37" s="433"/>
      <c r="R37" s="142"/>
    </row>
    <row r="38" ht="15.75" customHeight="1">
      <c r="A38" s="153"/>
      <c r="B38" s="138"/>
      <c r="C38" s="35"/>
      <c r="D38" s="443"/>
      <c r="G38" s="524"/>
      <c r="H38" s="34"/>
      <c r="I38" s="34"/>
      <c r="J38" s="525"/>
      <c r="K38" s="526"/>
      <c r="L38" s="526"/>
      <c r="M38" s="490"/>
      <c r="N38" s="490"/>
      <c r="O38" s="490"/>
      <c r="P38" s="433"/>
      <c r="R38" s="142"/>
    </row>
    <row r="39" ht="15.75" customHeight="1">
      <c r="A39" s="153"/>
      <c r="B39" s="138"/>
      <c r="C39" s="35"/>
      <c r="D39" s="443"/>
      <c r="G39" s="524"/>
      <c r="H39" s="34"/>
      <c r="I39" s="34"/>
      <c r="J39" s="525"/>
      <c r="K39" s="526"/>
      <c r="L39" s="526"/>
      <c r="M39" s="490"/>
      <c r="N39" s="490"/>
      <c r="O39" s="490"/>
      <c r="P39" s="433"/>
      <c r="R39" s="142"/>
    </row>
    <row r="40" ht="15.75" customHeight="1">
      <c r="A40" s="153"/>
      <c r="B40" s="138"/>
      <c r="C40" s="35"/>
      <c r="D40" s="443"/>
      <c r="G40" s="524"/>
      <c r="H40" s="34"/>
      <c r="I40" s="34"/>
      <c r="J40" s="525"/>
      <c r="K40" s="526"/>
      <c r="L40" s="526"/>
      <c r="M40" s="490"/>
      <c r="N40" s="490"/>
      <c r="O40" s="490"/>
      <c r="P40" s="433"/>
      <c r="R40" s="142"/>
    </row>
    <row r="41" ht="15.75" customHeight="1">
      <c r="A41" s="153"/>
      <c r="B41" s="138"/>
      <c r="C41" s="35"/>
      <c r="D41" s="443"/>
      <c r="G41" s="524"/>
      <c r="H41" s="34"/>
      <c r="I41" s="34"/>
      <c r="J41" s="525"/>
      <c r="K41" s="526"/>
      <c r="L41" s="526"/>
      <c r="M41" s="490"/>
      <c r="N41" s="490"/>
      <c r="O41" s="490"/>
      <c r="P41" s="433"/>
      <c r="R41" s="142"/>
    </row>
    <row r="42" ht="15.75" customHeight="1">
      <c r="A42" s="153"/>
      <c r="B42" s="138"/>
      <c r="C42" s="35"/>
      <c r="D42" s="443"/>
      <c r="G42" s="524"/>
      <c r="H42" s="34"/>
      <c r="I42" s="34"/>
      <c r="J42" s="525"/>
      <c r="K42" s="526"/>
      <c r="L42" s="526"/>
      <c r="M42" s="490"/>
      <c r="N42" s="490"/>
      <c r="O42" s="490"/>
      <c r="P42" s="433"/>
      <c r="R42" s="142"/>
    </row>
    <row r="43" ht="15.75" customHeight="1">
      <c r="A43" s="153"/>
      <c r="B43" s="138"/>
      <c r="C43" s="35"/>
      <c r="D43" s="443"/>
      <c r="G43" s="524"/>
      <c r="H43" s="34"/>
      <c r="I43" s="34"/>
      <c r="J43" s="525"/>
      <c r="K43" s="526"/>
      <c r="L43" s="526"/>
      <c r="M43" s="490"/>
      <c r="N43" s="490"/>
      <c r="O43" s="490"/>
      <c r="P43" s="433"/>
      <c r="R43" s="142"/>
    </row>
    <row r="44" ht="15.75" customHeight="1">
      <c r="A44" s="153"/>
      <c r="B44" s="138"/>
      <c r="C44" s="35"/>
      <c r="D44" s="443"/>
      <c r="G44" s="524"/>
      <c r="H44" s="34"/>
      <c r="I44" s="34"/>
      <c r="J44" s="525"/>
      <c r="K44" s="526"/>
      <c r="L44" s="526"/>
      <c r="M44" s="490"/>
      <c r="N44" s="490"/>
      <c r="O44" s="490"/>
      <c r="P44" s="433"/>
      <c r="R44" s="142"/>
    </row>
    <row r="45" ht="15.75" customHeight="1">
      <c r="A45" s="153"/>
      <c r="B45" s="138"/>
      <c r="C45" s="35"/>
      <c r="D45" s="443"/>
      <c r="G45" s="524"/>
      <c r="H45" s="34"/>
      <c r="I45" s="34"/>
      <c r="J45" s="525"/>
      <c r="K45" s="526"/>
      <c r="L45" s="526"/>
      <c r="M45" s="490"/>
      <c r="N45" s="490"/>
      <c r="O45" s="490"/>
      <c r="P45" s="433"/>
      <c r="R45" s="142"/>
    </row>
    <row r="46" ht="15.75" customHeight="1">
      <c r="A46" s="153"/>
      <c r="B46" s="138"/>
      <c r="C46" s="35"/>
      <c r="D46" s="443"/>
      <c r="G46" s="524"/>
      <c r="H46" s="34"/>
      <c r="I46" s="34"/>
      <c r="J46" s="525"/>
      <c r="K46" s="526"/>
      <c r="L46" s="526"/>
      <c r="M46" s="490"/>
      <c r="N46" s="490"/>
      <c r="O46" s="490"/>
      <c r="P46" s="433"/>
      <c r="R46" s="142"/>
    </row>
    <row r="47" ht="15.75" customHeight="1">
      <c r="A47" s="153"/>
      <c r="B47" s="138"/>
      <c r="C47" s="35"/>
      <c r="D47" s="443"/>
      <c r="G47" s="524"/>
      <c r="H47" s="34"/>
      <c r="I47" s="34"/>
      <c r="J47" s="525"/>
      <c r="K47" s="526"/>
      <c r="L47" s="526"/>
      <c r="M47" s="490"/>
      <c r="N47" s="490"/>
      <c r="O47" s="490"/>
      <c r="P47" s="433"/>
      <c r="R47" s="142"/>
    </row>
    <row r="48" ht="15.75" customHeight="1">
      <c r="A48" s="153"/>
      <c r="B48" s="138"/>
      <c r="C48" s="35"/>
      <c r="D48" s="443"/>
      <c r="G48" s="524"/>
      <c r="H48" s="34"/>
      <c r="I48" s="34"/>
      <c r="J48" s="525"/>
      <c r="K48" s="526"/>
      <c r="L48" s="526"/>
      <c r="M48" s="490"/>
      <c r="N48" s="490"/>
      <c r="O48" s="490"/>
      <c r="P48" s="433"/>
      <c r="R48" s="142"/>
    </row>
    <row r="49" ht="15.75" customHeight="1">
      <c r="A49" s="153"/>
      <c r="B49" s="138"/>
      <c r="C49" s="35"/>
      <c r="D49" s="443"/>
      <c r="G49" s="524"/>
      <c r="H49" s="34"/>
      <c r="I49" s="34"/>
      <c r="J49" s="525"/>
      <c r="K49" s="526"/>
      <c r="L49" s="526"/>
      <c r="M49" s="490"/>
      <c r="N49" s="490"/>
      <c r="O49" s="490"/>
      <c r="P49" s="433"/>
      <c r="R49" s="142"/>
    </row>
    <row r="50" ht="15.75" customHeight="1">
      <c r="A50" s="153"/>
      <c r="G50" s="496"/>
    </row>
    <row r="51" ht="15.75" customHeight="1">
      <c r="G51" s="496"/>
    </row>
    <row r="52" ht="15.75" customHeight="1">
      <c r="G52" s="496"/>
    </row>
    <row r="53" ht="15.75" customHeight="1">
      <c r="G53" s="496"/>
    </row>
    <row r="54" ht="15.75" customHeight="1">
      <c r="G54" s="496"/>
    </row>
    <row r="55" ht="15.75" customHeight="1">
      <c r="G55" s="496"/>
    </row>
    <row r="56" ht="15.75" customHeight="1">
      <c r="G56" s="496"/>
    </row>
    <row r="57" ht="15.75" customHeight="1">
      <c r="G57" s="496"/>
    </row>
    <row r="58" ht="15.75" customHeight="1">
      <c r="G58" s="496"/>
    </row>
    <row r="59" ht="15.75" customHeight="1">
      <c r="G59" s="496"/>
    </row>
    <row r="60" ht="15.75" customHeight="1">
      <c r="G60" s="496"/>
    </row>
    <row r="61" ht="15.75" customHeight="1">
      <c r="G61" s="496"/>
    </row>
    <row r="62" ht="15.75" customHeight="1">
      <c r="G62" s="496"/>
    </row>
    <row r="63" ht="15.75" customHeight="1">
      <c r="G63" s="496"/>
    </row>
    <row r="64" ht="15.75" customHeight="1">
      <c r="G64" s="496"/>
    </row>
    <row r="65" ht="15.75" customHeight="1">
      <c r="G65" s="496"/>
    </row>
    <row r="66" ht="15.75" customHeight="1">
      <c r="G66" s="496"/>
    </row>
    <row r="67" ht="15.75" customHeight="1">
      <c r="G67" s="496"/>
    </row>
    <row r="68" ht="15.75" customHeight="1">
      <c r="G68" s="496"/>
    </row>
    <row r="69" ht="15.75" customHeight="1">
      <c r="G69" s="496"/>
    </row>
    <row r="70" ht="15.75" customHeight="1">
      <c r="G70" s="496"/>
    </row>
    <row r="71" ht="15.75" customHeight="1">
      <c r="G71" s="496"/>
    </row>
    <row r="72" ht="15.75" customHeight="1">
      <c r="G72" s="496"/>
    </row>
    <row r="73" ht="15.75" customHeight="1">
      <c r="G73" s="496"/>
    </row>
    <row r="74" ht="15.75" customHeight="1">
      <c r="G74" s="496"/>
    </row>
    <row r="75" ht="15.75" customHeight="1">
      <c r="G75" s="496"/>
    </row>
    <row r="76" ht="15.75" customHeight="1">
      <c r="G76" s="496"/>
    </row>
    <row r="77" ht="15.75" customHeight="1">
      <c r="G77" s="496"/>
    </row>
    <row r="78" ht="15.75" customHeight="1">
      <c r="G78" s="496"/>
    </row>
    <row r="79" ht="15.75" customHeight="1">
      <c r="G79" s="496"/>
    </row>
    <row r="80" ht="15.75" customHeight="1">
      <c r="G80" s="496"/>
    </row>
    <row r="81" ht="15.75" customHeight="1">
      <c r="G81" s="496"/>
    </row>
    <row r="82" ht="15.75" customHeight="1">
      <c r="G82" s="496"/>
    </row>
    <row r="83" ht="15.75" customHeight="1">
      <c r="G83" s="496"/>
    </row>
    <row r="84" ht="15.75" customHeight="1">
      <c r="G84" s="496"/>
    </row>
    <row r="85" ht="15.75" customHeight="1">
      <c r="G85" s="496"/>
    </row>
    <row r="86" ht="15.75" customHeight="1">
      <c r="G86" s="496"/>
    </row>
    <row r="87" ht="15.75" customHeight="1">
      <c r="G87" s="496"/>
    </row>
    <row r="88" ht="15.75" customHeight="1">
      <c r="G88" s="496"/>
    </row>
    <row r="89" ht="15.75" customHeight="1">
      <c r="G89" s="496"/>
    </row>
    <row r="90" ht="15.75" customHeight="1">
      <c r="G90" s="496"/>
    </row>
    <row r="91" ht="15.75" customHeight="1">
      <c r="G91" s="496"/>
    </row>
    <row r="92" ht="15.75" customHeight="1">
      <c r="G92" s="496"/>
    </row>
    <row r="93" ht="15.75" customHeight="1">
      <c r="G93" s="496"/>
    </row>
    <row r="94" ht="15.75" customHeight="1">
      <c r="G94" s="496"/>
    </row>
    <row r="95" ht="15.75" customHeight="1">
      <c r="G95" s="496"/>
    </row>
    <row r="96" ht="15.75" customHeight="1">
      <c r="G96" s="496"/>
    </row>
    <row r="97" ht="15.75" customHeight="1">
      <c r="G97" s="496"/>
    </row>
    <row r="98" ht="15.75" customHeight="1">
      <c r="G98" s="496"/>
    </row>
    <row r="99" ht="15.75" customHeight="1">
      <c r="G99" s="496"/>
    </row>
    <row r="100" ht="15.75" customHeight="1">
      <c r="G100" s="496"/>
    </row>
    <row r="101" ht="15.75" customHeight="1">
      <c r="G101" s="496"/>
    </row>
    <row r="102" ht="15.75" customHeight="1">
      <c r="G102" s="496"/>
    </row>
    <row r="103" ht="15.75" customHeight="1">
      <c r="G103" s="496"/>
    </row>
    <row r="104" ht="15.75" customHeight="1">
      <c r="G104" s="496"/>
    </row>
    <row r="105" ht="15.75" customHeight="1">
      <c r="G105" s="496"/>
    </row>
    <row r="106" ht="15.75" customHeight="1">
      <c r="G106" s="496"/>
    </row>
    <row r="107" ht="15.75" customHeight="1">
      <c r="G107" s="496"/>
    </row>
    <row r="108" ht="15.75" customHeight="1">
      <c r="G108" s="496"/>
    </row>
    <row r="109" ht="15.75" customHeight="1">
      <c r="G109" s="496"/>
    </row>
    <row r="110" ht="15.75" customHeight="1">
      <c r="G110" s="496"/>
    </row>
    <row r="111" ht="15.75" customHeight="1">
      <c r="G111" s="496"/>
    </row>
    <row r="112" ht="15.75" customHeight="1">
      <c r="G112" s="496"/>
    </row>
    <row r="113" ht="15.75" customHeight="1">
      <c r="G113" s="496"/>
    </row>
    <row r="114" ht="15.75" customHeight="1">
      <c r="G114" s="496"/>
    </row>
    <row r="115" ht="15.75" customHeight="1">
      <c r="G115" s="496"/>
    </row>
    <row r="116" ht="15.75" customHeight="1">
      <c r="G116" s="496"/>
    </row>
    <row r="117" ht="15.75" customHeight="1">
      <c r="G117" s="496"/>
    </row>
    <row r="118" ht="15.75" customHeight="1">
      <c r="G118" s="496"/>
    </row>
    <row r="119" ht="15.75" customHeight="1">
      <c r="G119" s="496"/>
    </row>
    <row r="120" ht="15.75" customHeight="1">
      <c r="G120" s="496"/>
    </row>
    <row r="121" ht="15.75" customHeight="1">
      <c r="G121" s="496"/>
    </row>
    <row r="122" ht="15.75" customHeight="1">
      <c r="G122" s="496"/>
    </row>
    <row r="123" ht="15.75" customHeight="1">
      <c r="G123" s="496"/>
    </row>
    <row r="124" ht="15.75" customHeight="1">
      <c r="G124" s="496"/>
    </row>
    <row r="125" ht="15.75" customHeight="1">
      <c r="G125" s="496"/>
    </row>
    <row r="126" ht="15.75" customHeight="1">
      <c r="G126" s="496"/>
    </row>
    <row r="127" ht="15.75" customHeight="1">
      <c r="G127" s="496"/>
    </row>
    <row r="128" ht="15.75" customHeight="1">
      <c r="G128" s="496"/>
    </row>
    <row r="129" ht="15.75" customHeight="1">
      <c r="G129" s="496"/>
    </row>
    <row r="130" ht="15.75" customHeight="1">
      <c r="G130" s="496"/>
    </row>
    <row r="131" ht="15.75" customHeight="1">
      <c r="G131" s="496"/>
    </row>
    <row r="132" ht="15.75" customHeight="1">
      <c r="G132" s="496"/>
    </row>
    <row r="133" ht="15.75" customHeight="1">
      <c r="G133" s="496"/>
    </row>
    <row r="134" ht="15.75" customHeight="1">
      <c r="G134" s="496"/>
    </row>
    <row r="135" ht="15.75" customHeight="1">
      <c r="G135" s="496"/>
    </row>
    <row r="136" ht="15.75" customHeight="1">
      <c r="G136" s="496"/>
    </row>
    <row r="137" ht="15.75" customHeight="1">
      <c r="G137" s="496"/>
    </row>
    <row r="138" ht="15.75" customHeight="1">
      <c r="G138" s="496"/>
    </row>
    <row r="139" ht="15.75" customHeight="1">
      <c r="G139" s="496"/>
    </row>
    <row r="140" ht="15.75" customHeight="1">
      <c r="G140" s="496"/>
    </row>
    <row r="141" ht="15.75" customHeight="1">
      <c r="G141" s="496"/>
    </row>
    <row r="142" ht="15.75" customHeight="1">
      <c r="G142" s="496"/>
    </row>
    <row r="143" ht="15.75" customHeight="1">
      <c r="G143" s="496"/>
    </row>
    <row r="144" ht="15.75" customHeight="1">
      <c r="G144" s="496"/>
    </row>
    <row r="145" ht="15.75" customHeight="1">
      <c r="G145" s="496"/>
    </row>
    <row r="146" ht="15.75" customHeight="1">
      <c r="G146" s="496"/>
    </row>
    <row r="147" ht="15.75" customHeight="1">
      <c r="G147" s="496"/>
    </row>
    <row r="148" ht="15.75" customHeight="1">
      <c r="G148" s="496"/>
    </row>
    <row r="149" ht="15.75" customHeight="1">
      <c r="G149" s="496"/>
    </row>
    <row r="150" ht="15.75" customHeight="1">
      <c r="G150" s="496"/>
    </row>
    <row r="151" ht="15.75" customHeight="1">
      <c r="G151" s="496"/>
    </row>
    <row r="152" ht="15.75" customHeight="1">
      <c r="G152" s="496"/>
    </row>
    <row r="153" ht="15.75" customHeight="1">
      <c r="G153" s="496"/>
    </row>
    <row r="154" ht="15.75" customHeight="1">
      <c r="G154" s="496"/>
    </row>
    <row r="155" ht="15.75" customHeight="1">
      <c r="G155" s="496"/>
    </row>
    <row r="156" ht="15.75" customHeight="1">
      <c r="G156" s="496"/>
    </row>
    <row r="157" ht="15.75" customHeight="1">
      <c r="G157" s="496"/>
    </row>
    <row r="158" ht="15.75" customHeight="1">
      <c r="G158" s="496"/>
    </row>
    <row r="159" ht="15.75" customHeight="1">
      <c r="G159" s="496"/>
    </row>
    <row r="160" ht="15.75" customHeight="1">
      <c r="G160" s="496"/>
    </row>
    <row r="161" ht="15.75" customHeight="1">
      <c r="G161" s="496"/>
    </row>
    <row r="162" ht="15.75" customHeight="1">
      <c r="G162" s="496"/>
    </row>
    <row r="163" ht="15.75" customHeight="1">
      <c r="G163" s="496"/>
    </row>
    <row r="164" ht="15.75" customHeight="1">
      <c r="G164" s="496"/>
    </row>
    <row r="165" ht="15.75" customHeight="1">
      <c r="G165" s="496"/>
    </row>
    <row r="166" ht="15.75" customHeight="1">
      <c r="G166" s="496"/>
    </row>
    <row r="167" ht="15.75" customHeight="1">
      <c r="G167" s="496"/>
    </row>
    <row r="168" ht="15.75" customHeight="1">
      <c r="G168" s="496"/>
    </row>
    <row r="169" ht="15.75" customHeight="1">
      <c r="G169" s="496"/>
    </row>
    <row r="170" ht="15.75" customHeight="1">
      <c r="G170" s="496"/>
    </row>
    <row r="171" ht="15.75" customHeight="1">
      <c r="G171" s="496"/>
    </row>
    <row r="172" ht="15.75" customHeight="1">
      <c r="G172" s="496"/>
    </row>
    <row r="173" ht="15.75" customHeight="1">
      <c r="G173" s="496"/>
    </row>
    <row r="174" ht="15.75" customHeight="1">
      <c r="G174" s="496"/>
    </row>
    <row r="175" ht="15.75" customHeight="1">
      <c r="G175" s="496"/>
    </row>
    <row r="176" ht="15.75" customHeight="1">
      <c r="G176" s="496"/>
    </row>
    <row r="177" ht="15.75" customHeight="1">
      <c r="G177" s="496"/>
    </row>
    <row r="178" ht="15.75" customHeight="1">
      <c r="G178" s="496"/>
    </row>
    <row r="179" ht="15.75" customHeight="1">
      <c r="G179" s="496"/>
    </row>
    <row r="180" ht="15.75" customHeight="1">
      <c r="G180" s="496"/>
    </row>
    <row r="181" ht="15.75" customHeight="1">
      <c r="G181" s="496"/>
    </row>
    <row r="182" ht="15.75" customHeight="1">
      <c r="G182" s="496"/>
    </row>
    <row r="183" ht="15.75" customHeight="1">
      <c r="G183" s="496"/>
    </row>
    <row r="184" ht="15.75" customHeight="1">
      <c r="G184" s="496"/>
    </row>
    <row r="185" ht="15.75" customHeight="1">
      <c r="G185" s="496"/>
    </row>
    <row r="186" ht="15.75" customHeight="1">
      <c r="G186" s="496"/>
    </row>
    <row r="187" ht="15.75" customHeight="1">
      <c r="G187" s="496"/>
    </row>
    <row r="188" ht="15.75" customHeight="1">
      <c r="G188" s="496"/>
    </row>
    <row r="189" ht="15.75" customHeight="1">
      <c r="G189" s="496"/>
    </row>
    <row r="190" ht="15.75" customHeight="1">
      <c r="G190" s="496"/>
    </row>
    <row r="191" ht="15.75" customHeight="1">
      <c r="G191" s="496"/>
    </row>
    <row r="192" ht="15.75" customHeight="1">
      <c r="G192" s="496"/>
    </row>
    <row r="193" ht="15.75" customHeight="1">
      <c r="G193" s="496"/>
    </row>
    <row r="194" ht="15.75" customHeight="1">
      <c r="G194" s="496"/>
    </row>
    <row r="195" ht="15.75" customHeight="1">
      <c r="G195" s="496"/>
    </row>
    <row r="196" ht="15.75" customHeight="1">
      <c r="G196" s="496"/>
    </row>
    <row r="197" ht="15.75" customHeight="1">
      <c r="G197" s="496"/>
    </row>
    <row r="198" ht="15.75" customHeight="1">
      <c r="G198" s="496"/>
    </row>
    <row r="199" ht="15.75" customHeight="1">
      <c r="G199" s="496"/>
    </row>
    <row r="200" ht="15.75" customHeight="1">
      <c r="G200" s="496"/>
    </row>
    <row r="201" ht="15.75" customHeight="1">
      <c r="G201" s="496"/>
    </row>
    <row r="202" ht="15.75" customHeight="1">
      <c r="G202" s="496"/>
    </row>
    <row r="203" ht="15.75" customHeight="1">
      <c r="G203" s="496"/>
    </row>
    <row r="204" ht="15.75" customHeight="1">
      <c r="G204" s="496"/>
    </row>
    <row r="205" ht="15.75" customHeight="1">
      <c r="G205" s="496"/>
    </row>
    <row r="206" ht="15.75" customHeight="1">
      <c r="G206" s="496"/>
    </row>
    <row r="207" ht="15.75" customHeight="1">
      <c r="G207" s="496"/>
    </row>
    <row r="208" ht="15.75" customHeight="1">
      <c r="G208" s="496"/>
    </row>
    <row r="209" ht="15.75" customHeight="1">
      <c r="G209" s="496"/>
    </row>
    <row r="210" ht="15.75" customHeight="1">
      <c r="G210" s="496"/>
    </row>
    <row r="211" ht="15.75" customHeight="1">
      <c r="G211" s="496"/>
    </row>
    <row r="212" ht="15.75" customHeight="1">
      <c r="G212" s="496"/>
    </row>
    <row r="213" ht="15.75" customHeight="1">
      <c r="G213" s="496"/>
    </row>
    <row r="214" ht="15.75" customHeight="1">
      <c r="G214" s="496"/>
    </row>
    <row r="215" ht="15.75" customHeight="1">
      <c r="G215" s="496"/>
    </row>
    <row r="216" ht="15.75" customHeight="1">
      <c r="G216" s="496"/>
    </row>
    <row r="217" ht="15.75" customHeight="1">
      <c r="G217" s="496"/>
    </row>
    <row r="218" ht="15.75" customHeight="1">
      <c r="G218" s="496"/>
    </row>
    <row r="219" ht="15.75" customHeight="1">
      <c r="G219" s="496"/>
    </row>
    <row r="220" ht="15.75" customHeight="1">
      <c r="G220" s="496"/>
    </row>
    <row r="221" ht="15.75" customHeight="1">
      <c r="G221" s="496"/>
    </row>
    <row r="222" ht="15.75" customHeight="1">
      <c r="G222" s="496"/>
    </row>
    <row r="223" ht="15.75" customHeight="1">
      <c r="G223" s="496"/>
    </row>
    <row r="224" ht="15.75" customHeight="1">
      <c r="G224" s="496"/>
    </row>
    <row r="225" ht="15.75" customHeight="1">
      <c r="G225" s="496"/>
    </row>
    <row r="226" ht="15.75" customHeight="1">
      <c r="G226" s="496"/>
    </row>
    <row r="227" ht="15.75" customHeight="1">
      <c r="G227" s="496"/>
    </row>
    <row r="228" ht="15.75" customHeight="1">
      <c r="G228" s="496"/>
    </row>
    <row r="229" ht="15.75" customHeight="1">
      <c r="G229" s="496"/>
    </row>
    <row r="230" ht="15.75" customHeight="1">
      <c r="G230" s="496"/>
    </row>
    <row r="231" ht="15.75" customHeight="1">
      <c r="G231" s="496"/>
    </row>
    <row r="232" ht="15.75" customHeight="1">
      <c r="G232" s="496"/>
    </row>
    <row r="233" ht="15.75" customHeight="1">
      <c r="G233" s="496"/>
    </row>
    <row r="234" ht="15.75" customHeight="1">
      <c r="G234" s="496"/>
    </row>
    <row r="235" ht="15.75" customHeight="1">
      <c r="G235" s="496"/>
    </row>
    <row r="236" ht="15.75" customHeight="1">
      <c r="G236" s="496"/>
    </row>
    <row r="237" ht="15.75" customHeight="1">
      <c r="G237" s="496"/>
    </row>
    <row r="238" ht="15.75" customHeight="1">
      <c r="G238" s="496"/>
    </row>
    <row r="239" ht="15.75" customHeight="1">
      <c r="G239" s="496"/>
    </row>
    <row r="240" ht="15.75" customHeight="1">
      <c r="G240" s="496"/>
    </row>
    <row r="241" ht="15.75" customHeight="1">
      <c r="G241" s="496"/>
    </row>
    <row r="242" ht="15.75" customHeight="1">
      <c r="G242" s="496"/>
    </row>
    <row r="243" ht="15.75" customHeight="1">
      <c r="G243" s="496"/>
    </row>
    <row r="244" ht="15.75" customHeight="1">
      <c r="G244" s="496"/>
    </row>
    <row r="245" ht="15.75" customHeight="1">
      <c r="G245" s="496"/>
    </row>
    <row r="246" ht="15.75" customHeight="1">
      <c r="G246" s="496"/>
    </row>
    <row r="247" ht="15.75" customHeight="1">
      <c r="G247" s="496"/>
    </row>
    <row r="248" ht="15.75" customHeight="1">
      <c r="G248" s="496"/>
    </row>
    <row r="249" ht="15.75" customHeight="1">
      <c r="G249" s="496"/>
    </row>
    <row r="250" ht="15.75" customHeight="1">
      <c r="G250" s="496"/>
    </row>
    <row r="251" ht="15.75" customHeight="1">
      <c r="G251" s="496"/>
    </row>
    <row r="252" ht="15.75" customHeight="1">
      <c r="G252" s="496"/>
    </row>
    <row r="253" ht="15.75" customHeight="1">
      <c r="G253" s="496"/>
    </row>
    <row r="254" ht="15.75" customHeight="1">
      <c r="G254" s="496"/>
    </row>
    <row r="255" ht="15.75" customHeight="1">
      <c r="G255" s="496"/>
    </row>
    <row r="256" ht="15.75" customHeight="1">
      <c r="G256" s="496"/>
    </row>
    <row r="257" ht="15.75" customHeight="1">
      <c r="G257" s="496"/>
    </row>
    <row r="258" ht="15.75" customHeight="1">
      <c r="G258" s="496"/>
    </row>
    <row r="259" ht="15.75" customHeight="1">
      <c r="G259" s="496"/>
    </row>
    <row r="260" ht="15.75" customHeight="1">
      <c r="G260" s="496"/>
    </row>
    <row r="261" ht="15.75" customHeight="1">
      <c r="G261" s="496"/>
    </row>
    <row r="262" ht="15.75" customHeight="1">
      <c r="G262" s="496"/>
    </row>
    <row r="263" ht="15.75" customHeight="1">
      <c r="G263" s="496"/>
    </row>
    <row r="264" ht="15.75" customHeight="1">
      <c r="G264" s="496"/>
    </row>
    <row r="265" ht="15.75" customHeight="1">
      <c r="G265" s="496"/>
    </row>
    <row r="266" ht="15.75" customHeight="1">
      <c r="G266" s="496"/>
    </row>
    <row r="267" ht="15.75" customHeight="1">
      <c r="G267" s="496"/>
    </row>
    <row r="268" ht="15.75" customHeight="1">
      <c r="G268" s="496"/>
    </row>
    <row r="269" ht="15.75" customHeight="1">
      <c r="G269" s="496"/>
    </row>
    <row r="270" ht="15.75" customHeight="1">
      <c r="G270" s="496"/>
    </row>
    <row r="271" ht="15.75" customHeight="1">
      <c r="G271" s="496"/>
    </row>
    <row r="272" ht="15.75" customHeight="1">
      <c r="G272" s="496"/>
    </row>
    <row r="273" ht="15.75" customHeight="1">
      <c r="G273" s="496"/>
    </row>
    <row r="274" ht="15.75" customHeight="1">
      <c r="G274" s="496"/>
    </row>
    <row r="275" ht="15.75" customHeight="1">
      <c r="G275" s="496"/>
    </row>
    <row r="276" ht="15.75" customHeight="1">
      <c r="G276" s="496"/>
    </row>
    <row r="277" ht="15.75" customHeight="1">
      <c r="G277" s="496"/>
    </row>
    <row r="278" ht="15.75" customHeight="1">
      <c r="G278" s="496"/>
    </row>
    <row r="279" ht="15.75" customHeight="1">
      <c r="G279" s="496"/>
    </row>
    <row r="280" ht="15.75" customHeight="1">
      <c r="G280" s="496"/>
    </row>
    <row r="281" ht="15.75" customHeight="1">
      <c r="G281" s="496"/>
    </row>
    <row r="282" ht="15.75" customHeight="1">
      <c r="G282" s="496"/>
    </row>
    <row r="283" ht="15.75" customHeight="1">
      <c r="G283" s="496"/>
    </row>
    <row r="284" ht="15.75" customHeight="1">
      <c r="G284" s="496"/>
    </row>
    <row r="285" ht="15.75" customHeight="1">
      <c r="G285" s="496"/>
    </row>
    <row r="286" ht="15.75" customHeight="1">
      <c r="G286" s="496"/>
    </row>
    <row r="287" ht="15.75" customHeight="1">
      <c r="G287" s="496"/>
    </row>
    <row r="288" ht="15.75" customHeight="1">
      <c r="G288" s="496"/>
    </row>
    <row r="289" ht="15.75" customHeight="1">
      <c r="G289" s="496"/>
    </row>
    <row r="290" ht="15.75" customHeight="1">
      <c r="G290" s="496"/>
    </row>
    <row r="291" ht="15.75" customHeight="1">
      <c r="G291" s="496"/>
    </row>
    <row r="292" ht="15.75" customHeight="1">
      <c r="G292" s="496"/>
    </row>
    <row r="293" ht="15.75" customHeight="1">
      <c r="G293" s="496"/>
    </row>
    <row r="294" ht="15.75" customHeight="1">
      <c r="G294" s="496"/>
    </row>
    <row r="295" ht="15.75" customHeight="1">
      <c r="G295" s="496"/>
    </row>
    <row r="296" ht="15.75" customHeight="1">
      <c r="G296" s="496"/>
    </row>
    <row r="297" ht="15.75" customHeight="1">
      <c r="G297" s="496"/>
    </row>
    <row r="298" ht="15.75" customHeight="1">
      <c r="G298" s="496"/>
    </row>
    <row r="299" ht="15.75" customHeight="1">
      <c r="G299" s="496"/>
    </row>
    <row r="300" ht="15.75" customHeight="1">
      <c r="G300" s="496"/>
    </row>
    <row r="301" ht="15.75" customHeight="1">
      <c r="G301" s="496"/>
    </row>
    <row r="302" ht="15.75" customHeight="1">
      <c r="G302" s="496"/>
    </row>
    <row r="303" ht="15.75" customHeight="1">
      <c r="G303" s="496"/>
    </row>
    <row r="304" ht="15.75" customHeight="1">
      <c r="G304" s="496"/>
    </row>
    <row r="305" ht="15.75" customHeight="1">
      <c r="G305" s="496"/>
    </row>
    <row r="306" ht="15.75" customHeight="1">
      <c r="G306" s="496"/>
    </row>
    <row r="307" ht="15.75" customHeight="1">
      <c r="G307" s="496"/>
    </row>
    <row r="308" ht="15.75" customHeight="1">
      <c r="G308" s="496"/>
    </row>
    <row r="309" ht="15.75" customHeight="1">
      <c r="G309" s="496"/>
    </row>
    <row r="310" ht="15.75" customHeight="1">
      <c r="G310" s="496"/>
    </row>
    <row r="311" ht="15.75" customHeight="1">
      <c r="G311" s="496"/>
    </row>
    <row r="312" ht="15.75" customHeight="1">
      <c r="G312" s="496"/>
    </row>
    <row r="313" ht="15.75" customHeight="1">
      <c r="G313" s="496"/>
    </row>
    <row r="314" ht="15.75" customHeight="1">
      <c r="G314" s="496"/>
    </row>
    <row r="315" ht="15.75" customHeight="1">
      <c r="G315" s="496"/>
    </row>
    <row r="316" ht="15.75" customHeight="1">
      <c r="G316" s="496"/>
    </row>
    <row r="317" ht="15.75" customHeight="1">
      <c r="G317" s="496"/>
    </row>
    <row r="318" ht="15.75" customHeight="1">
      <c r="G318" s="496"/>
    </row>
    <row r="319" ht="15.75" customHeight="1">
      <c r="G319" s="496"/>
    </row>
    <row r="320" ht="15.75" customHeight="1">
      <c r="G320" s="496"/>
    </row>
    <row r="321" ht="15.75" customHeight="1">
      <c r="G321" s="496"/>
    </row>
    <row r="322" ht="15.75" customHeight="1">
      <c r="G322" s="496"/>
    </row>
    <row r="323" ht="15.75" customHeight="1">
      <c r="G323" s="496"/>
    </row>
    <row r="324" ht="15.75" customHeight="1">
      <c r="G324" s="496"/>
    </row>
    <row r="325" ht="15.75" customHeight="1">
      <c r="G325" s="496"/>
    </row>
    <row r="326" ht="15.75" customHeight="1">
      <c r="G326" s="496"/>
    </row>
    <row r="327" ht="15.75" customHeight="1">
      <c r="G327" s="496"/>
    </row>
    <row r="328" ht="15.75" customHeight="1">
      <c r="G328" s="496"/>
    </row>
    <row r="329" ht="15.75" customHeight="1">
      <c r="G329" s="496"/>
    </row>
    <row r="330" ht="15.75" customHeight="1">
      <c r="G330" s="496"/>
    </row>
    <row r="331" ht="15.75" customHeight="1">
      <c r="G331" s="496"/>
    </row>
    <row r="332" ht="15.75" customHeight="1">
      <c r="G332" s="496"/>
    </row>
    <row r="333" ht="15.75" customHeight="1">
      <c r="G333" s="496"/>
    </row>
    <row r="334" ht="15.75" customHeight="1">
      <c r="G334" s="496"/>
    </row>
    <row r="335" ht="15.75" customHeight="1">
      <c r="G335" s="496"/>
    </row>
    <row r="336" ht="15.75" customHeight="1">
      <c r="G336" s="496"/>
    </row>
    <row r="337" ht="15.75" customHeight="1">
      <c r="G337" s="496"/>
    </row>
    <row r="338" ht="15.75" customHeight="1">
      <c r="G338" s="496"/>
    </row>
    <row r="339" ht="15.75" customHeight="1">
      <c r="G339" s="496"/>
    </row>
    <row r="340" ht="15.75" customHeight="1">
      <c r="G340" s="496"/>
    </row>
    <row r="341" ht="15.75" customHeight="1">
      <c r="G341" s="496"/>
    </row>
    <row r="342" ht="15.75" customHeight="1">
      <c r="G342" s="496"/>
    </row>
    <row r="343" ht="15.75" customHeight="1">
      <c r="G343" s="496"/>
    </row>
    <row r="344" ht="15.75" customHeight="1">
      <c r="G344" s="496"/>
    </row>
    <row r="345" ht="15.75" customHeight="1">
      <c r="G345" s="496"/>
    </row>
    <row r="346" ht="15.75" customHeight="1">
      <c r="G346" s="496"/>
    </row>
    <row r="347" ht="15.75" customHeight="1">
      <c r="G347" s="496"/>
    </row>
    <row r="348" ht="15.75" customHeight="1">
      <c r="G348" s="496"/>
    </row>
    <row r="349" ht="15.75" customHeight="1">
      <c r="G349" s="496"/>
    </row>
    <row r="350" ht="15.75" customHeight="1">
      <c r="G350" s="496"/>
    </row>
    <row r="351" ht="15.75" customHeight="1">
      <c r="G351" s="496"/>
    </row>
    <row r="352" ht="15.75" customHeight="1">
      <c r="G352" s="496"/>
    </row>
    <row r="353" ht="15.75" customHeight="1">
      <c r="G353" s="496"/>
    </row>
    <row r="354" ht="15.75" customHeight="1">
      <c r="G354" s="496"/>
    </row>
    <row r="355" ht="15.75" customHeight="1">
      <c r="G355" s="496"/>
    </row>
    <row r="356" ht="15.75" customHeight="1">
      <c r="G356" s="496"/>
    </row>
    <row r="357" ht="15.75" customHeight="1">
      <c r="G357" s="496"/>
    </row>
    <row r="358" ht="15.75" customHeight="1">
      <c r="G358" s="496"/>
    </row>
    <row r="359" ht="15.75" customHeight="1">
      <c r="G359" s="496"/>
    </row>
    <row r="360" ht="15.75" customHeight="1">
      <c r="G360" s="496"/>
    </row>
    <row r="361" ht="15.75" customHeight="1">
      <c r="G361" s="496"/>
    </row>
    <row r="362" ht="15.75" customHeight="1">
      <c r="G362" s="496"/>
    </row>
    <row r="363" ht="15.75" customHeight="1">
      <c r="G363" s="496"/>
    </row>
    <row r="364" ht="15.75" customHeight="1">
      <c r="G364" s="496"/>
    </row>
    <row r="365" ht="15.75" customHeight="1">
      <c r="G365" s="496"/>
    </row>
    <row r="366" ht="15.75" customHeight="1">
      <c r="G366" s="496"/>
    </row>
    <row r="367" ht="15.75" customHeight="1">
      <c r="G367" s="496"/>
    </row>
    <row r="368" ht="15.75" customHeight="1">
      <c r="G368" s="496"/>
    </row>
    <row r="369" ht="15.75" customHeight="1">
      <c r="G369" s="496"/>
    </row>
    <row r="370" ht="15.75" customHeight="1">
      <c r="G370" s="496"/>
    </row>
    <row r="371" ht="15.75" customHeight="1">
      <c r="G371" s="496"/>
    </row>
    <row r="372" ht="15.75" customHeight="1">
      <c r="G372" s="496"/>
    </row>
    <row r="373" ht="15.75" customHeight="1">
      <c r="G373" s="496"/>
    </row>
    <row r="374" ht="15.75" customHeight="1">
      <c r="G374" s="496"/>
    </row>
    <row r="375" ht="15.75" customHeight="1">
      <c r="G375" s="496"/>
    </row>
    <row r="376" ht="15.75" customHeight="1">
      <c r="G376" s="496"/>
    </row>
    <row r="377" ht="15.75" customHeight="1">
      <c r="G377" s="496"/>
    </row>
    <row r="378" ht="15.75" customHeight="1">
      <c r="G378" s="496"/>
    </row>
    <row r="379" ht="15.75" customHeight="1">
      <c r="G379" s="496"/>
    </row>
    <row r="380" ht="15.75" customHeight="1">
      <c r="G380" s="496"/>
    </row>
    <row r="381" ht="15.75" customHeight="1">
      <c r="G381" s="496"/>
    </row>
    <row r="382" ht="15.75" customHeight="1">
      <c r="G382" s="496"/>
    </row>
    <row r="383" ht="15.75" customHeight="1">
      <c r="G383" s="496"/>
    </row>
    <row r="384" ht="15.75" customHeight="1">
      <c r="G384" s="496"/>
    </row>
    <row r="385" ht="15.75" customHeight="1">
      <c r="G385" s="496"/>
    </row>
    <row r="386" ht="15.75" customHeight="1">
      <c r="G386" s="496"/>
    </row>
    <row r="387" ht="15.75" customHeight="1">
      <c r="G387" s="496"/>
    </row>
    <row r="388" ht="15.75" customHeight="1">
      <c r="G388" s="496"/>
    </row>
    <row r="389" ht="15.75" customHeight="1">
      <c r="G389" s="496"/>
    </row>
    <row r="390" ht="15.75" customHeight="1">
      <c r="G390" s="496"/>
    </row>
    <row r="391" ht="15.75" customHeight="1">
      <c r="G391" s="496"/>
    </row>
    <row r="392" ht="15.75" customHeight="1">
      <c r="G392" s="496"/>
    </row>
    <row r="393" ht="15.75" customHeight="1">
      <c r="G393" s="496"/>
    </row>
    <row r="394" ht="15.75" customHeight="1">
      <c r="G394" s="496"/>
    </row>
    <row r="395" ht="15.75" customHeight="1">
      <c r="G395" s="496"/>
    </row>
    <row r="396" ht="15.75" customHeight="1">
      <c r="G396" s="496"/>
    </row>
    <row r="397" ht="15.75" customHeight="1">
      <c r="G397" s="496"/>
    </row>
    <row r="398" ht="15.75" customHeight="1">
      <c r="G398" s="496"/>
    </row>
    <row r="399" ht="15.75" customHeight="1">
      <c r="G399" s="496"/>
    </row>
    <row r="400" ht="15.75" customHeight="1">
      <c r="G400" s="496"/>
    </row>
    <row r="401" ht="15.75" customHeight="1">
      <c r="G401" s="496"/>
    </row>
    <row r="402" ht="15.75" customHeight="1">
      <c r="G402" s="496"/>
    </row>
    <row r="403" ht="15.75" customHeight="1">
      <c r="G403" s="496"/>
    </row>
    <row r="404" ht="15.75" customHeight="1">
      <c r="G404" s="496"/>
    </row>
    <row r="405" ht="15.75" customHeight="1">
      <c r="G405" s="496"/>
    </row>
    <row r="406" ht="15.75" customHeight="1">
      <c r="G406" s="496"/>
    </row>
    <row r="407" ht="15.75" customHeight="1">
      <c r="G407" s="496"/>
    </row>
    <row r="408" ht="15.75" customHeight="1">
      <c r="G408" s="496"/>
    </row>
    <row r="409" ht="15.75" customHeight="1">
      <c r="G409" s="496"/>
    </row>
    <row r="410" ht="15.75" customHeight="1">
      <c r="G410" s="496"/>
    </row>
    <row r="411" ht="15.75" customHeight="1">
      <c r="G411" s="496"/>
    </row>
    <row r="412" ht="15.75" customHeight="1">
      <c r="G412" s="496"/>
    </row>
    <row r="413" ht="15.75" customHeight="1">
      <c r="G413" s="496"/>
    </row>
    <row r="414" ht="15.75" customHeight="1">
      <c r="G414" s="496"/>
    </row>
    <row r="415" ht="15.75" customHeight="1">
      <c r="G415" s="496"/>
    </row>
    <row r="416" ht="15.75" customHeight="1">
      <c r="G416" s="496"/>
    </row>
    <row r="417" ht="15.75" customHeight="1">
      <c r="G417" s="496"/>
    </row>
    <row r="418" ht="15.75" customHeight="1">
      <c r="G418" s="496"/>
    </row>
    <row r="419" ht="15.75" customHeight="1">
      <c r="G419" s="496"/>
    </row>
    <row r="420" ht="15.75" customHeight="1">
      <c r="G420" s="496"/>
    </row>
    <row r="421" ht="15.75" customHeight="1">
      <c r="G421" s="496"/>
    </row>
    <row r="422" ht="15.75" customHeight="1">
      <c r="G422" s="496"/>
    </row>
    <row r="423" ht="15.75" customHeight="1">
      <c r="G423" s="496"/>
    </row>
    <row r="424" ht="15.75" customHeight="1">
      <c r="G424" s="496"/>
    </row>
    <row r="425" ht="15.75" customHeight="1">
      <c r="G425" s="496"/>
    </row>
    <row r="426" ht="15.75" customHeight="1">
      <c r="G426" s="496"/>
    </row>
    <row r="427" ht="15.75" customHeight="1">
      <c r="G427" s="496"/>
    </row>
    <row r="428" ht="15.75" customHeight="1">
      <c r="G428" s="496"/>
    </row>
    <row r="429" ht="15.75" customHeight="1">
      <c r="G429" s="496"/>
    </row>
    <row r="430" ht="15.75" customHeight="1">
      <c r="G430" s="496"/>
    </row>
    <row r="431" ht="15.75" customHeight="1">
      <c r="G431" s="496"/>
    </row>
    <row r="432" ht="15.75" customHeight="1">
      <c r="G432" s="496"/>
    </row>
    <row r="433" ht="15.75" customHeight="1">
      <c r="G433" s="496"/>
    </row>
    <row r="434" ht="15.75" customHeight="1">
      <c r="G434" s="496"/>
    </row>
    <row r="435" ht="15.75" customHeight="1">
      <c r="G435" s="496"/>
    </row>
    <row r="436" ht="15.75" customHeight="1">
      <c r="G436" s="496"/>
    </row>
    <row r="437" ht="15.75" customHeight="1">
      <c r="G437" s="496"/>
    </row>
    <row r="438" ht="15.75" customHeight="1">
      <c r="G438" s="496"/>
    </row>
    <row r="439" ht="15.75" customHeight="1">
      <c r="G439" s="496"/>
    </row>
    <row r="440" ht="15.75" customHeight="1">
      <c r="G440" s="496"/>
    </row>
    <row r="441" ht="15.75" customHeight="1">
      <c r="G441" s="496"/>
    </row>
    <row r="442" ht="15.75" customHeight="1">
      <c r="G442" s="496"/>
    </row>
    <row r="443" ht="15.75" customHeight="1">
      <c r="G443" s="496"/>
    </row>
    <row r="444" ht="15.75" customHeight="1">
      <c r="G444" s="496"/>
    </row>
    <row r="445" ht="15.75" customHeight="1">
      <c r="G445" s="496"/>
    </row>
    <row r="446" ht="15.75" customHeight="1">
      <c r="G446" s="496"/>
    </row>
    <row r="447" ht="15.75" customHeight="1">
      <c r="G447" s="496"/>
    </row>
    <row r="448" ht="15.75" customHeight="1">
      <c r="G448" s="496"/>
    </row>
    <row r="449" ht="15.75" customHeight="1">
      <c r="G449" s="496"/>
    </row>
    <row r="450" ht="15.75" customHeight="1">
      <c r="G450" s="496"/>
    </row>
    <row r="451" ht="15.75" customHeight="1">
      <c r="G451" s="496"/>
    </row>
    <row r="452" ht="15.75" customHeight="1">
      <c r="G452" s="496"/>
    </row>
    <row r="453" ht="15.75" customHeight="1">
      <c r="G453" s="496"/>
    </row>
    <row r="454" ht="15.75" customHeight="1">
      <c r="G454" s="496"/>
    </row>
    <row r="455" ht="15.75" customHeight="1">
      <c r="G455" s="496"/>
    </row>
    <row r="456" ht="15.75" customHeight="1">
      <c r="G456" s="496"/>
    </row>
    <row r="457" ht="15.75" customHeight="1">
      <c r="G457" s="496"/>
    </row>
    <row r="458" ht="15.75" customHeight="1">
      <c r="G458" s="496"/>
    </row>
    <row r="459" ht="15.75" customHeight="1">
      <c r="G459" s="496"/>
    </row>
    <row r="460" ht="15.75" customHeight="1">
      <c r="G460" s="496"/>
    </row>
    <row r="461" ht="15.75" customHeight="1">
      <c r="G461" s="496"/>
    </row>
    <row r="462" ht="15.75" customHeight="1">
      <c r="G462" s="496"/>
    </row>
    <row r="463" ht="15.75" customHeight="1">
      <c r="G463" s="496"/>
    </row>
    <row r="464" ht="15.75" customHeight="1">
      <c r="G464" s="496"/>
    </row>
    <row r="465" ht="15.75" customHeight="1">
      <c r="G465" s="496"/>
    </row>
    <row r="466" ht="15.75" customHeight="1">
      <c r="G466" s="496"/>
    </row>
    <row r="467" ht="15.75" customHeight="1">
      <c r="G467" s="496"/>
    </row>
    <row r="468" ht="15.75" customHeight="1">
      <c r="G468" s="496"/>
    </row>
    <row r="469" ht="15.75" customHeight="1">
      <c r="G469" s="496"/>
    </row>
    <row r="470" ht="15.75" customHeight="1">
      <c r="G470" s="496"/>
    </row>
    <row r="471" ht="15.75" customHeight="1">
      <c r="G471" s="496"/>
    </row>
    <row r="472" ht="15.75" customHeight="1">
      <c r="G472" s="496"/>
    </row>
    <row r="473" ht="15.75" customHeight="1">
      <c r="G473" s="496"/>
    </row>
    <row r="474" ht="15.75" customHeight="1">
      <c r="G474" s="496"/>
    </row>
    <row r="475" ht="15.75" customHeight="1">
      <c r="G475" s="496"/>
    </row>
    <row r="476" ht="15.75" customHeight="1">
      <c r="G476" s="496"/>
    </row>
    <row r="477" ht="15.75" customHeight="1">
      <c r="G477" s="496"/>
    </row>
    <row r="478" ht="15.75" customHeight="1">
      <c r="G478" s="496"/>
    </row>
    <row r="479" ht="15.75" customHeight="1">
      <c r="G479" s="496"/>
    </row>
    <row r="480" ht="15.75" customHeight="1">
      <c r="G480" s="496"/>
    </row>
    <row r="481" ht="15.75" customHeight="1">
      <c r="G481" s="496"/>
    </row>
    <row r="482" ht="15.75" customHeight="1">
      <c r="G482" s="496"/>
    </row>
    <row r="483" ht="15.75" customHeight="1">
      <c r="G483" s="496"/>
    </row>
    <row r="484" ht="15.75" customHeight="1">
      <c r="G484" s="496"/>
    </row>
    <row r="485" ht="15.75" customHeight="1">
      <c r="G485" s="496"/>
    </row>
    <row r="486" ht="15.75" customHeight="1">
      <c r="G486" s="496"/>
    </row>
    <row r="487" ht="15.75" customHeight="1">
      <c r="G487" s="496"/>
    </row>
    <row r="488" ht="15.75" customHeight="1">
      <c r="G488" s="496"/>
    </row>
    <row r="489" ht="15.75" customHeight="1">
      <c r="G489" s="496"/>
    </row>
    <row r="490" ht="15.75" customHeight="1">
      <c r="G490" s="496"/>
    </row>
    <row r="491" ht="15.75" customHeight="1">
      <c r="G491" s="496"/>
    </row>
    <row r="492" ht="15.75" customHeight="1">
      <c r="G492" s="496"/>
    </row>
    <row r="493" ht="15.75" customHeight="1">
      <c r="G493" s="496"/>
    </row>
    <row r="494" ht="15.75" customHeight="1">
      <c r="G494" s="496"/>
    </row>
    <row r="495" ht="15.75" customHeight="1">
      <c r="G495" s="496"/>
    </row>
    <row r="496" ht="15.75" customHeight="1">
      <c r="G496" s="496"/>
    </row>
    <row r="497" ht="15.75" customHeight="1">
      <c r="G497" s="496"/>
    </row>
    <row r="498" ht="15.75" customHeight="1">
      <c r="G498" s="496"/>
    </row>
    <row r="499" ht="15.75" customHeight="1">
      <c r="G499" s="496"/>
    </row>
    <row r="500" ht="15.75" customHeight="1">
      <c r="G500" s="496"/>
    </row>
    <row r="501" ht="15.75" customHeight="1">
      <c r="G501" s="496"/>
    </row>
    <row r="502" ht="15.75" customHeight="1">
      <c r="G502" s="496"/>
    </row>
    <row r="503" ht="15.75" customHeight="1">
      <c r="G503" s="496"/>
    </row>
    <row r="504" ht="15.75" customHeight="1">
      <c r="G504" s="496"/>
    </row>
    <row r="505" ht="15.75" customHeight="1">
      <c r="G505" s="496"/>
    </row>
    <row r="506" ht="15.75" customHeight="1">
      <c r="G506" s="496"/>
    </row>
    <row r="507" ht="15.75" customHeight="1">
      <c r="G507" s="496"/>
    </row>
    <row r="508" ht="15.75" customHeight="1">
      <c r="G508" s="496"/>
    </row>
    <row r="509" ht="15.75" customHeight="1">
      <c r="G509" s="496"/>
    </row>
    <row r="510" ht="15.75" customHeight="1">
      <c r="G510" s="496"/>
    </row>
    <row r="511" ht="15.75" customHeight="1">
      <c r="G511" s="496"/>
    </row>
    <row r="512" ht="15.75" customHeight="1">
      <c r="G512" s="496"/>
    </row>
    <row r="513" ht="15.75" customHeight="1">
      <c r="G513" s="496"/>
    </row>
    <row r="514" ht="15.75" customHeight="1">
      <c r="G514" s="496"/>
    </row>
    <row r="515" ht="15.75" customHeight="1">
      <c r="G515" s="496"/>
    </row>
    <row r="516" ht="15.75" customHeight="1">
      <c r="G516" s="496"/>
    </row>
    <row r="517" ht="15.75" customHeight="1">
      <c r="G517" s="496"/>
    </row>
    <row r="518" ht="15.75" customHeight="1">
      <c r="G518" s="496"/>
    </row>
    <row r="519" ht="15.75" customHeight="1">
      <c r="G519" s="496"/>
    </row>
    <row r="520" ht="15.75" customHeight="1">
      <c r="G520" s="496"/>
    </row>
    <row r="521" ht="15.75" customHeight="1">
      <c r="G521" s="496"/>
    </row>
    <row r="522" ht="15.75" customHeight="1">
      <c r="G522" s="496"/>
    </row>
    <row r="523" ht="15.75" customHeight="1">
      <c r="G523" s="496"/>
    </row>
    <row r="524" ht="15.75" customHeight="1">
      <c r="G524" s="496"/>
    </row>
    <row r="525" ht="15.75" customHeight="1">
      <c r="G525" s="496"/>
    </row>
    <row r="526" ht="15.75" customHeight="1">
      <c r="G526" s="496"/>
    </row>
    <row r="527" ht="15.75" customHeight="1">
      <c r="G527" s="496"/>
    </row>
    <row r="528" ht="15.75" customHeight="1">
      <c r="G528" s="496"/>
    </row>
    <row r="529" ht="15.75" customHeight="1">
      <c r="G529" s="496"/>
    </row>
    <row r="530" ht="15.75" customHeight="1">
      <c r="G530" s="496"/>
    </row>
    <row r="531" ht="15.75" customHeight="1">
      <c r="G531" s="496"/>
    </row>
    <row r="532" ht="15.75" customHeight="1">
      <c r="G532" s="496"/>
    </row>
    <row r="533" ht="15.75" customHeight="1">
      <c r="G533" s="496"/>
    </row>
    <row r="534" ht="15.75" customHeight="1">
      <c r="G534" s="496"/>
    </row>
    <row r="535" ht="15.75" customHeight="1">
      <c r="G535" s="496"/>
    </row>
    <row r="536" ht="15.75" customHeight="1">
      <c r="G536" s="496"/>
    </row>
    <row r="537" ht="15.75" customHeight="1">
      <c r="G537" s="496"/>
    </row>
    <row r="538" ht="15.75" customHeight="1">
      <c r="G538" s="496"/>
    </row>
    <row r="539" ht="15.75" customHeight="1">
      <c r="G539" s="496"/>
    </row>
    <row r="540" ht="15.75" customHeight="1">
      <c r="G540" s="496"/>
    </row>
    <row r="541" ht="15.75" customHeight="1">
      <c r="G541" s="496"/>
    </row>
    <row r="542" ht="15.75" customHeight="1">
      <c r="G542" s="496"/>
    </row>
    <row r="543" ht="15.75" customHeight="1">
      <c r="G543" s="496"/>
    </row>
    <row r="544" ht="15.75" customHeight="1">
      <c r="G544" s="496"/>
    </row>
    <row r="545" ht="15.75" customHeight="1">
      <c r="G545" s="496"/>
    </row>
    <row r="546" ht="15.75" customHeight="1">
      <c r="G546" s="496"/>
    </row>
    <row r="547" ht="15.75" customHeight="1">
      <c r="G547" s="496"/>
    </row>
    <row r="548" ht="15.75" customHeight="1">
      <c r="G548" s="496"/>
    </row>
    <row r="549" ht="15.75" customHeight="1">
      <c r="G549" s="496"/>
    </row>
    <row r="550" ht="15.75" customHeight="1">
      <c r="G550" s="496"/>
    </row>
    <row r="551" ht="15.75" customHeight="1">
      <c r="G551" s="496"/>
    </row>
    <row r="552" ht="15.75" customHeight="1">
      <c r="G552" s="496"/>
    </row>
    <row r="553" ht="15.75" customHeight="1">
      <c r="G553" s="496"/>
    </row>
    <row r="554" ht="15.75" customHeight="1">
      <c r="G554" s="496"/>
    </row>
    <row r="555" ht="15.75" customHeight="1">
      <c r="G555" s="496"/>
    </row>
    <row r="556" ht="15.75" customHeight="1">
      <c r="G556" s="496"/>
    </row>
    <row r="557" ht="15.75" customHeight="1">
      <c r="G557" s="496"/>
    </row>
    <row r="558" ht="15.75" customHeight="1">
      <c r="G558" s="496"/>
    </row>
    <row r="559" ht="15.75" customHeight="1">
      <c r="G559" s="496"/>
    </row>
    <row r="560" ht="15.75" customHeight="1">
      <c r="G560" s="496"/>
    </row>
    <row r="561" ht="15.75" customHeight="1">
      <c r="G561" s="496"/>
    </row>
    <row r="562" ht="15.75" customHeight="1">
      <c r="G562" s="496"/>
    </row>
    <row r="563" ht="15.75" customHeight="1">
      <c r="G563" s="496"/>
    </row>
    <row r="564" ht="15.75" customHeight="1">
      <c r="G564" s="496"/>
    </row>
    <row r="565" ht="15.75" customHeight="1">
      <c r="G565" s="496"/>
    </row>
    <row r="566" ht="15.75" customHeight="1">
      <c r="G566" s="496"/>
    </row>
    <row r="567" ht="15.75" customHeight="1">
      <c r="G567" s="496"/>
    </row>
    <row r="568" ht="15.75" customHeight="1">
      <c r="G568" s="496"/>
    </row>
    <row r="569" ht="15.75" customHeight="1">
      <c r="G569" s="496"/>
    </row>
    <row r="570" ht="15.75" customHeight="1">
      <c r="G570" s="496"/>
    </row>
    <row r="571" ht="15.75" customHeight="1">
      <c r="G571" s="496"/>
    </row>
    <row r="572" ht="15.75" customHeight="1">
      <c r="G572" s="496"/>
    </row>
    <row r="573" ht="15.75" customHeight="1">
      <c r="G573" s="496"/>
    </row>
    <row r="574" ht="15.75" customHeight="1">
      <c r="G574" s="496"/>
    </row>
    <row r="575" ht="15.75" customHeight="1">
      <c r="G575" s="496"/>
    </row>
    <row r="576" ht="15.75" customHeight="1">
      <c r="G576" s="496"/>
    </row>
    <row r="577" ht="15.75" customHeight="1">
      <c r="G577" s="496"/>
    </row>
    <row r="578" ht="15.75" customHeight="1">
      <c r="G578" s="496"/>
    </row>
    <row r="579" ht="15.75" customHeight="1">
      <c r="G579" s="496"/>
    </row>
    <row r="580" ht="15.75" customHeight="1">
      <c r="G580" s="496"/>
    </row>
    <row r="581" ht="15.75" customHeight="1">
      <c r="G581" s="496"/>
    </row>
    <row r="582" ht="15.75" customHeight="1">
      <c r="G582" s="496"/>
    </row>
    <row r="583" ht="15.75" customHeight="1">
      <c r="G583" s="496"/>
    </row>
    <row r="584" ht="15.75" customHeight="1">
      <c r="G584" s="496"/>
    </row>
    <row r="585" ht="15.75" customHeight="1">
      <c r="G585" s="496"/>
    </row>
    <row r="586" ht="15.75" customHeight="1">
      <c r="G586" s="496"/>
    </row>
    <row r="587" ht="15.75" customHeight="1">
      <c r="G587" s="496"/>
    </row>
    <row r="588" ht="15.75" customHeight="1">
      <c r="G588" s="496"/>
    </row>
    <row r="589" ht="15.75" customHeight="1">
      <c r="G589" s="496"/>
    </row>
    <row r="590" ht="15.75" customHeight="1">
      <c r="G590" s="496"/>
    </row>
    <row r="591" ht="15.75" customHeight="1">
      <c r="G591" s="496"/>
    </row>
    <row r="592" ht="15.75" customHeight="1">
      <c r="G592" s="496"/>
    </row>
    <row r="593" ht="15.75" customHeight="1">
      <c r="G593" s="496"/>
    </row>
    <row r="594" ht="15.75" customHeight="1">
      <c r="G594" s="496"/>
    </row>
    <row r="595" ht="15.75" customHeight="1">
      <c r="G595" s="496"/>
    </row>
    <row r="596" ht="15.75" customHeight="1">
      <c r="G596" s="496"/>
    </row>
    <row r="597" ht="15.75" customHeight="1">
      <c r="G597" s="496"/>
    </row>
    <row r="598" ht="15.75" customHeight="1">
      <c r="G598" s="496"/>
    </row>
    <row r="599" ht="15.75" customHeight="1">
      <c r="G599" s="496"/>
    </row>
    <row r="600" ht="15.75" customHeight="1">
      <c r="G600" s="496"/>
    </row>
    <row r="601" ht="15.75" customHeight="1">
      <c r="G601" s="496"/>
    </row>
    <row r="602" ht="15.75" customHeight="1">
      <c r="G602" s="496"/>
    </row>
    <row r="603" ht="15.75" customHeight="1">
      <c r="G603" s="496"/>
    </row>
    <row r="604" ht="15.75" customHeight="1">
      <c r="G604" s="496"/>
    </row>
    <row r="605" ht="15.75" customHeight="1">
      <c r="G605" s="496"/>
    </row>
    <row r="606" ht="15.75" customHeight="1">
      <c r="G606" s="496"/>
    </row>
    <row r="607" ht="15.75" customHeight="1">
      <c r="G607" s="496"/>
    </row>
    <row r="608" ht="15.75" customHeight="1">
      <c r="G608" s="496"/>
    </row>
    <row r="609" ht="15.75" customHeight="1">
      <c r="G609" s="496"/>
    </row>
    <row r="610" ht="15.75" customHeight="1">
      <c r="G610" s="496"/>
    </row>
    <row r="611" ht="15.75" customHeight="1">
      <c r="G611" s="496"/>
    </row>
    <row r="612" ht="15.75" customHeight="1">
      <c r="G612" s="496"/>
    </row>
    <row r="613" ht="15.75" customHeight="1">
      <c r="G613" s="496"/>
    </row>
    <row r="614" ht="15.75" customHeight="1">
      <c r="G614" s="496"/>
    </row>
    <row r="615" ht="15.75" customHeight="1">
      <c r="G615" s="496"/>
    </row>
    <row r="616" ht="15.75" customHeight="1">
      <c r="G616" s="496"/>
    </row>
    <row r="617" ht="15.75" customHeight="1">
      <c r="G617" s="496"/>
    </row>
    <row r="618" ht="15.75" customHeight="1">
      <c r="G618" s="496"/>
    </row>
    <row r="619" ht="15.75" customHeight="1">
      <c r="G619" s="496"/>
    </row>
    <row r="620" ht="15.75" customHeight="1">
      <c r="G620" s="496"/>
    </row>
    <row r="621" ht="15.75" customHeight="1">
      <c r="G621" s="496"/>
    </row>
    <row r="622" ht="15.75" customHeight="1">
      <c r="G622" s="496"/>
    </row>
    <row r="623" ht="15.75" customHeight="1">
      <c r="G623" s="496"/>
    </row>
    <row r="624" ht="15.75" customHeight="1">
      <c r="G624" s="496"/>
    </row>
    <row r="625" ht="15.75" customHeight="1">
      <c r="G625" s="496"/>
    </row>
    <row r="626" ht="15.75" customHeight="1">
      <c r="G626" s="496"/>
    </row>
    <row r="627" ht="15.75" customHeight="1">
      <c r="G627" s="496"/>
    </row>
    <row r="628" ht="15.75" customHeight="1">
      <c r="G628" s="496"/>
    </row>
    <row r="629" ht="15.75" customHeight="1">
      <c r="G629" s="496"/>
    </row>
    <row r="630" ht="15.75" customHeight="1">
      <c r="G630" s="496"/>
    </row>
    <row r="631" ht="15.75" customHeight="1">
      <c r="G631" s="496"/>
    </row>
    <row r="632" ht="15.75" customHeight="1">
      <c r="G632" s="496"/>
    </row>
    <row r="633" ht="15.75" customHeight="1">
      <c r="G633" s="496"/>
    </row>
    <row r="634" ht="15.75" customHeight="1">
      <c r="G634" s="496"/>
    </row>
    <row r="635" ht="15.75" customHeight="1">
      <c r="G635" s="496"/>
    </row>
    <row r="636" ht="15.75" customHeight="1">
      <c r="G636" s="496"/>
    </row>
    <row r="637" ht="15.75" customHeight="1">
      <c r="G637" s="496"/>
    </row>
    <row r="638" ht="15.75" customHeight="1">
      <c r="G638" s="496"/>
    </row>
    <row r="639" ht="15.75" customHeight="1">
      <c r="G639" s="496"/>
    </row>
    <row r="640" ht="15.75" customHeight="1">
      <c r="G640" s="496"/>
    </row>
    <row r="641" ht="15.75" customHeight="1">
      <c r="G641" s="496"/>
    </row>
    <row r="642" ht="15.75" customHeight="1">
      <c r="G642" s="496"/>
    </row>
    <row r="643" ht="15.75" customHeight="1">
      <c r="G643" s="496"/>
    </row>
    <row r="644" ht="15.75" customHeight="1">
      <c r="G644" s="496"/>
    </row>
    <row r="645" ht="15.75" customHeight="1">
      <c r="G645" s="496"/>
    </row>
    <row r="646" ht="15.75" customHeight="1">
      <c r="G646" s="496"/>
    </row>
    <row r="647" ht="15.75" customHeight="1">
      <c r="G647" s="496"/>
    </row>
    <row r="648" ht="15.75" customHeight="1">
      <c r="G648" s="496"/>
    </row>
    <row r="649" ht="15.75" customHeight="1">
      <c r="G649" s="496"/>
    </row>
    <row r="650" ht="15.75" customHeight="1">
      <c r="G650" s="496"/>
    </row>
    <row r="651" ht="15.75" customHeight="1">
      <c r="G651" s="496"/>
    </row>
    <row r="652" ht="15.75" customHeight="1">
      <c r="G652" s="496"/>
    </row>
    <row r="653" ht="15.75" customHeight="1">
      <c r="G653" s="496"/>
    </row>
    <row r="654" ht="15.75" customHeight="1">
      <c r="G654" s="496"/>
    </row>
    <row r="655" ht="15.75" customHeight="1">
      <c r="G655" s="496"/>
    </row>
    <row r="656" ht="15.75" customHeight="1">
      <c r="G656" s="496"/>
    </row>
    <row r="657" ht="15.75" customHeight="1">
      <c r="G657" s="496"/>
    </row>
    <row r="658" ht="15.75" customHeight="1">
      <c r="G658" s="496"/>
    </row>
    <row r="659" ht="15.75" customHeight="1">
      <c r="G659" s="496"/>
    </row>
    <row r="660" ht="15.75" customHeight="1">
      <c r="G660" s="496"/>
    </row>
    <row r="661" ht="15.75" customHeight="1">
      <c r="G661" s="496"/>
    </row>
    <row r="662" ht="15.75" customHeight="1">
      <c r="G662" s="496"/>
    </row>
    <row r="663" ht="15.75" customHeight="1">
      <c r="G663" s="496"/>
    </row>
    <row r="664" ht="15.75" customHeight="1">
      <c r="G664" s="496"/>
    </row>
    <row r="665" ht="15.75" customHeight="1">
      <c r="G665" s="496"/>
    </row>
    <row r="666" ht="15.75" customHeight="1">
      <c r="G666" s="496"/>
    </row>
    <row r="667" ht="15.75" customHeight="1">
      <c r="G667" s="496"/>
    </row>
    <row r="668" ht="15.75" customHeight="1">
      <c r="G668" s="496"/>
    </row>
    <row r="669" ht="15.75" customHeight="1">
      <c r="G669" s="496"/>
    </row>
    <row r="670" ht="15.75" customHeight="1">
      <c r="G670" s="496"/>
    </row>
    <row r="671" ht="15.75" customHeight="1">
      <c r="G671" s="496"/>
    </row>
    <row r="672" ht="15.75" customHeight="1">
      <c r="G672" s="496"/>
    </row>
    <row r="673" ht="15.75" customHeight="1">
      <c r="G673" s="496"/>
    </row>
    <row r="674" ht="15.75" customHeight="1">
      <c r="G674" s="496"/>
    </row>
    <row r="675" ht="15.75" customHeight="1">
      <c r="G675" s="496"/>
    </row>
    <row r="676" ht="15.75" customHeight="1">
      <c r="G676" s="496"/>
    </row>
    <row r="677" ht="15.75" customHeight="1">
      <c r="G677" s="496"/>
    </row>
    <row r="678" ht="15.75" customHeight="1">
      <c r="G678" s="496"/>
    </row>
    <row r="679" ht="15.75" customHeight="1">
      <c r="G679" s="496"/>
    </row>
    <row r="680" ht="15.75" customHeight="1">
      <c r="G680" s="496"/>
    </row>
    <row r="681" ht="15.75" customHeight="1">
      <c r="G681" s="496"/>
    </row>
    <row r="682" ht="15.75" customHeight="1">
      <c r="G682" s="496"/>
    </row>
    <row r="683" ht="15.75" customHeight="1">
      <c r="G683" s="496"/>
    </row>
    <row r="684" ht="15.75" customHeight="1">
      <c r="G684" s="496"/>
    </row>
    <row r="685" ht="15.75" customHeight="1">
      <c r="G685" s="496"/>
    </row>
    <row r="686" ht="15.75" customHeight="1">
      <c r="G686" s="496"/>
    </row>
    <row r="687" ht="15.75" customHeight="1">
      <c r="G687" s="496"/>
    </row>
    <row r="688" ht="15.75" customHeight="1">
      <c r="G688" s="496"/>
    </row>
    <row r="689" ht="15.75" customHeight="1">
      <c r="G689" s="496"/>
    </row>
    <row r="690" ht="15.75" customHeight="1">
      <c r="G690" s="496"/>
    </row>
    <row r="691" ht="15.75" customHeight="1">
      <c r="G691" s="496"/>
    </row>
    <row r="692" ht="15.75" customHeight="1">
      <c r="G692" s="496"/>
    </row>
    <row r="693" ht="15.75" customHeight="1">
      <c r="G693" s="496"/>
    </row>
    <row r="694" ht="15.75" customHeight="1">
      <c r="G694" s="496"/>
    </row>
    <row r="695" ht="15.75" customHeight="1">
      <c r="G695" s="496"/>
    </row>
    <row r="696" ht="15.75" customHeight="1">
      <c r="G696" s="496"/>
    </row>
    <row r="697" ht="15.75" customHeight="1">
      <c r="G697" s="496"/>
    </row>
    <row r="698" ht="15.75" customHeight="1">
      <c r="G698" s="496"/>
    </row>
    <row r="699" ht="15.75" customHeight="1">
      <c r="G699" s="496"/>
    </row>
    <row r="700" ht="15.75" customHeight="1">
      <c r="G700" s="496"/>
    </row>
    <row r="701" ht="15.75" customHeight="1">
      <c r="G701" s="496"/>
    </row>
    <row r="702" ht="15.75" customHeight="1">
      <c r="G702" s="496"/>
    </row>
    <row r="703" ht="15.75" customHeight="1">
      <c r="G703" s="496"/>
    </row>
    <row r="704" ht="15.75" customHeight="1">
      <c r="G704" s="496"/>
    </row>
    <row r="705" ht="15.75" customHeight="1">
      <c r="G705" s="496"/>
    </row>
    <row r="706" ht="15.75" customHeight="1">
      <c r="G706" s="496"/>
    </row>
    <row r="707" ht="15.75" customHeight="1">
      <c r="G707" s="496"/>
    </row>
    <row r="708" ht="15.75" customHeight="1">
      <c r="G708" s="496"/>
    </row>
    <row r="709" ht="15.75" customHeight="1">
      <c r="G709" s="496"/>
    </row>
    <row r="710" ht="15.75" customHeight="1">
      <c r="G710" s="496"/>
    </row>
    <row r="711" ht="15.75" customHeight="1">
      <c r="G711" s="496"/>
    </row>
    <row r="712" ht="15.75" customHeight="1">
      <c r="G712" s="496"/>
    </row>
    <row r="713" ht="15.75" customHeight="1">
      <c r="G713" s="496"/>
    </row>
    <row r="714" ht="15.75" customHeight="1">
      <c r="G714" s="496"/>
    </row>
    <row r="715" ht="15.75" customHeight="1">
      <c r="G715" s="496"/>
    </row>
    <row r="716" ht="15.75" customHeight="1">
      <c r="G716" s="496"/>
    </row>
    <row r="717" ht="15.75" customHeight="1">
      <c r="G717" s="496"/>
    </row>
    <row r="718" ht="15.75" customHeight="1">
      <c r="G718" s="496"/>
    </row>
    <row r="719" ht="15.75" customHeight="1">
      <c r="G719" s="496"/>
    </row>
    <row r="720" ht="15.75" customHeight="1">
      <c r="G720" s="496"/>
    </row>
    <row r="721" ht="15.75" customHeight="1">
      <c r="G721" s="496"/>
    </row>
    <row r="722" ht="15.75" customHeight="1">
      <c r="G722" s="496"/>
    </row>
    <row r="723" ht="15.75" customHeight="1">
      <c r="G723" s="496"/>
    </row>
    <row r="724" ht="15.75" customHeight="1">
      <c r="G724" s="496"/>
    </row>
    <row r="725" ht="15.75" customHeight="1">
      <c r="G725" s="496"/>
    </row>
    <row r="726" ht="15.75" customHeight="1">
      <c r="G726" s="496"/>
    </row>
    <row r="727" ht="15.75" customHeight="1">
      <c r="G727" s="496"/>
    </row>
    <row r="728" ht="15.75" customHeight="1">
      <c r="G728" s="496"/>
    </row>
    <row r="729" ht="15.75" customHeight="1">
      <c r="G729" s="496"/>
    </row>
    <row r="730" ht="15.75" customHeight="1">
      <c r="G730" s="496"/>
    </row>
    <row r="731" ht="15.75" customHeight="1">
      <c r="G731" s="496"/>
    </row>
    <row r="732" ht="15.75" customHeight="1">
      <c r="G732" s="496"/>
    </row>
    <row r="733" ht="15.75" customHeight="1">
      <c r="G733" s="496"/>
    </row>
    <row r="734" ht="15.75" customHeight="1">
      <c r="G734" s="496"/>
    </row>
    <row r="735" ht="15.75" customHeight="1">
      <c r="G735" s="496"/>
    </row>
    <row r="736" ht="15.75" customHeight="1">
      <c r="G736" s="496"/>
    </row>
    <row r="737" ht="15.75" customHeight="1">
      <c r="G737" s="496"/>
    </row>
    <row r="738" ht="15.75" customHeight="1">
      <c r="G738" s="496"/>
    </row>
    <row r="739" ht="15.75" customHeight="1">
      <c r="G739" s="496"/>
    </row>
    <row r="740" ht="15.75" customHeight="1">
      <c r="G740" s="496"/>
    </row>
    <row r="741" ht="15.75" customHeight="1">
      <c r="G741" s="496"/>
    </row>
    <row r="742" ht="15.75" customHeight="1">
      <c r="G742" s="496"/>
    </row>
    <row r="743" ht="15.75" customHeight="1">
      <c r="G743" s="496"/>
    </row>
    <row r="744" ht="15.75" customHeight="1">
      <c r="G744" s="496"/>
    </row>
    <row r="745" ht="15.75" customHeight="1">
      <c r="G745" s="496"/>
    </row>
    <row r="746" ht="15.75" customHeight="1">
      <c r="G746" s="496"/>
    </row>
    <row r="747" ht="15.75" customHeight="1">
      <c r="G747" s="496"/>
    </row>
    <row r="748" ht="15.75" customHeight="1">
      <c r="G748" s="496"/>
    </row>
    <row r="749" ht="15.75" customHeight="1">
      <c r="G749" s="496"/>
    </row>
    <row r="750" ht="15.75" customHeight="1">
      <c r="G750" s="496"/>
    </row>
    <row r="751" ht="15.75" customHeight="1">
      <c r="G751" s="496"/>
    </row>
    <row r="752" ht="15.75" customHeight="1">
      <c r="G752" s="496"/>
    </row>
    <row r="753" ht="15.75" customHeight="1">
      <c r="G753" s="496"/>
    </row>
    <row r="754" ht="15.75" customHeight="1">
      <c r="G754" s="496"/>
    </row>
    <row r="755" ht="15.75" customHeight="1">
      <c r="G755" s="496"/>
    </row>
    <row r="756" ht="15.75" customHeight="1">
      <c r="G756" s="496"/>
    </row>
    <row r="757" ht="15.75" customHeight="1">
      <c r="G757" s="496"/>
    </row>
    <row r="758" ht="15.75" customHeight="1">
      <c r="G758" s="496"/>
    </row>
    <row r="759" ht="15.75" customHeight="1">
      <c r="G759" s="496"/>
    </row>
    <row r="760" ht="15.75" customHeight="1">
      <c r="G760" s="496"/>
    </row>
    <row r="761" ht="15.75" customHeight="1">
      <c r="G761" s="496"/>
    </row>
    <row r="762" ht="15.75" customHeight="1">
      <c r="G762" s="496"/>
    </row>
    <row r="763" ht="15.75" customHeight="1">
      <c r="G763" s="496"/>
    </row>
    <row r="764" ht="15.75" customHeight="1">
      <c r="G764" s="496"/>
    </row>
    <row r="765" ht="15.75" customHeight="1">
      <c r="G765" s="496"/>
    </row>
    <row r="766" ht="15.75" customHeight="1">
      <c r="G766" s="496"/>
    </row>
    <row r="767" ht="15.75" customHeight="1">
      <c r="G767" s="496"/>
    </row>
    <row r="768" ht="15.75" customHeight="1">
      <c r="G768" s="496"/>
    </row>
    <row r="769" ht="15.75" customHeight="1">
      <c r="G769" s="496"/>
    </row>
    <row r="770" ht="15.75" customHeight="1">
      <c r="G770" s="496"/>
    </row>
    <row r="771" ht="15.75" customHeight="1">
      <c r="G771" s="496"/>
    </row>
    <row r="772" ht="15.75" customHeight="1">
      <c r="G772" s="496"/>
    </row>
    <row r="773" ht="15.75" customHeight="1">
      <c r="G773" s="496"/>
    </row>
    <row r="774" ht="15.75" customHeight="1">
      <c r="G774" s="496"/>
    </row>
    <row r="775" ht="15.75" customHeight="1">
      <c r="G775" s="496"/>
    </row>
    <row r="776" ht="15.75" customHeight="1">
      <c r="G776" s="496"/>
    </row>
    <row r="777" ht="15.75" customHeight="1">
      <c r="G777" s="496"/>
    </row>
    <row r="778" ht="15.75" customHeight="1">
      <c r="G778" s="496"/>
    </row>
    <row r="779" ht="15.75" customHeight="1">
      <c r="G779" s="496"/>
    </row>
    <row r="780" ht="15.75" customHeight="1">
      <c r="G780" s="496"/>
    </row>
    <row r="781" ht="15.75" customHeight="1">
      <c r="G781" s="496"/>
    </row>
    <row r="782" ht="15.75" customHeight="1">
      <c r="G782" s="496"/>
    </row>
    <row r="783" ht="15.75" customHeight="1">
      <c r="G783" s="496"/>
    </row>
    <row r="784" ht="15.75" customHeight="1">
      <c r="G784" s="496"/>
    </row>
    <row r="785" ht="15.75" customHeight="1">
      <c r="G785" s="496"/>
    </row>
    <row r="786" ht="15.75" customHeight="1">
      <c r="G786" s="496"/>
    </row>
    <row r="787" ht="15.75" customHeight="1">
      <c r="G787" s="496"/>
    </row>
    <row r="788" ht="15.75" customHeight="1">
      <c r="G788" s="496"/>
    </row>
    <row r="789" ht="15.75" customHeight="1">
      <c r="G789" s="496"/>
    </row>
    <row r="790" ht="15.75" customHeight="1">
      <c r="G790" s="496"/>
    </row>
    <row r="791" ht="15.75" customHeight="1">
      <c r="G791" s="496"/>
    </row>
    <row r="792" ht="15.75" customHeight="1">
      <c r="G792" s="496"/>
    </row>
    <row r="793" ht="15.75" customHeight="1">
      <c r="G793" s="496"/>
    </row>
    <row r="794" ht="15.75" customHeight="1">
      <c r="G794" s="496"/>
    </row>
    <row r="795" ht="15.75" customHeight="1">
      <c r="G795" s="496"/>
    </row>
    <row r="796" ht="15.75" customHeight="1">
      <c r="G796" s="496"/>
    </row>
    <row r="797" ht="15.75" customHeight="1">
      <c r="G797" s="496"/>
    </row>
    <row r="798" ht="15.75" customHeight="1">
      <c r="G798" s="496"/>
    </row>
    <row r="799" ht="15.75" customHeight="1">
      <c r="G799" s="496"/>
    </row>
    <row r="800" ht="15.75" customHeight="1">
      <c r="G800" s="496"/>
    </row>
    <row r="801" ht="15.75" customHeight="1">
      <c r="G801" s="496"/>
    </row>
    <row r="802" ht="15.75" customHeight="1">
      <c r="G802" s="496"/>
    </row>
    <row r="803" ht="15.75" customHeight="1">
      <c r="G803" s="496"/>
    </row>
    <row r="804" ht="15.75" customHeight="1">
      <c r="G804" s="496"/>
    </row>
    <row r="805" ht="15.75" customHeight="1">
      <c r="G805" s="496"/>
    </row>
    <row r="806" ht="15.75" customHeight="1">
      <c r="G806" s="496"/>
    </row>
    <row r="807" ht="15.75" customHeight="1">
      <c r="G807" s="496"/>
    </row>
    <row r="808" ht="15.75" customHeight="1">
      <c r="G808" s="496"/>
    </row>
    <row r="809" ht="15.75" customHeight="1">
      <c r="G809" s="496"/>
    </row>
    <row r="810" ht="15.75" customHeight="1">
      <c r="G810" s="496"/>
    </row>
    <row r="811" ht="15.75" customHeight="1">
      <c r="G811" s="496"/>
    </row>
    <row r="812" ht="15.75" customHeight="1">
      <c r="G812" s="496"/>
    </row>
    <row r="813" ht="15.75" customHeight="1">
      <c r="G813" s="496"/>
    </row>
    <row r="814" ht="15.75" customHeight="1">
      <c r="G814" s="496"/>
    </row>
    <row r="815" ht="15.75" customHeight="1">
      <c r="G815" s="496"/>
    </row>
    <row r="816" ht="15.75" customHeight="1">
      <c r="G816" s="496"/>
    </row>
    <row r="817" ht="15.75" customHeight="1">
      <c r="G817" s="496"/>
    </row>
    <row r="818" ht="15.75" customHeight="1">
      <c r="G818" s="496"/>
    </row>
    <row r="819" ht="15.75" customHeight="1">
      <c r="G819" s="496"/>
    </row>
    <row r="820" ht="15.75" customHeight="1">
      <c r="G820" s="496"/>
    </row>
    <row r="821" ht="15.75" customHeight="1">
      <c r="G821" s="496"/>
    </row>
    <row r="822" ht="15.75" customHeight="1">
      <c r="G822" s="496"/>
    </row>
    <row r="823" ht="15.75" customHeight="1">
      <c r="G823" s="496"/>
    </row>
    <row r="824" ht="15.75" customHeight="1">
      <c r="G824" s="496"/>
    </row>
    <row r="825" ht="15.75" customHeight="1">
      <c r="G825" s="496"/>
    </row>
    <row r="826" ht="15.75" customHeight="1">
      <c r="G826" s="496"/>
    </row>
    <row r="827" ht="15.75" customHeight="1">
      <c r="G827" s="496"/>
    </row>
    <row r="828" ht="15.75" customHeight="1">
      <c r="G828" s="496"/>
    </row>
    <row r="829" ht="15.75" customHeight="1">
      <c r="G829" s="496"/>
    </row>
    <row r="830" ht="15.75" customHeight="1">
      <c r="G830" s="496"/>
    </row>
    <row r="831" ht="15.75" customHeight="1">
      <c r="G831" s="496"/>
    </row>
    <row r="832" ht="15.75" customHeight="1">
      <c r="G832" s="496"/>
    </row>
    <row r="833" ht="15.75" customHeight="1">
      <c r="G833" s="496"/>
    </row>
    <row r="834" ht="15.75" customHeight="1">
      <c r="G834" s="496"/>
    </row>
    <row r="835" ht="15.75" customHeight="1">
      <c r="G835" s="496"/>
    </row>
    <row r="836" ht="15.75" customHeight="1">
      <c r="G836" s="496"/>
    </row>
    <row r="837" ht="15.75" customHeight="1">
      <c r="G837" s="496"/>
    </row>
    <row r="838" ht="15.75" customHeight="1">
      <c r="G838" s="496"/>
    </row>
    <row r="839" ht="15.75" customHeight="1">
      <c r="G839" s="496"/>
    </row>
    <row r="840" ht="15.75" customHeight="1">
      <c r="G840" s="496"/>
    </row>
    <row r="841" ht="15.75" customHeight="1">
      <c r="G841" s="496"/>
    </row>
    <row r="842" ht="15.75" customHeight="1">
      <c r="G842" s="496"/>
    </row>
    <row r="843" ht="15.75" customHeight="1">
      <c r="G843" s="496"/>
    </row>
    <row r="844" ht="15.75" customHeight="1">
      <c r="G844" s="496"/>
    </row>
    <row r="845" ht="15.75" customHeight="1">
      <c r="G845" s="496"/>
    </row>
    <row r="846" ht="15.75" customHeight="1">
      <c r="G846" s="496"/>
    </row>
    <row r="847" ht="15.75" customHeight="1">
      <c r="G847" s="496"/>
    </row>
    <row r="848" ht="15.75" customHeight="1">
      <c r="G848" s="496"/>
    </row>
    <row r="849" ht="15.75" customHeight="1">
      <c r="G849" s="496"/>
    </row>
    <row r="850" ht="15.75" customHeight="1">
      <c r="G850" s="496"/>
    </row>
    <row r="851" ht="15.75" customHeight="1">
      <c r="G851" s="496"/>
    </row>
    <row r="852" ht="15.75" customHeight="1">
      <c r="G852" s="496"/>
    </row>
    <row r="853" ht="15.75" customHeight="1">
      <c r="G853" s="496"/>
    </row>
    <row r="854" ht="15.75" customHeight="1">
      <c r="G854" s="496"/>
    </row>
    <row r="855" ht="15.75" customHeight="1">
      <c r="G855" s="496"/>
    </row>
    <row r="856" ht="15.75" customHeight="1">
      <c r="G856" s="496"/>
    </row>
    <row r="857" ht="15.75" customHeight="1">
      <c r="G857" s="496"/>
    </row>
    <row r="858" ht="15.75" customHeight="1">
      <c r="G858" s="496"/>
    </row>
    <row r="859" ht="15.75" customHeight="1">
      <c r="G859" s="496"/>
    </row>
    <row r="860" ht="15.75" customHeight="1">
      <c r="G860" s="496"/>
    </row>
    <row r="861" ht="15.75" customHeight="1">
      <c r="G861" s="496"/>
    </row>
    <row r="862" ht="15.75" customHeight="1">
      <c r="G862" s="496"/>
    </row>
    <row r="863" ht="15.75" customHeight="1">
      <c r="G863" s="496"/>
    </row>
    <row r="864" ht="15.75" customHeight="1">
      <c r="G864" s="496"/>
    </row>
    <row r="865" ht="15.75" customHeight="1">
      <c r="G865" s="496"/>
    </row>
    <row r="866" ht="15.75" customHeight="1">
      <c r="G866" s="496"/>
    </row>
    <row r="867" ht="15.75" customHeight="1">
      <c r="G867" s="496"/>
    </row>
    <row r="868" ht="15.75" customHeight="1">
      <c r="G868" s="496"/>
    </row>
    <row r="869" ht="15.75" customHeight="1">
      <c r="G869" s="496"/>
    </row>
    <row r="870" ht="15.75" customHeight="1">
      <c r="G870" s="496"/>
    </row>
    <row r="871" ht="15.75" customHeight="1">
      <c r="G871" s="496"/>
    </row>
    <row r="872" ht="15.75" customHeight="1">
      <c r="G872" s="496"/>
    </row>
    <row r="873" ht="15.75" customHeight="1">
      <c r="G873" s="496"/>
    </row>
    <row r="874" ht="15.75" customHeight="1">
      <c r="G874" s="496"/>
    </row>
    <row r="875" ht="15.75" customHeight="1">
      <c r="G875" s="496"/>
    </row>
    <row r="876" ht="15.75" customHeight="1">
      <c r="G876" s="496"/>
    </row>
    <row r="877" ht="15.75" customHeight="1">
      <c r="G877" s="496"/>
    </row>
    <row r="878" ht="15.75" customHeight="1">
      <c r="G878" s="496"/>
    </row>
    <row r="879" ht="15.75" customHeight="1">
      <c r="G879" s="496"/>
    </row>
    <row r="880" ht="15.75" customHeight="1">
      <c r="G880" s="496"/>
    </row>
    <row r="881" ht="15.75" customHeight="1">
      <c r="G881" s="496"/>
    </row>
    <row r="882" ht="15.75" customHeight="1">
      <c r="G882" s="496"/>
    </row>
    <row r="883" ht="15.75" customHeight="1">
      <c r="G883" s="496"/>
    </row>
    <row r="884" ht="15.75" customHeight="1">
      <c r="G884" s="496"/>
    </row>
    <row r="885" ht="15.75" customHeight="1">
      <c r="G885" s="496"/>
    </row>
    <row r="886" ht="15.75" customHeight="1">
      <c r="G886" s="496"/>
    </row>
    <row r="887" ht="15.75" customHeight="1">
      <c r="G887" s="496"/>
    </row>
    <row r="888" ht="15.75" customHeight="1">
      <c r="G888" s="496"/>
    </row>
    <row r="889" ht="15.75" customHeight="1">
      <c r="G889" s="496"/>
    </row>
    <row r="890" ht="15.75" customHeight="1">
      <c r="G890" s="496"/>
    </row>
    <row r="891" ht="15.75" customHeight="1">
      <c r="G891" s="496"/>
    </row>
    <row r="892" ht="15.75" customHeight="1">
      <c r="G892" s="496"/>
    </row>
    <row r="893" ht="15.75" customHeight="1">
      <c r="G893" s="496"/>
    </row>
    <row r="894" ht="15.75" customHeight="1">
      <c r="G894" s="496"/>
    </row>
    <row r="895" ht="15.75" customHeight="1">
      <c r="G895" s="496"/>
    </row>
    <row r="896" ht="15.75" customHeight="1">
      <c r="G896" s="496"/>
    </row>
    <row r="897" ht="15.75" customHeight="1">
      <c r="G897" s="496"/>
    </row>
    <row r="898" ht="15.75" customHeight="1">
      <c r="G898" s="496"/>
    </row>
    <row r="899" ht="15.75" customHeight="1">
      <c r="G899" s="496"/>
    </row>
    <row r="900" ht="15.75" customHeight="1">
      <c r="G900" s="496"/>
    </row>
    <row r="901" ht="15.75" customHeight="1">
      <c r="G901" s="496"/>
    </row>
    <row r="902" ht="15.75" customHeight="1">
      <c r="G902" s="496"/>
    </row>
    <row r="903" ht="15.75" customHeight="1">
      <c r="G903" s="496"/>
    </row>
    <row r="904" ht="15.75" customHeight="1">
      <c r="G904" s="496"/>
    </row>
    <row r="905" ht="15.75" customHeight="1">
      <c r="G905" s="496"/>
    </row>
    <row r="906" ht="15.75" customHeight="1">
      <c r="G906" s="496"/>
    </row>
    <row r="907" ht="15.75" customHeight="1">
      <c r="G907" s="496"/>
    </row>
    <row r="908" ht="15.75" customHeight="1">
      <c r="G908" s="496"/>
    </row>
    <row r="909" ht="15.75" customHeight="1">
      <c r="G909" s="496"/>
    </row>
    <row r="910" ht="15.75" customHeight="1">
      <c r="G910" s="496"/>
    </row>
    <row r="911" ht="15.75" customHeight="1">
      <c r="G911" s="496"/>
    </row>
    <row r="912" ht="15.75" customHeight="1">
      <c r="G912" s="496"/>
    </row>
    <row r="913" ht="15.75" customHeight="1">
      <c r="G913" s="496"/>
    </row>
    <row r="914" ht="15.75" customHeight="1">
      <c r="G914" s="496"/>
    </row>
    <row r="915" ht="15.75" customHeight="1">
      <c r="G915" s="496"/>
    </row>
    <row r="916" ht="15.75" customHeight="1">
      <c r="G916" s="496"/>
    </row>
    <row r="917" ht="15.75" customHeight="1">
      <c r="G917" s="496"/>
    </row>
    <row r="918" ht="15.75" customHeight="1">
      <c r="G918" s="496"/>
    </row>
    <row r="919" ht="15.75" customHeight="1">
      <c r="G919" s="496"/>
    </row>
    <row r="920" ht="15.75" customHeight="1">
      <c r="G920" s="496"/>
    </row>
    <row r="921" ht="15.75" customHeight="1">
      <c r="G921" s="496"/>
    </row>
    <row r="922" ht="15.75" customHeight="1">
      <c r="G922" s="496"/>
    </row>
    <row r="923" ht="15.75" customHeight="1">
      <c r="G923" s="496"/>
    </row>
    <row r="924" ht="15.75" customHeight="1">
      <c r="G924" s="496"/>
    </row>
    <row r="925" ht="15.75" customHeight="1">
      <c r="G925" s="496"/>
    </row>
    <row r="926" ht="15.75" customHeight="1">
      <c r="G926" s="496"/>
    </row>
    <row r="927" ht="15.75" customHeight="1">
      <c r="G927" s="496"/>
    </row>
    <row r="928" ht="15.75" customHeight="1">
      <c r="G928" s="496"/>
    </row>
    <row r="929" ht="15.75" customHeight="1">
      <c r="G929" s="496"/>
    </row>
    <row r="930" ht="15.75" customHeight="1">
      <c r="G930" s="496"/>
    </row>
    <row r="931" ht="15.75" customHeight="1">
      <c r="G931" s="496"/>
    </row>
    <row r="932" ht="15.75" customHeight="1">
      <c r="G932" s="496"/>
    </row>
    <row r="933" ht="15.75" customHeight="1">
      <c r="G933" s="496"/>
    </row>
    <row r="934" ht="15.75" customHeight="1">
      <c r="G934" s="496"/>
    </row>
    <row r="935" ht="15.75" customHeight="1">
      <c r="G935" s="496"/>
    </row>
    <row r="936" ht="15.75" customHeight="1">
      <c r="G936" s="496"/>
    </row>
    <row r="937" ht="15.75" customHeight="1">
      <c r="G937" s="496"/>
    </row>
    <row r="938" ht="15.75" customHeight="1">
      <c r="G938" s="496"/>
    </row>
    <row r="939" ht="15.75" customHeight="1">
      <c r="G939" s="496"/>
    </row>
    <row r="940" ht="15.75" customHeight="1">
      <c r="G940" s="496"/>
    </row>
    <row r="941" ht="15.75" customHeight="1">
      <c r="G941" s="496"/>
    </row>
    <row r="942" ht="15.75" customHeight="1">
      <c r="G942" s="496"/>
    </row>
    <row r="943" ht="15.75" customHeight="1">
      <c r="G943" s="496"/>
    </row>
    <row r="944" ht="15.75" customHeight="1">
      <c r="G944" s="496"/>
    </row>
    <row r="945" ht="15.75" customHeight="1">
      <c r="G945" s="496"/>
    </row>
    <row r="946" ht="15.75" customHeight="1">
      <c r="G946" s="496"/>
    </row>
    <row r="947" ht="15.75" customHeight="1">
      <c r="G947" s="496"/>
    </row>
    <row r="948" ht="15.75" customHeight="1">
      <c r="G948" s="496"/>
    </row>
    <row r="949" ht="15.75" customHeight="1">
      <c r="G949" s="496"/>
    </row>
    <row r="950" ht="15.75" customHeight="1">
      <c r="G950" s="496"/>
    </row>
    <row r="951" ht="15.75" customHeight="1">
      <c r="G951" s="496"/>
    </row>
    <row r="952" ht="15.75" customHeight="1">
      <c r="G952" s="496"/>
    </row>
    <row r="953" ht="15.75" customHeight="1">
      <c r="G953" s="496"/>
    </row>
    <row r="954" ht="15.75" customHeight="1">
      <c r="G954" s="496"/>
    </row>
    <row r="955" ht="15.75" customHeight="1">
      <c r="G955" s="496"/>
    </row>
    <row r="956" ht="15.75" customHeight="1">
      <c r="G956" s="496"/>
    </row>
    <row r="957" ht="15.75" customHeight="1">
      <c r="G957" s="496"/>
    </row>
    <row r="958" ht="15.75" customHeight="1">
      <c r="G958" s="496"/>
    </row>
    <row r="959" ht="15.75" customHeight="1">
      <c r="G959" s="496"/>
    </row>
    <row r="960" ht="15.75" customHeight="1">
      <c r="G960" s="496"/>
    </row>
    <row r="961" ht="15.75" customHeight="1">
      <c r="G961" s="496"/>
    </row>
    <row r="962" ht="15.75" customHeight="1">
      <c r="G962" s="496"/>
    </row>
    <row r="963" ht="15.75" customHeight="1">
      <c r="G963" s="496"/>
    </row>
    <row r="964" ht="15.75" customHeight="1">
      <c r="G964" s="496"/>
    </row>
    <row r="965" ht="15.75" customHeight="1">
      <c r="G965" s="496"/>
    </row>
    <row r="966" ht="15.75" customHeight="1">
      <c r="G966" s="496"/>
    </row>
    <row r="967" ht="15.75" customHeight="1">
      <c r="G967" s="496"/>
    </row>
    <row r="968" ht="15.75" customHeight="1">
      <c r="G968" s="496"/>
    </row>
    <row r="969" ht="15.75" customHeight="1">
      <c r="G969" s="496"/>
    </row>
    <row r="970" ht="15.75" customHeight="1">
      <c r="G970" s="496"/>
    </row>
    <row r="971" ht="15.75" customHeight="1">
      <c r="G971" s="496"/>
    </row>
  </sheetData>
  <mergeCells count="174">
    <mergeCell ref="G17:H17"/>
    <mergeCell ref="G18:I18"/>
    <mergeCell ref="G19:I19"/>
    <mergeCell ref="J19:K19"/>
    <mergeCell ref="L19:M19"/>
    <mergeCell ref="J20:K20"/>
    <mergeCell ref="L20:M20"/>
    <mergeCell ref="G20:I20"/>
    <mergeCell ref="G21:I21"/>
    <mergeCell ref="J21:K21"/>
    <mergeCell ref="L21:M21"/>
    <mergeCell ref="G22:I22"/>
    <mergeCell ref="J22:K22"/>
    <mergeCell ref="L22:M22"/>
    <mergeCell ref="I13:K13"/>
    <mergeCell ref="L13:M13"/>
    <mergeCell ref="B11:C11"/>
    <mergeCell ref="B12:C12"/>
    <mergeCell ref="D12:F12"/>
    <mergeCell ref="G12:H12"/>
    <mergeCell ref="I12:K12"/>
    <mergeCell ref="L12:M12"/>
    <mergeCell ref="B13:C13"/>
    <mergeCell ref="G15:H15"/>
    <mergeCell ref="I15:K15"/>
    <mergeCell ref="I16:K16"/>
    <mergeCell ref="L16:M16"/>
    <mergeCell ref="I17:K17"/>
    <mergeCell ref="L17:M17"/>
    <mergeCell ref="B14:C14"/>
    <mergeCell ref="D14:F14"/>
    <mergeCell ref="G14:H14"/>
    <mergeCell ref="I14:K14"/>
    <mergeCell ref="L14:M14"/>
    <mergeCell ref="D15:F15"/>
    <mergeCell ref="L15:M15"/>
    <mergeCell ref="B15:C15"/>
    <mergeCell ref="B16:C16"/>
    <mergeCell ref="D16:F16"/>
    <mergeCell ref="G16:H16"/>
    <mergeCell ref="B17:C17"/>
    <mergeCell ref="D17:F17"/>
    <mergeCell ref="B18:C18"/>
    <mergeCell ref="B26:C26"/>
    <mergeCell ref="B27:C27"/>
    <mergeCell ref="B28:C28"/>
    <mergeCell ref="B29:C29"/>
    <mergeCell ref="G29:I29"/>
    <mergeCell ref="J29:K29"/>
    <mergeCell ref="L29:M29"/>
    <mergeCell ref="G33:I33"/>
    <mergeCell ref="J33:K33"/>
    <mergeCell ref="L33:M33"/>
    <mergeCell ref="G34:I34"/>
    <mergeCell ref="J34:K34"/>
    <mergeCell ref="L34:M34"/>
    <mergeCell ref="G35:I35"/>
    <mergeCell ref="G11:H11"/>
    <mergeCell ref="I11:K11"/>
    <mergeCell ref="B10:C10"/>
    <mergeCell ref="D10:F10"/>
    <mergeCell ref="G10:H10"/>
    <mergeCell ref="I10:K10"/>
    <mergeCell ref="L10:M10"/>
    <mergeCell ref="D11:F11"/>
    <mergeCell ref="L11:M11"/>
    <mergeCell ref="A1:R1"/>
    <mergeCell ref="B2:C2"/>
    <mergeCell ref="G2:H2"/>
    <mergeCell ref="D3:F3"/>
    <mergeCell ref="G3:H3"/>
    <mergeCell ref="I3:K3"/>
    <mergeCell ref="L3:M3"/>
    <mergeCell ref="B3:C3"/>
    <mergeCell ref="B4:C4"/>
    <mergeCell ref="D4:F4"/>
    <mergeCell ref="G4:H4"/>
    <mergeCell ref="I4:K4"/>
    <mergeCell ref="L4:M4"/>
    <mergeCell ref="B5:C5"/>
    <mergeCell ref="D5:F5"/>
    <mergeCell ref="G5:H5"/>
    <mergeCell ref="B6:C6"/>
    <mergeCell ref="D6:F6"/>
    <mergeCell ref="G6:H6"/>
    <mergeCell ref="D7:F7"/>
    <mergeCell ref="G7:H7"/>
    <mergeCell ref="I8:K8"/>
    <mergeCell ref="I9:K9"/>
    <mergeCell ref="L9:M9"/>
    <mergeCell ref="I5:K5"/>
    <mergeCell ref="L5:M5"/>
    <mergeCell ref="I6:K6"/>
    <mergeCell ref="L6:M6"/>
    <mergeCell ref="I7:K7"/>
    <mergeCell ref="L7:M7"/>
    <mergeCell ref="L8:M8"/>
    <mergeCell ref="B7:C7"/>
    <mergeCell ref="B8:C8"/>
    <mergeCell ref="D8:F8"/>
    <mergeCell ref="G8:H8"/>
    <mergeCell ref="B9:C9"/>
    <mergeCell ref="D9:F9"/>
    <mergeCell ref="G9:H9"/>
    <mergeCell ref="D13:F13"/>
    <mergeCell ref="G13:H13"/>
    <mergeCell ref="J25:K25"/>
    <mergeCell ref="L25:M25"/>
    <mergeCell ref="G23:I23"/>
    <mergeCell ref="J23:K23"/>
    <mergeCell ref="L23:M23"/>
    <mergeCell ref="G24:I24"/>
    <mergeCell ref="J24:K24"/>
    <mergeCell ref="L24:M24"/>
    <mergeCell ref="G25:I25"/>
    <mergeCell ref="J28:K28"/>
    <mergeCell ref="L28:M28"/>
    <mergeCell ref="G26:I26"/>
    <mergeCell ref="J26:K26"/>
    <mergeCell ref="L26:M26"/>
    <mergeCell ref="G27:I27"/>
    <mergeCell ref="J27:K27"/>
    <mergeCell ref="L27:M27"/>
    <mergeCell ref="G28:I28"/>
    <mergeCell ref="B19:C19"/>
    <mergeCell ref="B20:C20"/>
    <mergeCell ref="B21:C21"/>
    <mergeCell ref="B22:C22"/>
    <mergeCell ref="B23:C23"/>
    <mergeCell ref="B24:C24"/>
    <mergeCell ref="B25:C25"/>
    <mergeCell ref="B30:C30"/>
    <mergeCell ref="B31:C31"/>
    <mergeCell ref="B32:C32"/>
    <mergeCell ref="B33:C33"/>
    <mergeCell ref="B34:C34"/>
    <mergeCell ref="B35:C35"/>
    <mergeCell ref="B36:C36"/>
    <mergeCell ref="B44:C44"/>
    <mergeCell ref="B45:C45"/>
    <mergeCell ref="B46:C46"/>
    <mergeCell ref="B47:C47"/>
    <mergeCell ref="B48:C48"/>
    <mergeCell ref="B49:C49"/>
    <mergeCell ref="B37:C37"/>
    <mergeCell ref="B38:C38"/>
    <mergeCell ref="B39:C39"/>
    <mergeCell ref="B40:C40"/>
    <mergeCell ref="B41:C41"/>
    <mergeCell ref="B42:C42"/>
    <mergeCell ref="B43:C43"/>
    <mergeCell ref="J32:K32"/>
    <mergeCell ref="L32:M32"/>
    <mergeCell ref="G30:I30"/>
    <mergeCell ref="J30:K30"/>
    <mergeCell ref="L30:M30"/>
    <mergeCell ref="G31:I31"/>
    <mergeCell ref="J31:K31"/>
    <mergeCell ref="L31:M31"/>
    <mergeCell ref="G32:I32"/>
    <mergeCell ref="G43:I43"/>
    <mergeCell ref="G44:I44"/>
    <mergeCell ref="G45:I45"/>
    <mergeCell ref="G46:I46"/>
    <mergeCell ref="G47:I47"/>
    <mergeCell ref="G48:I48"/>
    <mergeCell ref="G49:I49"/>
    <mergeCell ref="G36:I36"/>
    <mergeCell ref="G37:I37"/>
    <mergeCell ref="G38:I38"/>
    <mergeCell ref="G39:I39"/>
    <mergeCell ref="G40:I40"/>
    <mergeCell ref="G41:I41"/>
    <mergeCell ref="G42:I42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86"/>
    <col customWidth="1" min="2" max="2" width="29.14"/>
    <col customWidth="1" min="3" max="3" width="26.71"/>
    <col customWidth="1" hidden="1" min="4" max="4" width="14.0"/>
    <col customWidth="1" hidden="1" min="5" max="5" width="5.71"/>
    <col customWidth="1" hidden="1" min="6" max="6" width="8.0"/>
    <col customWidth="1" min="7" max="7" width="17.71"/>
    <col customWidth="1" min="8" max="8" width="8.29"/>
    <col customWidth="1" hidden="1" min="9" max="9" width="12.0"/>
    <col customWidth="1" hidden="1" min="10" max="10" width="15.14"/>
    <col customWidth="1" hidden="1" min="11" max="11" width="10.29"/>
    <col customWidth="1" hidden="1" min="12" max="12" width="11.57"/>
    <col customWidth="1" hidden="1" min="13" max="13" width="14.0"/>
    <col customWidth="1" min="14" max="14" width="11.71"/>
    <col customWidth="1" min="15" max="15" width="21.14"/>
    <col customWidth="1" min="16" max="16" width="16.86"/>
    <col customWidth="1" min="17" max="17" width="2.0"/>
    <col customWidth="1" min="18" max="18" width="15.71"/>
    <col customWidth="1" min="19" max="20" width="8.71"/>
    <col customWidth="1" min="21" max="22" width="13.86"/>
    <col customWidth="1" min="23" max="27" width="8.71"/>
  </cols>
  <sheetData>
    <row r="1" ht="57.75" customHeight="1">
      <c r="A1" s="424"/>
    </row>
    <row r="2" ht="35.25" customHeight="1">
      <c r="A2" s="124" t="s">
        <v>831</v>
      </c>
      <c r="B2" s="125" t="s">
        <v>16</v>
      </c>
      <c r="C2" s="35"/>
      <c r="D2" s="126" t="s">
        <v>1211</v>
      </c>
      <c r="E2" s="126"/>
      <c r="F2" s="126" t="s">
        <v>1212</v>
      </c>
      <c r="G2" s="462" t="s">
        <v>395</v>
      </c>
      <c r="H2" s="126"/>
      <c r="I2" s="126" t="s">
        <v>1213</v>
      </c>
      <c r="J2" s="126"/>
      <c r="K2" s="126"/>
      <c r="L2" s="126" t="s">
        <v>1214</v>
      </c>
      <c r="M2" s="425" t="s">
        <v>1215</v>
      </c>
      <c r="N2" s="425" t="s">
        <v>837</v>
      </c>
      <c r="O2" s="126" t="s">
        <v>838</v>
      </c>
      <c r="P2" s="128" t="s">
        <v>263</v>
      </c>
      <c r="Q2" s="126"/>
      <c r="R2" s="129" t="s">
        <v>24</v>
      </c>
      <c r="S2" s="428" t="s">
        <v>25</v>
      </c>
      <c r="T2" s="429" t="s">
        <v>26</v>
      </c>
    </row>
    <row r="3">
      <c r="A3" s="153" t="s">
        <v>1198</v>
      </c>
      <c r="B3" s="436" t="s">
        <v>1199</v>
      </c>
      <c r="C3" s="35"/>
      <c r="D3" s="138"/>
      <c r="E3" s="34"/>
      <c r="F3" s="35"/>
      <c r="G3" s="135">
        <v>27.0</v>
      </c>
      <c r="H3" s="529">
        <f t="shared" ref="H3:H8" si="1">(R3*100)/121</f>
        <v>23361</v>
      </c>
      <c r="I3" s="138"/>
      <c r="J3" s="34"/>
      <c r="K3" s="35"/>
      <c r="L3" s="430"/>
      <c r="M3" s="35"/>
      <c r="N3" s="301">
        <f>11.98*1300</f>
        <v>15574</v>
      </c>
      <c r="O3" s="431">
        <f t="shared" ref="O3:O8" si="2">N3*1.21</f>
        <v>18844.54</v>
      </c>
      <c r="P3" s="515">
        <f t="shared" ref="P3:P8" si="3">O3*1.45</f>
        <v>27324.583</v>
      </c>
      <c r="Q3" s="516"/>
      <c r="R3" s="517">
        <f t="shared" ref="R3:R8" si="4">O3*1.5</f>
        <v>28266.81</v>
      </c>
      <c r="S3" s="428">
        <v>1.0</v>
      </c>
      <c r="T3" s="518">
        <f t="shared" ref="T3:T9" si="5">G3-S3</f>
        <v>26</v>
      </c>
    </row>
    <row r="4">
      <c r="A4" s="441" t="s">
        <v>1200</v>
      </c>
      <c r="B4" s="436" t="s">
        <v>1201</v>
      </c>
      <c r="C4" s="35"/>
      <c r="D4" s="138"/>
      <c r="E4" s="34"/>
      <c r="F4" s="35"/>
      <c r="G4" s="467">
        <v>3.0</v>
      </c>
      <c r="H4" s="529">
        <f t="shared" si="1"/>
        <v>4270.5</v>
      </c>
      <c r="I4" s="138"/>
      <c r="J4" s="34"/>
      <c r="K4" s="35"/>
      <c r="L4" s="430"/>
      <c r="M4" s="35"/>
      <c r="N4" s="301">
        <f t="shared" ref="N4:N5" si="6">2.19*1300</f>
        <v>2847</v>
      </c>
      <c r="O4" s="431">
        <f t="shared" si="2"/>
        <v>3444.87</v>
      </c>
      <c r="P4" s="515">
        <f t="shared" si="3"/>
        <v>4995.0615</v>
      </c>
      <c r="Q4" s="516"/>
      <c r="R4" s="517">
        <f t="shared" si="4"/>
        <v>5167.305</v>
      </c>
      <c r="S4" s="428">
        <v>1.0</v>
      </c>
      <c r="T4" s="518">
        <f t="shared" si="5"/>
        <v>2</v>
      </c>
    </row>
    <row r="5">
      <c r="A5" s="153" t="s">
        <v>1202</v>
      </c>
      <c r="B5" s="436" t="s">
        <v>1203</v>
      </c>
      <c r="C5" s="35"/>
      <c r="D5" s="138"/>
      <c r="E5" s="34"/>
      <c r="F5" s="35"/>
      <c r="G5" s="467">
        <v>22.0</v>
      </c>
      <c r="H5" s="529">
        <f t="shared" si="1"/>
        <v>4270.5</v>
      </c>
      <c r="I5" s="138"/>
      <c r="J5" s="34"/>
      <c r="K5" s="35"/>
      <c r="L5" s="430"/>
      <c r="M5" s="35"/>
      <c r="N5" s="301">
        <f t="shared" si="6"/>
        <v>2847</v>
      </c>
      <c r="O5" s="431">
        <f t="shared" si="2"/>
        <v>3444.87</v>
      </c>
      <c r="P5" s="515">
        <f t="shared" si="3"/>
        <v>4995.0615</v>
      </c>
      <c r="Q5" s="516"/>
      <c r="R5" s="517">
        <f t="shared" si="4"/>
        <v>5167.305</v>
      </c>
      <c r="S5" s="428">
        <v>1.0</v>
      </c>
      <c r="T5" s="518">
        <f t="shared" si="5"/>
        <v>21</v>
      </c>
    </row>
    <row r="6">
      <c r="A6" s="441" t="s">
        <v>1204</v>
      </c>
      <c r="B6" s="436" t="s">
        <v>1205</v>
      </c>
      <c r="C6" s="35"/>
      <c r="D6" s="138"/>
      <c r="E6" s="34"/>
      <c r="F6" s="35"/>
      <c r="G6" s="467">
        <v>16.0</v>
      </c>
      <c r="H6" s="529">
        <f t="shared" si="1"/>
        <v>693</v>
      </c>
      <c r="I6" s="138"/>
      <c r="J6" s="34"/>
      <c r="K6" s="35"/>
      <c r="L6" s="430"/>
      <c r="M6" s="35"/>
      <c r="N6" s="302">
        <v>462.0</v>
      </c>
      <c r="O6" s="431">
        <f t="shared" si="2"/>
        <v>559.02</v>
      </c>
      <c r="P6" s="515">
        <f t="shared" si="3"/>
        <v>810.579</v>
      </c>
      <c r="Q6" s="516"/>
      <c r="R6" s="517">
        <f t="shared" si="4"/>
        <v>838.53</v>
      </c>
      <c r="S6" s="519"/>
      <c r="T6" s="518">
        <f t="shared" si="5"/>
        <v>16</v>
      </c>
    </row>
    <row r="7">
      <c r="A7" s="441" t="s">
        <v>1206</v>
      </c>
      <c r="B7" s="436" t="s">
        <v>1207</v>
      </c>
      <c r="C7" s="35"/>
      <c r="D7" s="138"/>
      <c r="E7" s="34"/>
      <c r="F7" s="35"/>
      <c r="G7" s="467">
        <v>81.0</v>
      </c>
      <c r="H7" s="529">
        <f t="shared" si="1"/>
        <v>210</v>
      </c>
      <c r="I7" s="138"/>
      <c r="J7" s="34"/>
      <c r="K7" s="35"/>
      <c r="L7" s="430"/>
      <c r="M7" s="35"/>
      <c r="N7" s="302">
        <v>140.0</v>
      </c>
      <c r="O7" s="431">
        <f t="shared" si="2"/>
        <v>169.4</v>
      </c>
      <c r="P7" s="515">
        <f t="shared" si="3"/>
        <v>245.63</v>
      </c>
      <c r="Q7" s="516"/>
      <c r="R7" s="517">
        <f t="shared" si="4"/>
        <v>254.1</v>
      </c>
      <c r="S7" s="519"/>
      <c r="T7" s="518">
        <f t="shared" si="5"/>
        <v>81</v>
      </c>
    </row>
    <row r="8">
      <c r="A8" s="441" t="s">
        <v>1208</v>
      </c>
      <c r="B8" s="436" t="s">
        <v>1209</v>
      </c>
      <c r="C8" s="35"/>
      <c r="D8" s="138"/>
      <c r="E8" s="34"/>
      <c r="F8" s="35"/>
      <c r="G8" s="467">
        <v>33.0</v>
      </c>
      <c r="H8" s="529">
        <f t="shared" si="1"/>
        <v>1350</v>
      </c>
      <c r="I8" s="138"/>
      <c r="J8" s="34"/>
      <c r="K8" s="35"/>
      <c r="L8" s="430"/>
      <c r="M8" s="35"/>
      <c r="N8" s="302">
        <v>900.0</v>
      </c>
      <c r="O8" s="431">
        <f t="shared" si="2"/>
        <v>1089</v>
      </c>
      <c r="P8" s="515">
        <f t="shared" si="3"/>
        <v>1579.05</v>
      </c>
      <c r="Q8" s="516"/>
      <c r="R8" s="517">
        <f t="shared" si="4"/>
        <v>1633.5</v>
      </c>
      <c r="S8" s="519"/>
      <c r="T8" s="518">
        <f t="shared" si="5"/>
        <v>33</v>
      </c>
      <c r="U8" s="132" t="s">
        <v>1216</v>
      </c>
    </row>
    <row r="9">
      <c r="A9" s="153"/>
      <c r="B9" s="138"/>
      <c r="C9" s="35"/>
      <c r="D9" s="138"/>
      <c r="E9" s="34"/>
      <c r="F9" s="35"/>
      <c r="G9" s="135"/>
      <c r="H9" s="35"/>
      <c r="I9" s="138"/>
      <c r="J9" s="34"/>
      <c r="K9" s="35"/>
      <c r="L9" s="430"/>
      <c r="M9" s="35"/>
      <c r="N9" s="301"/>
      <c r="O9" s="431"/>
      <c r="P9" s="433"/>
      <c r="Q9" s="141"/>
      <c r="R9" s="142"/>
      <c r="S9" s="519"/>
      <c r="T9" s="518">
        <f t="shared" si="5"/>
        <v>0</v>
      </c>
    </row>
    <row r="10">
      <c r="A10" s="153"/>
      <c r="B10" s="138"/>
      <c r="C10" s="35"/>
      <c r="D10" s="138"/>
      <c r="E10" s="34"/>
      <c r="F10" s="35"/>
      <c r="G10" s="135"/>
      <c r="H10" s="35"/>
      <c r="I10" s="138"/>
      <c r="J10" s="34"/>
      <c r="K10" s="35"/>
      <c r="L10" s="430"/>
      <c r="M10" s="35"/>
      <c r="N10" s="301"/>
      <c r="O10" s="431"/>
      <c r="P10" s="433"/>
      <c r="Q10" s="141"/>
      <c r="R10" s="142"/>
    </row>
    <row r="11">
      <c r="A11" s="153"/>
      <c r="B11" s="138"/>
      <c r="C11" s="35"/>
      <c r="D11" s="138"/>
      <c r="E11" s="34"/>
      <c r="F11" s="35"/>
      <c r="G11" s="135"/>
      <c r="H11" s="35"/>
      <c r="I11" s="138"/>
      <c r="J11" s="34"/>
      <c r="K11" s="35"/>
      <c r="L11" s="430"/>
      <c r="M11" s="35"/>
      <c r="N11" s="301"/>
      <c r="O11" s="431"/>
      <c r="P11" s="433"/>
      <c r="Q11" s="141"/>
      <c r="R11" s="142"/>
    </row>
    <row r="12">
      <c r="A12" s="153"/>
      <c r="B12" s="138"/>
      <c r="C12" s="35"/>
      <c r="D12" s="138"/>
      <c r="E12" s="34"/>
      <c r="F12" s="35"/>
      <c r="G12" s="135"/>
      <c r="H12" s="35"/>
      <c r="I12" s="138"/>
      <c r="J12" s="34"/>
      <c r="K12" s="35"/>
      <c r="L12" s="430"/>
      <c r="M12" s="35"/>
      <c r="N12" s="301"/>
      <c r="O12" s="431"/>
      <c r="P12" s="433"/>
      <c r="Q12" s="141"/>
      <c r="R12" s="142"/>
    </row>
    <row r="13">
      <c r="A13" s="153"/>
      <c r="B13" s="138"/>
      <c r="C13" s="35"/>
      <c r="D13" s="138"/>
      <c r="E13" s="34"/>
      <c r="F13" s="35"/>
      <c r="G13" s="135"/>
      <c r="H13" s="35"/>
      <c r="I13" s="138"/>
      <c r="J13" s="34"/>
      <c r="K13" s="35"/>
      <c r="L13" s="430"/>
      <c r="M13" s="35"/>
      <c r="N13" s="301"/>
      <c r="O13" s="431"/>
      <c r="P13" s="433"/>
      <c r="Q13" s="141"/>
      <c r="R13" s="142"/>
    </row>
    <row r="14">
      <c r="A14" s="153"/>
      <c r="B14" s="138"/>
      <c r="C14" s="35"/>
      <c r="D14" s="138"/>
      <c r="E14" s="34"/>
      <c r="F14" s="35"/>
      <c r="G14" s="135"/>
      <c r="H14" s="35"/>
      <c r="I14" s="138"/>
      <c r="J14" s="34"/>
      <c r="K14" s="35"/>
      <c r="L14" s="430"/>
      <c r="M14" s="35"/>
      <c r="N14" s="301"/>
      <c r="O14" s="431"/>
      <c r="P14" s="433"/>
      <c r="Q14" s="141"/>
      <c r="R14" s="142"/>
    </row>
    <row r="15">
      <c r="A15" s="153"/>
      <c r="B15" s="138"/>
      <c r="C15" s="35"/>
      <c r="D15" s="138"/>
      <c r="E15" s="34"/>
      <c r="F15" s="35"/>
      <c r="G15" s="135"/>
      <c r="H15" s="35"/>
      <c r="I15" s="138"/>
      <c r="J15" s="34"/>
      <c r="K15" s="35"/>
      <c r="L15" s="430"/>
      <c r="M15" s="35"/>
      <c r="N15" s="301"/>
      <c r="O15" s="431"/>
      <c r="P15" s="433"/>
      <c r="Q15" s="141"/>
      <c r="R15" s="142"/>
    </row>
    <row r="16">
      <c r="A16" s="153"/>
      <c r="B16" s="138"/>
      <c r="C16" s="35"/>
      <c r="D16" s="138"/>
      <c r="E16" s="34"/>
      <c r="F16" s="35"/>
      <c r="G16" s="135"/>
      <c r="H16" s="35"/>
      <c r="I16" s="138"/>
      <c r="J16" s="34"/>
      <c r="K16" s="35"/>
      <c r="L16" s="430"/>
      <c r="M16" s="35"/>
      <c r="N16" s="301"/>
      <c r="O16" s="431"/>
      <c r="P16" s="433"/>
      <c r="Q16" s="141"/>
      <c r="R16" s="142"/>
    </row>
    <row r="17">
      <c r="A17" s="153"/>
      <c r="B17" s="138"/>
      <c r="C17" s="35"/>
      <c r="D17" s="138"/>
      <c r="E17" s="34"/>
      <c r="F17" s="35"/>
      <c r="G17" s="135"/>
      <c r="H17" s="35"/>
      <c r="I17" s="138"/>
      <c r="J17" s="34"/>
      <c r="K17" s="35"/>
      <c r="L17" s="430"/>
      <c r="M17" s="35"/>
      <c r="N17" s="301"/>
      <c r="O17" s="431"/>
      <c r="P17" s="433"/>
      <c r="Q17" s="141"/>
      <c r="R17" s="142"/>
    </row>
    <row r="18" ht="15.75" customHeight="1">
      <c r="A18" s="153"/>
      <c r="B18" s="138"/>
      <c r="C18" s="35"/>
      <c r="D18" s="438"/>
      <c r="F18" s="138"/>
      <c r="G18" s="530"/>
      <c r="H18" s="490"/>
      <c r="I18" s="490"/>
      <c r="J18" s="490"/>
      <c r="K18" s="490"/>
      <c r="L18" s="490"/>
      <c r="M18" s="490"/>
      <c r="N18" s="490"/>
      <c r="O18" s="490"/>
      <c r="P18" s="433"/>
      <c r="R18" s="142"/>
    </row>
    <row r="19" ht="15.75" customHeight="1">
      <c r="A19" s="153"/>
      <c r="B19" s="138"/>
      <c r="C19" s="35"/>
      <c r="D19" s="443"/>
      <c r="F19" s="138"/>
      <c r="G19" s="530"/>
      <c r="H19" s="531"/>
      <c r="I19" s="35"/>
      <c r="J19" s="532"/>
      <c r="K19" s="35"/>
      <c r="L19" s="532"/>
      <c r="M19" s="35"/>
      <c r="N19" s="490"/>
      <c r="O19" s="490"/>
      <c r="P19" s="433"/>
      <c r="R19" s="142"/>
    </row>
    <row r="20" ht="15.75" customHeight="1">
      <c r="A20" s="153"/>
      <c r="B20" s="138"/>
      <c r="C20" s="35"/>
      <c r="D20" s="443"/>
      <c r="F20" s="138"/>
      <c r="G20" s="530"/>
      <c r="H20" s="531"/>
      <c r="I20" s="35"/>
      <c r="J20" s="532"/>
      <c r="K20" s="35"/>
      <c r="L20" s="532"/>
      <c r="M20" s="35"/>
      <c r="N20" s="490"/>
      <c r="O20" s="490"/>
      <c r="P20" s="433"/>
      <c r="R20" s="142"/>
    </row>
    <row r="21" ht="15.75" customHeight="1">
      <c r="A21" s="153"/>
      <c r="B21" s="138"/>
      <c r="C21" s="35"/>
      <c r="D21" s="443"/>
      <c r="F21" s="138"/>
      <c r="G21" s="530"/>
      <c r="H21" s="531"/>
      <c r="I21" s="35"/>
      <c r="J21" s="532"/>
      <c r="K21" s="35"/>
      <c r="L21" s="532"/>
      <c r="M21" s="35"/>
      <c r="N21" s="490"/>
      <c r="O21" s="490"/>
      <c r="P21" s="433"/>
      <c r="R21" s="142"/>
    </row>
    <row r="22" ht="15.75" customHeight="1">
      <c r="A22" s="153"/>
      <c r="B22" s="138"/>
      <c r="C22" s="35"/>
      <c r="D22" s="443"/>
      <c r="F22" s="138"/>
      <c r="G22" s="530"/>
      <c r="H22" s="531"/>
      <c r="I22" s="35"/>
      <c r="J22" s="532"/>
      <c r="K22" s="35"/>
      <c r="L22" s="532"/>
      <c r="M22" s="35"/>
      <c r="N22" s="490"/>
      <c r="O22" s="490"/>
      <c r="P22" s="433"/>
      <c r="R22" s="142"/>
    </row>
    <row r="23" ht="15.75" customHeight="1">
      <c r="A23" s="153"/>
      <c r="B23" s="138"/>
      <c r="C23" s="35"/>
      <c r="D23" s="443"/>
      <c r="F23" s="138"/>
      <c r="G23" s="530"/>
      <c r="H23" s="531"/>
      <c r="I23" s="35"/>
      <c r="J23" s="532"/>
      <c r="K23" s="35"/>
      <c r="L23" s="532"/>
      <c r="M23" s="35"/>
      <c r="N23" s="490"/>
      <c r="O23" s="490"/>
      <c r="P23" s="433"/>
      <c r="R23" s="142"/>
    </row>
    <row r="24" ht="15.75" customHeight="1">
      <c r="A24" s="153"/>
      <c r="B24" s="138"/>
      <c r="C24" s="35"/>
      <c r="D24" s="443"/>
      <c r="F24" s="138"/>
      <c r="G24" s="530"/>
      <c r="H24" s="531"/>
      <c r="I24" s="35"/>
      <c r="J24" s="532"/>
      <c r="K24" s="35"/>
      <c r="L24" s="532"/>
      <c r="M24" s="35"/>
      <c r="N24" s="490"/>
      <c r="O24" s="490"/>
      <c r="P24" s="433"/>
      <c r="R24" s="142"/>
    </row>
    <row r="25" ht="15.75" customHeight="1">
      <c r="A25" s="153"/>
      <c r="B25" s="138"/>
      <c r="C25" s="35"/>
      <c r="D25" s="443"/>
      <c r="F25" s="138"/>
      <c r="G25" s="530"/>
      <c r="H25" s="531"/>
      <c r="I25" s="35"/>
      <c r="J25" s="532"/>
      <c r="K25" s="35"/>
      <c r="L25" s="532"/>
      <c r="M25" s="35"/>
      <c r="N25" s="490"/>
      <c r="O25" s="490"/>
      <c r="P25" s="433"/>
      <c r="R25" s="142"/>
    </row>
    <row r="26" ht="15.75" customHeight="1">
      <c r="A26" s="153"/>
      <c r="B26" s="138"/>
      <c r="C26" s="35"/>
      <c r="D26" s="443"/>
      <c r="F26" s="138"/>
      <c r="G26" s="530"/>
      <c r="H26" s="531"/>
      <c r="I26" s="35"/>
      <c r="J26" s="532"/>
      <c r="K26" s="35"/>
      <c r="L26" s="532"/>
      <c r="M26" s="35"/>
      <c r="N26" s="490"/>
      <c r="O26" s="490"/>
      <c r="P26" s="433"/>
      <c r="R26" s="142"/>
    </row>
    <row r="27" ht="15.75" customHeight="1">
      <c r="A27" s="153"/>
      <c r="B27" s="138"/>
      <c r="C27" s="35"/>
      <c r="D27" s="443"/>
      <c r="F27" s="138"/>
      <c r="G27" s="530"/>
      <c r="H27" s="531"/>
      <c r="I27" s="35"/>
      <c r="J27" s="532"/>
      <c r="K27" s="35"/>
      <c r="L27" s="532"/>
      <c r="M27" s="35"/>
      <c r="N27" s="490"/>
      <c r="O27" s="490"/>
      <c r="P27" s="433"/>
      <c r="R27" s="142"/>
    </row>
    <row r="28" ht="15.75" customHeight="1">
      <c r="A28" s="153"/>
      <c r="B28" s="138"/>
      <c r="C28" s="35"/>
      <c r="D28" s="443"/>
      <c r="F28" s="138"/>
      <c r="G28" s="530"/>
      <c r="H28" s="531"/>
      <c r="I28" s="35"/>
      <c r="J28" s="532"/>
      <c r="K28" s="35"/>
      <c r="L28" s="532"/>
      <c r="M28" s="35"/>
      <c r="N28" s="490"/>
      <c r="O28" s="490"/>
      <c r="P28" s="433"/>
      <c r="R28" s="142"/>
    </row>
    <row r="29" ht="15.75" customHeight="1">
      <c r="A29" s="153"/>
      <c r="B29" s="138"/>
      <c r="C29" s="35"/>
      <c r="D29" s="443"/>
      <c r="F29" s="138"/>
      <c r="G29" s="530"/>
      <c r="H29" s="531"/>
      <c r="I29" s="35"/>
      <c r="J29" s="532"/>
      <c r="K29" s="35"/>
      <c r="L29" s="532"/>
      <c r="M29" s="35"/>
      <c r="N29" s="490"/>
      <c r="O29" s="490"/>
      <c r="P29" s="433"/>
      <c r="R29" s="142"/>
    </row>
    <row r="30" ht="15.75" customHeight="1">
      <c r="A30" s="153"/>
      <c r="B30" s="138"/>
      <c r="C30" s="35"/>
      <c r="D30" s="443"/>
      <c r="F30" s="138"/>
      <c r="G30" s="530"/>
      <c r="H30" s="533"/>
      <c r="I30" s="35"/>
      <c r="J30" s="532"/>
      <c r="K30" s="35"/>
      <c r="L30" s="532"/>
      <c r="M30" s="35"/>
      <c r="N30" s="490"/>
      <c r="O30" s="490"/>
      <c r="P30" s="433"/>
      <c r="R30" s="142"/>
    </row>
    <row r="31" ht="15.75" customHeight="1">
      <c r="A31" s="153"/>
      <c r="B31" s="138"/>
      <c r="C31" s="35"/>
      <c r="D31" s="443"/>
      <c r="F31" s="138"/>
      <c r="G31" s="530"/>
      <c r="H31" s="533"/>
      <c r="I31" s="35"/>
      <c r="J31" s="532"/>
      <c r="K31" s="35"/>
      <c r="L31" s="532"/>
      <c r="M31" s="35"/>
      <c r="N31" s="490"/>
      <c r="O31" s="490"/>
      <c r="P31" s="433"/>
      <c r="R31" s="142"/>
    </row>
    <row r="32" ht="15.75" customHeight="1">
      <c r="A32" s="153"/>
      <c r="B32" s="138"/>
      <c r="C32" s="35"/>
      <c r="D32" s="443"/>
      <c r="F32" s="138"/>
      <c r="G32" s="530"/>
      <c r="H32" s="533"/>
      <c r="I32" s="35"/>
      <c r="J32" s="532"/>
      <c r="K32" s="35"/>
      <c r="L32" s="532"/>
      <c r="M32" s="35"/>
      <c r="N32" s="490"/>
      <c r="O32" s="490"/>
      <c r="P32" s="433"/>
      <c r="R32" s="142"/>
    </row>
    <row r="33" ht="15.75" customHeight="1">
      <c r="A33" s="153"/>
      <c r="B33" s="138"/>
      <c r="C33" s="35"/>
      <c r="D33" s="443"/>
      <c r="F33" s="456"/>
      <c r="G33" s="530"/>
      <c r="H33" s="531"/>
      <c r="I33" s="35"/>
      <c r="J33" s="532"/>
      <c r="K33" s="35"/>
      <c r="L33" s="534"/>
      <c r="M33" s="35"/>
      <c r="N33" s="490"/>
      <c r="O33" s="490"/>
      <c r="P33" s="433"/>
      <c r="R33" s="142"/>
    </row>
    <row r="34" ht="15.75" customHeight="1">
      <c r="A34" s="153"/>
      <c r="B34" s="138"/>
      <c r="C34" s="35"/>
      <c r="D34" s="443"/>
      <c r="E34" s="443"/>
      <c r="F34" s="456"/>
      <c r="G34" s="530"/>
      <c r="H34" s="531"/>
      <c r="I34" s="35"/>
      <c r="J34" s="532"/>
      <c r="K34" s="35"/>
      <c r="L34" s="534"/>
      <c r="M34" s="35"/>
      <c r="N34" s="490"/>
      <c r="O34" s="490"/>
      <c r="P34" s="433"/>
      <c r="R34" s="142"/>
      <c r="S34" s="176"/>
      <c r="T34" s="176" t="s">
        <v>1210</v>
      </c>
    </row>
    <row r="35" ht="15.75" customHeight="1">
      <c r="A35" s="153"/>
      <c r="B35" s="138"/>
      <c r="C35" s="35"/>
      <c r="D35" s="443"/>
      <c r="G35" s="530"/>
      <c r="H35" s="490"/>
      <c r="I35" s="490"/>
      <c r="J35" s="490"/>
      <c r="K35" s="490"/>
      <c r="L35" s="490"/>
      <c r="M35" s="490"/>
      <c r="N35" s="490"/>
      <c r="O35" s="490"/>
      <c r="P35" s="433"/>
      <c r="R35" s="142"/>
      <c r="S35" s="176"/>
      <c r="T35" s="176" t="s">
        <v>1210</v>
      </c>
    </row>
    <row r="36" ht="15.75" customHeight="1">
      <c r="A36" s="153"/>
      <c r="B36" s="138"/>
      <c r="C36" s="35"/>
      <c r="D36" s="443"/>
      <c r="G36" s="530"/>
      <c r="H36" s="490"/>
      <c r="I36" s="490"/>
      <c r="J36" s="490"/>
      <c r="K36" s="490"/>
      <c r="L36" s="490"/>
      <c r="M36" s="490"/>
      <c r="N36" s="490"/>
      <c r="O36" s="490"/>
      <c r="P36" s="433"/>
      <c r="R36" s="142"/>
    </row>
    <row r="37" ht="15.75" customHeight="1">
      <c r="A37" s="153"/>
      <c r="B37" s="138"/>
      <c r="C37" s="35"/>
      <c r="D37" s="443"/>
      <c r="G37" s="530"/>
      <c r="H37" s="490"/>
      <c r="I37" s="490"/>
      <c r="J37" s="490"/>
      <c r="K37" s="490"/>
      <c r="L37" s="490"/>
      <c r="M37" s="490"/>
      <c r="N37" s="490"/>
      <c r="O37" s="490"/>
      <c r="P37" s="433"/>
      <c r="R37" s="142"/>
    </row>
    <row r="38" ht="15.75" customHeight="1">
      <c r="A38" s="153"/>
      <c r="B38" s="138"/>
      <c r="C38" s="35"/>
      <c r="D38" s="443"/>
      <c r="G38" s="530"/>
      <c r="H38" s="490"/>
      <c r="I38" s="490"/>
      <c r="J38" s="490"/>
      <c r="K38" s="490"/>
      <c r="L38" s="490"/>
      <c r="M38" s="490"/>
      <c r="N38" s="490"/>
      <c r="O38" s="490"/>
      <c r="P38" s="433"/>
      <c r="R38" s="142"/>
    </row>
    <row r="39" ht="15.75" customHeight="1">
      <c r="A39" s="153"/>
      <c r="B39" s="138"/>
      <c r="C39" s="35"/>
      <c r="D39" s="443"/>
      <c r="G39" s="530"/>
      <c r="H39" s="490"/>
      <c r="I39" s="490"/>
      <c r="J39" s="490"/>
      <c r="K39" s="490"/>
      <c r="L39" s="490"/>
      <c r="M39" s="490"/>
      <c r="N39" s="490"/>
      <c r="O39" s="490"/>
      <c r="P39" s="433"/>
      <c r="R39" s="142"/>
    </row>
    <row r="40" ht="15.75" customHeight="1">
      <c r="A40" s="153"/>
      <c r="B40" s="138"/>
      <c r="C40" s="35"/>
      <c r="D40" s="443"/>
      <c r="G40" s="530"/>
      <c r="H40" s="490"/>
      <c r="I40" s="490"/>
      <c r="J40" s="490"/>
      <c r="K40" s="490"/>
      <c r="L40" s="490"/>
      <c r="M40" s="490"/>
      <c r="N40" s="490"/>
      <c r="O40" s="490"/>
      <c r="P40" s="433"/>
      <c r="R40" s="142"/>
    </row>
    <row r="41" ht="15.75" customHeight="1">
      <c r="A41" s="153"/>
      <c r="B41" s="138"/>
      <c r="C41" s="35"/>
      <c r="D41" s="443"/>
      <c r="G41" s="530"/>
      <c r="H41" s="490"/>
      <c r="I41" s="490"/>
      <c r="J41" s="490"/>
      <c r="K41" s="490"/>
      <c r="L41" s="490"/>
      <c r="M41" s="490"/>
      <c r="N41" s="490"/>
      <c r="O41" s="490"/>
      <c r="P41" s="433"/>
      <c r="R41" s="142"/>
    </row>
    <row r="42" ht="15.75" customHeight="1">
      <c r="A42" s="153"/>
      <c r="B42" s="138"/>
      <c r="C42" s="35"/>
      <c r="D42" s="443"/>
      <c r="G42" s="530"/>
      <c r="H42" s="490"/>
      <c r="I42" s="490"/>
      <c r="J42" s="490"/>
      <c r="K42" s="490"/>
      <c r="L42" s="490"/>
      <c r="M42" s="490"/>
      <c r="N42" s="490"/>
      <c r="O42" s="490"/>
      <c r="P42" s="433"/>
      <c r="R42" s="142"/>
    </row>
    <row r="43" ht="15.75" customHeight="1">
      <c r="A43" s="153"/>
      <c r="B43" s="138"/>
      <c r="C43" s="35"/>
      <c r="D43" s="443"/>
      <c r="G43" s="530"/>
      <c r="H43" s="490"/>
      <c r="I43" s="490"/>
      <c r="J43" s="490"/>
      <c r="K43" s="490"/>
      <c r="L43" s="490"/>
      <c r="M43" s="490"/>
      <c r="N43" s="490"/>
      <c r="O43" s="490"/>
      <c r="P43" s="433"/>
      <c r="R43" s="142"/>
    </row>
    <row r="44" ht="15.75" customHeight="1">
      <c r="A44" s="153"/>
      <c r="B44" s="138"/>
      <c r="C44" s="35"/>
      <c r="D44" s="443"/>
      <c r="G44" s="530"/>
      <c r="H44" s="490"/>
      <c r="I44" s="490"/>
      <c r="J44" s="490"/>
      <c r="K44" s="490"/>
      <c r="L44" s="490"/>
      <c r="M44" s="490"/>
      <c r="N44" s="490"/>
      <c r="O44" s="490"/>
      <c r="P44" s="433"/>
      <c r="R44" s="142"/>
    </row>
    <row r="45" ht="15.75" customHeight="1">
      <c r="A45" s="153"/>
      <c r="B45" s="138"/>
      <c r="C45" s="35"/>
      <c r="D45" s="443"/>
      <c r="G45" s="530"/>
      <c r="H45" s="490"/>
      <c r="I45" s="490"/>
      <c r="J45" s="490"/>
      <c r="K45" s="490"/>
      <c r="L45" s="490"/>
      <c r="M45" s="490"/>
      <c r="N45" s="490"/>
      <c r="O45" s="490"/>
      <c r="P45" s="433"/>
      <c r="R45" s="142"/>
    </row>
    <row r="46" ht="15.75" customHeight="1">
      <c r="A46" s="153"/>
      <c r="B46" s="138"/>
      <c r="C46" s="35"/>
      <c r="D46" s="443"/>
      <c r="G46" s="530"/>
      <c r="H46" s="490"/>
      <c r="I46" s="490"/>
      <c r="J46" s="490"/>
      <c r="K46" s="490"/>
      <c r="L46" s="490"/>
      <c r="M46" s="490"/>
      <c r="N46" s="490"/>
      <c r="O46" s="490"/>
      <c r="P46" s="433"/>
      <c r="R46" s="142"/>
    </row>
    <row r="47" ht="15.75" customHeight="1">
      <c r="A47" s="153"/>
      <c r="B47" s="138"/>
      <c r="C47" s="35"/>
      <c r="D47" s="443"/>
      <c r="G47" s="530"/>
      <c r="H47" s="490"/>
      <c r="I47" s="490"/>
      <c r="J47" s="490"/>
      <c r="K47" s="490"/>
      <c r="L47" s="490"/>
      <c r="M47" s="490"/>
      <c r="N47" s="490"/>
      <c r="O47" s="490"/>
      <c r="P47" s="433"/>
      <c r="R47" s="142"/>
    </row>
    <row r="48" ht="15.75" customHeight="1">
      <c r="A48" s="153"/>
      <c r="B48" s="138"/>
      <c r="C48" s="35"/>
      <c r="D48" s="443"/>
      <c r="G48" s="530"/>
      <c r="H48" s="490"/>
      <c r="I48" s="490"/>
      <c r="J48" s="490"/>
      <c r="K48" s="490"/>
      <c r="L48" s="490"/>
      <c r="M48" s="490"/>
      <c r="N48" s="490"/>
      <c r="O48" s="490"/>
      <c r="P48" s="433"/>
      <c r="R48" s="142"/>
    </row>
    <row r="49" ht="15.75" customHeight="1">
      <c r="A49" s="153"/>
      <c r="B49" s="138"/>
      <c r="C49" s="35"/>
      <c r="D49" s="443"/>
      <c r="G49" s="530"/>
      <c r="H49" s="490"/>
      <c r="I49" s="490"/>
      <c r="J49" s="490"/>
      <c r="K49" s="490"/>
      <c r="L49" s="490"/>
      <c r="M49" s="490"/>
      <c r="N49" s="490"/>
      <c r="O49" s="490"/>
      <c r="P49" s="433"/>
      <c r="R49" s="142"/>
    </row>
    <row r="50" ht="15.75" customHeight="1">
      <c r="A50" s="153"/>
      <c r="G50" s="496"/>
    </row>
    <row r="51" ht="15.75" customHeight="1">
      <c r="G51" s="496"/>
    </row>
    <row r="52" ht="15.75" customHeight="1">
      <c r="G52" s="496"/>
    </row>
    <row r="53" ht="15.75" customHeight="1">
      <c r="G53" s="496"/>
    </row>
    <row r="54" ht="15.75" customHeight="1">
      <c r="G54" s="496"/>
    </row>
    <row r="55" ht="15.75" customHeight="1">
      <c r="G55" s="496"/>
    </row>
    <row r="56" ht="15.75" customHeight="1">
      <c r="G56" s="496"/>
    </row>
    <row r="57" ht="15.75" customHeight="1">
      <c r="G57" s="496"/>
    </row>
    <row r="58" ht="15.75" customHeight="1">
      <c r="G58" s="496"/>
    </row>
    <row r="59" ht="15.75" customHeight="1">
      <c r="G59" s="496"/>
    </row>
    <row r="60" ht="15.75" customHeight="1">
      <c r="G60" s="496"/>
    </row>
    <row r="61" ht="15.75" customHeight="1">
      <c r="G61" s="496"/>
    </row>
    <row r="62" ht="15.75" customHeight="1">
      <c r="G62" s="496"/>
    </row>
    <row r="63" ht="15.75" customHeight="1">
      <c r="G63" s="496"/>
    </row>
    <row r="64" ht="15.75" customHeight="1">
      <c r="G64" s="496"/>
    </row>
    <row r="65" ht="15.75" customHeight="1">
      <c r="G65" s="496"/>
    </row>
    <row r="66" ht="15.75" customHeight="1">
      <c r="G66" s="496"/>
    </row>
    <row r="67" ht="15.75" customHeight="1">
      <c r="G67" s="496"/>
    </row>
    <row r="68" ht="15.75" customHeight="1">
      <c r="G68" s="496"/>
    </row>
    <row r="69" ht="15.75" customHeight="1">
      <c r="G69" s="496"/>
    </row>
    <row r="70" ht="15.75" customHeight="1">
      <c r="G70" s="496"/>
    </row>
    <row r="71" ht="15.75" customHeight="1">
      <c r="G71" s="496"/>
    </row>
    <row r="72" ht="15.75" customHeight="1">
      <c r="G72" s="496"/>
    </row>
    <row r="73" ht="15.75" customHeight="1">
      <c r="G73" s="496"/>
    </row>
    <row r="74" ht="15.75" customHeight="1">
      <c r="G74" s="496"/>
    </row>
    <row r="75" ht="15.75" customHeight="1">
      <c r="G75" s="496"/>
    </row>
    <row r="76" ht="15.75" customHeight="1">
      <c r="G76" s="496"/>
    </row>
    <row r="77" ht="15.75" customHeight="1">
      <c r="G77" s="496"/>
    </row>
    <row r="78" ht="15.75" customHeight="1">
      <c r="G78" s="496"/>
    </row>
    <row r="79" ht="15.75" customHeight="1">
      <c r="G79" s="496"/>
    </row>
    <row r="80" ht="15.75" customHeight="1">
      <c r="G80" s="496"/>
    </row>
    <row r="81" ht="15.75" customHeight="1">
      <c r="G81" s="496"/>
    </row>
    <row r="82" ht="15.75" customHeight="1">
      <c r="G82" s="496"/>
    </row>
    <row r="83" ht="15.75" customHeight="1">
      <c r="G83" s="496"/>
    </row>
    <row r="84" ht="15.75" customHeight="1">
      <c r="G84" s="496"/>
    </row>
    <row r="85" ht="15.75" customHeight="1">
      <c r="G85" s="496"/>
    </row>
    <row r="86" ht="15.75" customHeight="1">
      <c r="G86" s="496"/>
    </row>
    <row r="87" ht="15.75" customHeight="1">
      <c r="G87" s="496"/>
    </row>
    <row r="88" ht="15.75" customHeight="1">
      <c r="G88" s="496"/>
    </row>
    <row r="89" ht="15.75" customHeight="1">
      <c r="G89" s="496"/>
    </row>
    <row r="90" ht="15.75" customHeight="1">
      <c r="G90" s="496"/>
    </row>
    <row r="91" ht="15.75" customHeight="1">
      <c r="G91" s="496"/>
    </row>
    <row r="92" ht="15.75" customHeight="1">
      <c r="G92" s="496"/>
    </row>
    <row r="93" ht="15.75" customHeight="1">
      <c r="G93" s="496"/>
    </row>
    <row r="94" ht="15.75" customHeight="1">
      <c r="G94" s="496"/>
    </row>
    <row r="95" ht="15.75" customHeight="1">
      <c r="G95" s="496"/>
    </row>
    <row r="96" ht="15.75" customHeight="1">
      <c r="G96" s="496"/>
    </row>
    <row r="97" ht="15.75" customHeight="1">
      <c r="G97" s="496"/>
    </row>
    <row r="98" ht="15.75" customHeight="1">
      <c r="G98" s="496"/>
    </row>
    <row r="99" ht="15.75" customHeight="1">
      <c r="G99" s="496"/>
    </row>
    <row r="100" ht="15.75" customHeight="1">
      <c r="G100" s="496"/>
    </row>
    <row r="101" ht="15.75" customHeight="1">
      <c r="G101" s="496"/>
    </row>
    <row r="102" ht="15.75" customHeight="1">
      <c r="G102" s="496"/>
    </row>
    <row r="103" ht="15.75" customHeight="1">
      <c r="G103" s="496"/>
    </row>
    <row r="104" ht="15.75" customHeight="1">
      <c r="G104" s="496"/>
    </row>
    <row r="105" ht="15.75" customHeight="1">
      <c r="G105" s="496"/>
    </row>
    <row r="106" ht="15.75" customHeight="1">
      <c r="G106" s="496"/>
    </row>
    <row r="107" ht="15.75" customHeight="1">
      <c r="G107" s="496"/>
    </row>
    <row r="108" ht="15.75" customHeight="1">
      <c r="G108" s="496"/>
    </row>
    <row r="109" ht="15.75" customHeight="1">
      <c r="G109" s="496"/>
    </row>
    <row r="110" ht="15.75" customHeight="1">
      <c r="G110" s="496"/>
    </row>
    <row r="111" ht="15.75" customHeight="1">
      <c r="G111" s="496"/>
    </row>
    <row r="112" ht="15.75" customHeight="1">
      <c r="G112" s="496"/>
    </row>
    <row r="113" ht="15.75" customHeight="1">
      <c r="G113" s="496"/>
    </row>
    <row r="114" ht="15.75" customHeight="1">
      <c r="G114" s="496"/>
    </row>
    <row r="115" ht="15.75" customHeight="1">
      <c r="G115" s="496"/>
    </row>
    <row r="116" ht="15.75" customHeight="1">
      <c r="G116" s="496"/>
    </row>
    <row r="117" ht="15.75" customHeight="1">
      <c r="G117" s="496"/>
    </row>
    <row r="118" ht="15.75" customHeight="1">
      <c r="G118" s="496"/>
    </row>
    <row r="119" ht="15.75" customHeight="1">
      <c r="G119" s="496"/>
    </row>
    <row r="120" ht="15.75" customHeight="1">
      <c r="G120" s="496"/>
    </row>
    <row r="121" ht="15.75" customHeight="1">
      <c r="G121" s="496"/>
    </row>
    <row r="122" ht="15.75" customHeight="1">
      <c r="G122" s="496"/>
    </row>
    <row r="123" ht="15.75" customHeight="1">
      <c r="G123" s="496"/>
    </row>
    <row r="124" ht="15.75" customHeight="1">
      <c r="G124" s="496"/>
    </row>
    <row r="125" ht="15.75" customHeight="1">
      <c r="G125" s="496"/>
    </row>
    <row r="126" ht="15.75" customHeight="1">
      <c r="G126" s="496"/>
    </row>
    <row r="127" ht="15.75" customHeight="1">
      <c r="G127" s="496"/>
    </row>
    <row r="128" ht="15.75" customHeight="1">
      <c r="G128" s="496"/>
    </row>
    <row r="129" ht="15.75" customHeight="1">
      <c r="G129" s="496"/>
    </row>
    <row r="130" ht="15.75" customHeight="1">
      <c r="G130" s="496"/>
    </row>
    <row r="131" ht="15.75" customHeight="1">
      <c r="G131" s="496"/>
    </row>
    <row r="132" ht="15.75" customHeight="1">
      <c r="G132" s="496"/>
    </row>
    <row r="133" ht="15.75" customHeight="1">
      <c r="G133" s="496"/>
    </row>
    <row r="134" ht="15.75" customHeight="1">
      <c r="G134" s="496"/>
    </row>
    <row r="135" ht="15.75" customHeight="1">
      <c r="G135" s="496"/>
    </row>
    <row r="136" ht="15.75" customHeight="1">
      <c r="G136" s="496"/>
    </row>
    <row r="137" ht="15.75" customHeight="1">
      <c r="G137" s="496"/>
    </row>
    <row r="138" ht="15.75" customHeight="1">
      <c r="G138" s="496"/>
    </row>
    <row r="139" ht="15.75" customHeight="1">
      <c r="G139" s="496"/>
    </row>
    <row r="140" ht="15.75" customHeight="1">
      <c r="G140" s="496"/>
    </row>
    <row r="141" ht="15.75" customHeight="1">
      <c r="G141" s="496"/>
    </row>
    <row r="142" ht="15.75" customHeight="1">
      <c r="G142" s="496"/>
    </row>
    <row r="143" ht="15.75" customHeight="1">
      <c r="G143" s="496"/>
    </row>
    <row r="144" ht="15.75" customHeight="1">
      <c r="G144" s="496"/>
    </row>
    <row r="145" ht="15.75" customHeight="1">
      <c r="G145" s="496"/>
    </row>
    <row r="146" ht="15.75" customHeight="1">
      <c r="G146" s="496"/>
    </row>
    <row r="147" ht="15.75" customHeight="1">
      <c r="G147" s="496"/>
    </row>
    <row r="148" ht="15.75" customHeight="1">
      <c r="G148" s="496"/>
    </row>
    <row r="149" ht="15.75" customHeight="1">
      <c r="G149" s="496"/>
    </row>
    <row r="150" ht="15.75" customHeight="1">
      <c r="G150" s="496"/>
    </row>
    <row r="151" ht="15.75" customHeight="1">
      <c r="G151" s="496"/>
    </row>
    <row r="152" ht="15.75" customHeight="1">
      <c r="G152" s="496"/>
    </row>
    <row r="153" ht="15.75" customHeight="1">
      <c r="G153" s="496"/>
    </row>
    <row r="154" ht="15.75" customHeight="1">
      <c r="G154" s="496"/>
    </row>
    <row r="155" ht="15.75" customHeight="1">
      <c r="G155" s="496"/>
    </row>
    <row r="156" ht="15.75" customHeight="1">
      <c r="G156" s="496"/>
    </row>
    <row r="157" ht="15.75" customHeight="1">
      <c r="G157" s="496"/>
    </row>
    <row r="158" ht="15.75" customHeight="1">
      <c r="G158" s="496"/>
    </row>
    <row r="159" ht="15.75" customHeight="1">
      <c r="G159" s="496"/>
    </row>
    <row r="160" ht="15.75" customHeight="1">
      <c r="G160" s="496"/>
    </row>
    <row r="161" ht="15.75" customHeight="1">
      <c r="G161" s="496"/>
    </row>
    <row r="162" ht="15.75" customHeight="1">
      <c r="G162" s="496"/>
    </row>
    <row r="163" ht="15.75" customHeight="1">
      <c r="G163" s="496"/>
    </row>
    <row r="164" ht="15.75" customHeight="1">
      <c r="G164" s="496"/>
    </row>
    <row r="165" ht="15.75" customHeight="1">
      <c r="G165" s="496"/>
    </row>
    <row r="166" ht="15.75" customHeight="1">
      <c r="G166" s="496"/>
    </row>
    <row r="167" ht="15.75" customHeight="1">
      <c r="G167" s="496"/>
    </row>
    <row r="168" ht="15.75" customHeight="1">
      <c r="G168" s="496"/>
    </row>
    <row r="169" ht="15.75" customHeight="1">
      <c r="G169" s="496"/>
    </row>
    <row r="170" ht="15.75" customHeight="1">
      <c r="G170" s="496"/>
    </row>
    <row r="171" ht="15.75" customHeight="1">
      <c r="G171" s="496"/>
    </row>
    <row r="172" ht="15.75" customHeight="1">
      <c r="G172" s="496"/>
    </row>
    <row r="173" ht="15.75" customHeight="1">
      <c r="G173" s="496"/>
    </row>
    <row r="174" ht="15.75" customHeight="1">
      <c r="G174" s="496"/>
    </row>
    <row r="175" ht="15.75" customHeight="1">
      <c r="G175" s="496"/>
    </row>
    <row r="176" ht="15.75" customHeight="1">
      <c r="G176" s="496"/>
    </row>
    <row r="177" ht="15.75" customHeight="1">
      <c r="G177" s="496"/>
    </row>
    <row r="178" ht="15.75" customHeight="1">
      <c r="G178" s="496"/>
    </row>
    <row r="179" ht="15.75" customHeight="1">
      <c r="G179" s="496"/>
    </row>
    <row r="180" ht="15.75" customHeight="1">
      <c r="G180" s="496"/>
    </row>
    <row r="181" ht="15.75" customHeight="1">
      <c r="G181" s="496"/>
    </row>
    <row r="182" ht="15.75" customHeight="1">
      <c r="G182" s="496"/>
    </row>
    <row r="183" ht="15.75" customHeight="1">
      <c r="G183" s="496"/>
    </row>
    <row r="184" ht="15.75" customHeight="1">
      <c r="G184" s="496"/>
    </row>
    <row r="185" ht="15.75" customHeight="1">
      <c r="G185" s="496"/>
    </row>
    <row r="186" ht="15.75" customHeight="1">
      <c r="G186" s="496"/>
    </row>
    <row r="187" ht="15.75" customHeight="1">
      <c r="G187" s="496"/>
    </row>
    <row r="188" ht="15.75" customHeight="1">
      <c r="G188" s="496"/>
    </row>
    <row r="189" ht="15.75" customHeight="1">
      <c r="G189" s="496"/>
    </row>
    <row r="190" ht="15.75" customHeight="1">
      <c r="G190" s="496"/>
    </row>
    <row r="191" ht="15.75" customHeight="1">
      <c r="G191" s="496"/>
    </row>
    <row r="192" ht="15.75" customHeight="1">
      <c r="G192" s="496"/>
    </row>
    <row r="193" ht="15.75" customHeight="1">
      <c r="G193" s="496"/>
    </row>
    <row r="194" ht="15.75" customHeight="1">
      <c r="G194" s="496"/>
    </row>
    <row r="195" ht="15.75" customHeight="1">
      <c r="G195" s="496"/>
    </row>
    <row r="196" ht="15.75" customHeight="1">
      <c r="G196" s="496"/>
    </row>
    <row r="197" ht="15.75" customHeight="1">
      <c r="G197" s="496"/>
    </row>
    <row r="198" ht="15.75" customHeight="1">
      <c r="G198" s="496"/>
    </row>
    <row r="199" ht="15.75" customHeight="1">
      <c r="G199" s="496"/>
    </row>
    <row r="200" ht="15.75" customHeight="1">
      <c r="G200" s="496"/>
    </row>
    <row r="201" ht="15.75" customHeight="1">
      <c r="G201" s="496"/>
    </row>
    <row r="202" ht="15.75" customHeight="1">
      <c r="G202" s="496"/>
    </row>
    <row r="203" ht="15.75" customHeight="1">
      <c r="G203" s="496"/>
    </row>
    <row r="204" ht="15.75" customHeight="1">
      <c r="G204" s="496"/>
    </row>
    <row r="205" ht="15.75" customHeight="1">
      <c r="G205" s="496"/>
    </row>
    <row r="206" ht="15.75" customHeight="1">
      <c r="G206" s="496"/>
    </row>
    <row r="207" ht="15.75" customHeight="1">
      <c r="G207" s="496"/>
    </row>
    <row r="208" ht="15.75" customHeight="1">
      <c r="G208" s="496"/>
    </row>
    <row r="209" ht="15.75" customHeight="1">
      <c r="G209" s="496"/>
    </row>
    <row r="210" ht="15.75" customHeight="1">
      <c r="G210" s="496"/>
    </row>
    <row r="211" ht="15.75" customHeight="1">
      <c r="G211" s="496"/>
    </row>
    <row r="212" ht="15.75" customHeight="1">
      <c r="G212" s="496"/>
    </row>
    <row r="213" ht="15.75" customHeight="1">
      <c r="G213" s="496"/>
    </row>
    <row r="214" ht="15.75" customHeight="1">
      <c r="G214" s="496"/>
    </row>
    <row r="215" ht="15.75" customHeight="1">
      <c r="G215" s="496"/>
    </row>
    <row r="216" ht="15.75" customHeight="1">
      <c r="G216" s="496"/>
    </row>
    <row r="217" ht="15.75" customHeight="1">
      <c r="G217" s="496"/>
    </row>
    <row r="218" ht="15.75" customHeight="1">
      <c r="G218" s="496"/>
    </row>
    <row r="219" ht="15.75" customHeight="1">
      <c r="G219" s="496"/>
    </row>
    <row r="220" ht="15.75" customHeight="1">
      <c r="G220" s="496"/>
    </row>
    <row r="221" ht="15.75" customHeight="1">
      <c r="G221" s="496"/>
    </row>
    <row r="222" ht="15.75" customHeight="1">
      <c r="G222" s="496"/>
    </row>
    <row r="223" ht="15.75" customHeight="1">
      <c r="G223" s="496"/>
    </row>
    <row r="224" ht="15.75" customHeight="1">
      <c r="G224" s="496"/>
    </row>
    <row r="225" ht="15.75" customHeight="1">
      <c r="G225" s="496"/>
    </row>
    <row r="226" ht="15.75" customHeight="1">
      <c r="G226" s="496"/>
    </row>
    <row r="227" ht="15.75" customHeight="1">
      <c r="G227" s="496"/>
    </row>
    <row r="228" ht="15.75" customHeight="1">
      <c r="G228" s="496"/>
    </row>
    <row r="229" ht="15.75" customHeight="1">
      <c r="G229" s="496"/>
    </row>
    <row r="230" ht="15.75" customHeight="1">
      <c r="G230" s="496"/>
    </row>
    <row r="231" ht="15.75" customHeight="1">
      <c r="G231" s="496"/>
    </row>
    <row r="232" ht="15.75" customHeight="1">
      <c r="G232" s="496"/>
    </row>
    <row r="233" ht="15.75" customHeight="1">
      <c r="G233" s="496"/>
    </row>
    <row r="234" ht="15.75" customHeight="1">
      <c r="G234" s="496"/>
    </row>
    <row r="235" ht="15.75" customHeight="1">
      <c r="G235" s="496"/>
    </row>
    <row r="236" ht="15.75" customHeight="1">
      <c r="G236" s="496"/>
    </row>
    <row r="237" ht="15.75" customHeight="1">
      <c r="G237" s="496"/>
    </row>
    <row r="238" ht="15.75" customHeight="1">
      <c r="G238" s="496"/>
    </row>
    <row r="239" ht="15.75" customHeight="1">
      <c r="G239" s="496"/>
    </row>
    <row r="240" ht="15.75" customHeight="1">
      <c r="G240" s="496"/>
    </row>
    <row r="241" ht="15.75" customHeight="1">
      <c r="G241" s="496"/>
    </row>
    <row r="242" ht="15.75" customHeight="1">
      <c r="G242" s="496"/>
    </row>
    <row r="243" ht="15.75" customHeight="1">
      <c r="G243" s="496"/>
    </row>
    <row r="244" ht="15.75" customHeight="1">
      <c r="G244" s="496"/>
    </row>
    <row r="245" ht="15.75" customHeight="1">
      <c r="G245" s="496"/>
    </row>
    <row r="246" ht="15.75" customHeight="1">
      <c r="G246" s="496"/>
    </row>
    <row r="247" ht="15.75" customHeight="1">
      <c r="G247" s="496"/>
    </row>
    <row r="248" ht="15.75" customHeight="1">
      <c r="G248" s="496"/>
    </row>
    <row r="249" ht="15.75" customHeight="1">
      <c r="G249" s="496"/>
    </row>
    <row r="250" ht="15.75" customHeight="1">
      <c r="G250" s="496"/>
    </row>
    <row r="251" ht="15.75" customHeight="1">
      <c r="G251" s="496"/>
    </row>
    <row r="252" ht="15.75" customHeight="1">
      <c r="G252" s="496"/>
    </row>
    <row r="253" ht="15.75" customHeight="1">
      <c r="G253" s="496"/>
    </row>
    <row r="254" ht="15.75" customHeight="1">
      <c r="G254" s="496"/>
    </row>
    <row r="255" ht="15.75" customHeight="1">
      <c r="G255" s="496"/>
    </row>
    <row r="256" ht="15.75" customHeight="1">
      <c r="G256" s="496"/>
    </row>
    <row r="257" ht="15.75" customHeight="1">
      <c r="G257" s="496"/>
    </row>
    <row r="258" ht="15.75" customHeight="1">
      <c r="G258" s="496"/>
    </row>
    <row r="259" ht="15.75" customHeight="1">
      <c r="G259" s="496"/>
    </row>
    <row r="260" ht="15.75" customHeight="1">
      <c r="G260" s="496"/>
    </row>
    <row r="261" ht="15.75" customHeight="1">
      <c r="G261" s="496"/>
    </row>
    <row r="262" ht="15.75" customHeight="1">
      <c r="G262" s="496"/>
    </row>
    <row r="263" ht="15.75" customHeight="1">
      <c r="G263" s="496"/>
    </row>
    <row r="264" ht="15.75" customHeight="1">
      <c r="G264" s="496"/>
    </row>
    <row r="265" ht="15.75" customHeight="1">
      <c r="G265" s="496"/>
    </row>
    <row r="266" ht="15.75" customHeight="1">
      <c r="G266" s="496"/>
    </row>
    <row r="267" ht="15.75" customHeight="1">
      <c r="G267" s="496"/>
    </row>
    <row r="268" ht="15.75" customHeight="1">
      <c r="G268" s="496"/>
    </row>
    <row r="269" ht="15.75" customHeight="1">
      <c r="G269" s="496"/>
    </row>
    <row r="270" ht="15.75" customHeight="1">
      <c r="G270" s="496"/>
    </row>
    <row r="271" ht="15.75" customHeight="1">
      <c r="G271" s="496"/>
    </row>
    <row r="272" ht="15.75" customHeight="1">
      <c r="G272" s="496"/>
    </row>
    <row r="273" ht="15.75" customHeight="1">
      <c r="G273" s="496"/>
    </row>
    <row r="274" ht="15.75" customHeight="1">
      <c r="G274" s="496"/>
    </row>
    <row r="275" ht="15.75" customHeight="1">
      <c r="G275" s="496"/>
    </row>
    <row r="276" ht="15.75" customHeight="1">
      <c r="G276" s="496"/>
    </row>
    <row r="277" ht="15.75" customHeight="1">
      <c r="G277" s="496"/>
    </row>
    <row r="278" ht="15.75" customHeight="1">
      <c r="G278" s="496"/>
    </row>
    <row r="279" ht="15.75" customHeight="1">
      <c r="G279" s="496"/>
    </row>
    <row r="280" ht="15.75" customHeight="1">
      <c r="G280" s="496"/>
    </row>
    <row r="281" ht="15.75" customHeight="1">
      <c r="G281" s="496"/>
    </row>
    <row r="282" ht="15.75" customHeight="1">
      <c r="G282" s="496"/>
    </row>
    <row r="283" ht="15.75" customHeight="1">
      <c r="G283" s="496"/>
    </row>
    <row r="284" ht="15.75" customHeight="1">
      <c r="G284" s="496"/>
    </row>
    <row r="285" ht="15.75" customHeight="1">
      <c r="G285" s="496"/>
    </row>
    <row r="286" ht="15.75" customHeight="1">
      <c r="G286" s="496"/>
    </row>
    <row r="287" ht="15.75" customHeight="1">
      <c r="G287" s="496"/>
    </row>
    <row r="288" ht="15.75" customHeight="1">
      <c r="G288" s="496"/>
    </row>
    <row r="289" ht="15.75" customHeight="1">
      <c r="G289" s="496"/>
    </row>
    <row r="290" ht="15.75" customHeight="1">
      <c r="G290" s="496"/>
    </row>
    <row r="291" ht="15.75" customHeight="1">
      <c r="G291" s="496"/>
    </row>
    <row r="292" ht="15.75" customHeight="1">
      <c r="G292" s="496"/>
    </row>
    <row r="293" ht="15.75" customHeight="1">
      <c r="G293" s="496"/>
    </row>
    <row r="294" ht="15.75" customHeight="1">
      <c r="G294" s="496"/>
    </row>
    <row r="295" ht="15.75" customHeight="1">
      <c r="G295" s="496"/>
    </row>
    <row r="296" ht="15.75" customHeight="1">
      <c r="G296" s="496"/>
    </row>
    <row r="297" ht="15.75" customHeight="1">
      <c r="G297" s="496"/>
    </row>
    <row r="298" ht="15.75" customHeight="1">
      <c r="G298" s="496"/>
    </row>
    <row r="299" ht="15.75" customHeight="1">
      <c r="G299" s="496"/>
    </row>
    <row r="300" ht="15.75" customHeight="1">
      <c r="G300" s="496"/>
    </row>
    <row r="301" ht="15.75" customHeight="1">
      <c r="G301" s="496"/>
    </row>
    <row r="302" ht="15.75" customHeight="1">
      <c r="G302" s="496"/>
    </row>
    <row r="303" ht="15.75" customHeight="1">
      <c r="G303" s="496"/>
    </row>
    <row r="304" ht="15.75" customHeight="1">
      <c r="G304" s="496"/>
    </row>
    <row r="305" ht="15.75" customHeight="1">
      <c r="G305" s="496"/>
    </row>
    <row r="306" ht="15.75" customHeight="1">
      <c r="G306" s="496"/>
    </row>
    <row r="307" ht="15.75" customHeight="1">
      <c r="G307" s="496"/>
    </row>
    <row r="308" ht="15.75" customHeight="1">
      <c r="G308" s="496"/>
    </row>
    <row r="309" ht="15.75" customHeight="1">
      <c r="G309" s="496"/>
    </row>
    <row r="310" ht="15.75" customHeight="1">
      <c r="G310" s="496"/>
    </row>
    <row r="311" ht="15.75" customHeight="1">
      <c r="G311" s="496"/>
    </row>
    <row r="312" ht="15.75" customHeight="1">
      <c r="G312" s="496"/>
    </row>
    <row r="313" ht="15.75" customHeight="1">
      <c r="G313" s="496"/>
    </row>
    <row r="314" ht="15.75" customHeight="1">
      <c r="G314" s="496"/>
    </row>
    <row r="315" ht="15.75" customHeight="1">
      <c r="G315" s="496"/>
    </row>
    <row r="316" ht="15.75" customHeight="1">
      <c r="G316" s="496"/>
    </row>
    <row r="317" ht="15.75" customHeight="1">
      <c r="G317" s="496"/>
    </row>
    <row r="318" ht="15.75" customHeight="1">
      <c r="G318" s="496"/>
    </row>
    <row r="319" ht="15.75" customHeight="1">
      <c r="G319" s="496"/>
    </row>
    <row r="320" ht="15.75" customHeight="1">
      <c r="G320" s="496"/>
    </row>
    <row r="321" ht="15.75" customHeight="1">
      <c r="G321" s="496"/>
    </row>
    <row r="322" ht="15.75" customHeight="1">
      <c r="G322" s="496"/>
    </row>
    <row r="323" ht="15.75" customHeight="1">
      <c r="G323" s="496"/>
    </row>
    <row r="324" ht="15.75" customHeight="1">
      <c r="G324" s="496"/>
    </row>
    <row r="325" ht="15.75" customHeight="1">
      <c r="G325" s="496"/>
    </row>
    <row r="326" ht="15.75" customHeight="1">
      <c r="G326" s="496"/>
    </row>
    <row r="327" ht="15.75" customHeight="1">
      <c r="G327" s="496"/>
    </row>
    <row r="328" ht="15.75" customHeight="1">
      <c r="G328" s="496"/>
    </row>
    <row r="329" ht="15.75" customHeight="1">
      <c r="G329" s="496"/>
    </row>
    <row r="330" ht="15.75" customHeight="1">
      <c r="G330" s="496"/>
    </row>
    <row r="331" ht="15.75" customHeight="1">
      <c r="G331" s="496"/>
    </row>
    <row r="332" ht="15.75" customHeight="1">
      <c r="G332" s="496"/>
    </row>
    <row r="333" ht="15.75" customHeight="1">
      <c r="G333" s="496"/>
    </row>
    <row r="334" ht="15.75" customHeight="1">
      <c r="G334" s="496"/>
    </row>
    <row r="335" ht="15.75" customHeight="1">
      <c r="G335" s="496"/>
    </row>
    <row r="336" ht="15.75" customHeight="1">
      <c r="G336" s="496"/>
    </row>
    <row r="337" ht="15.75" customHeight="1">
      <c r="G337" s="496"/>
    </row>
    <row r="338" ht="15.75" customHeight="1">
      <c r="G338" s="496"/>
    </row>
    <row r="339" ht="15.75" customHeight="1">
      <c r="G339" s="496"/>
    </row>
    <row r="340" ht="15.75" customHeight="1">
      <c r="G340" s="496"/>
    </row>
    <row r="341" ht="15.75" customHeight="1">
      <c r="G341" s="496"/>
    </row>
    <row r="342" ht="15.75" customHeight="1">
      <c r="G342" s="496"/>
    </row>
    <row r="343" ht="15.75" customHeight="1">
      <c r="G343" s="496"/>
    </row>
    <row r="344" ht="15.75" customHeight="1">
      <c r="G344" s="496"/>
    </row>
    <row r="345" ht="15.75" customHeight="1">
      <c r="G345" s="496"/>
    </row>
    <row r="346" ht="15.75" customHeight="1">
      <c r="G346" s="496"/>
    </row>
    <row r="347" ht="15.75" customHeight="1">
      <c r="G347" s="496"/>
    </row>
    <row r="348" ht="15.75" customHeight="1">
      <c r="G348" s="496"/>
    </row>
    <row r="349" ht="15.75" customHeight="1">
      <c r="G349" s="496"/>
    </row>
    <row r="350" ht="15.75" customHeight="1">
      <c r="G350" s="496"/>
    </row>
    <row r="351" ht="15.75" customHeight="1">
      <c r="G351" s="496"/>
    </row>
    <row r="352" ht="15.75" customHeight="1">
      <c r="G352" s="496"/>
    </row>
    <row r="353" ht="15.75" customHeight="1">
      <c r="G353" s="496"/>
    </row>
    <row r="354" ht="15.75" customHeight="1">
      <c r="G354" s="496"/>
    </row>
    <row r="355" ht="15.75" customHeight="1">
      <c r="G355" s="496"/>
    </row>
    <row r="356" ht="15.75" customHeight="1">
      <c r="G356" s="496"/>
    </row>
    <row r="357" ht="15.75" customHeight="1">
      <c r="G357" s="496"/>
    </row>
    <row r="358" ht="15.75" customHeight="1">
      <c r="G358" s="496"/>
    </row>
    <row r="359" ht="15.75" customHeight="1">
      <c r="G359" s="496"/>
    </row>
    <row r="360" ht="15.75" customHeight="1">
      <c r="G360" s="496"/>
    </row>
    <row r="361" ht="15.75" customHeight="1">
      <c r="G361" s="496"/>
    </row>
    <row r="362" ht="15.75" customHeight="1">
      <c r="G362" s="496"/>
    </row>
    <row r="363" ht="15.75" customHeight="1">
      <c r="G363" s="496"/>
    </row>
    <row r="364" ht="15.75" customHeight="1">
      <c r="G364" s="496"/>
    </row>
    <row r="365" ht="15.75" customHeight="1">
      <c r="G365" s="496"/>
    </row>
    <row r="366" ht="15.75" customHeight="1">
      <c r="G366" s="496"/>
    </row>
    <row r="367" ht="15.75" customHeight="1">
      <c r="G367" s="496"/>
    </row>
    <row r="368" ht="15.75" customHeight="1">
      <c r="G368" s="496"/>
    </row>
    <row r="369" ht="15.75" customHeight="1">
      <c r="G369" s="496"/>
    </row>
    <row r="370" ht="15.75" customHeight="1">
      <c r="G370" s="496"/>
    </row>
    <row r="371" ht="15.75" customHeight="1">
      <c r="G371" s="496"/>
    </row>
    <row r="372" ht="15.75" customHeight="1">
      <c r="G372" s="496"/>
    </row>
    <row r="373" ht="15.75" customHeight="1">
      <c r="G373" s="496"/>
    </row>
    <row r="374" ht="15.75" customHeight="1">
      <c r="G374" s="496"/>
    </row>
    <row r="375" ht="15.75" customHeight="1">
      <c r="G375" s="496"/>
    </row>
    <row r="376" ht="15.75" customHeight="1">
      <c r="G376" s="496"/>
    </row>
    <row r="377" ht="15.75" customHeight="1">
      <c r="G377" s="496"/>
    </row>
    <row r="378" ht="15.75" customHeight="1">
      <c r="G378" s="496"/>
    </row>
    <row r="379" ht="15.75" customHeight="1">
      <c r="G379" s="496"/>
    </row>
    <row r="380" ht="15.75" customHeight="1">
      <c r="G380" s="496"/>
    </row>
    <row r="381" ht="15.75" customHeight="1">
      <c r="G381" s="496"/>
    </row>
    <row r="382" ht="15.75" customHeight="1">
      <c r="G382" s="496"/>
    </row>
    <row r="383" ht="15.75" customHeight="1">
      <c r="G383" s="496"/>
    </row>
    <row r="384" ht="15.75" customHeight="1">
      <c r="G384" s="496"/>
    </row>
    <row r="385" ht="15.75" customHeight="1">
      <c r="G385" s="496"/>
    </row>
    <row r="386" ht="15.75" customHeight="1">
      <c r="G386" s="496"/>
    </row>
    <row r="387" ht="15.75" customHeight="1">
      <c r="G387" s="496"/>
    </row>
    <row r="388" ht="15.75" customHeight="1">
      <c r="G388" s="496"/>
    </row>
    <row r="389" ht="15.75" customHeight="1">
      <c r="G389" s="496"/>
    </row>
    <row r="390" ht="15.75" customHeight="1">
      <c r="G390" s="496"/>
    </row>
    <row r="391" ht="15.75" customHeight="1">
      <c r="G391" s="496"/>
    </row>
    <row r="392" ht="15.75" customHeight="1">
      <c r="G392" s="496"/>
    </row>
    <row r="393" ht="15.75" customHeight="1">
      <c r="G393" s="496"/>
    </row>
    <row r="394" ht="15.75" customHeight="1">
      <c r="G394" s="496"/>
    </row>
    <row r="395" ht="15.75" customHeight="1">
      <c r="G395" s="496"/>
    </row>
    <row r="396" ht="15.75" customHeight="1">
      <c r="G396" s="496"/>
    </row>
    <row r="397" ht="15.75" customHeight="1">
      <c r="G397" s="496"/>
    </row>
    <row r="398" ht="15.75" customHeight="1">
      <c r="G398" s="496"/>
    </row>
    <row r="399" ht="15.75" customHeight="1">
      <c r="G399" s="496"/>
    </row>
    <row r="400" ht="15.75" customHeight="1">
      <c r="G400" s="496"/>
    </row>
    <row r="401" ht="15.75" customHeight="1">
      <c r="G401" s="496"/>
    </row>
    <row r="402" ht="15.75" customHeight="1">
      <c r="G402" s="496"/>
    </row>
    <row r="403" ht="15.75" customHeight="1">
      <c r="G403" s="496"/>
    </row>
    <row r="404" ht="15.75" customHeight="1">
      <c r="G404" s="496"/>
    </row>
    <row r="405" ht="15.75" customHeight="1">
      <c r="G405" s="496"/>
    </row>
    <row r="406" ht="15.75" customHeight="1">
      <c r="G406" s="496"/>
    </row>
    <row r="407" ht="15.75" customHeight="1">
      <c r="G407" s="496"/>
    </row>
    <row r="408" ht="15.75" customHeight="1">
      <c r="G408" s="496"/>
    </row>
    <row r="409" ht="15.75" customHeight="1">
      <c r="G409" s="496"/>
    </row>
    <row r="410" ht="15.75" customHeight="1">
      <c r="G410" s="496"/>
    </row>
    <row r="411" ht="15.75" customHeight="1">
      <c r="G411" s="496"/>
    </row>
    <row r="412" ht="15.75" customHeight="1">
      <c r="G412" s="496"/>
    </row>
    <row r="413" ht="15.75" customHeight="1">
      <c r="G413" s="496"/>
    </row>
    <row r="414" ht="15.75" customHeight="1">
      <c r="G414" s="496"/>
    </row>
    <row r="415" ht="15.75" customHeight="1">
      <c r="G415" s="496"/>
    </row>
    <row r="416" ht="15.75" customHeight="1">
      <c r="G416" s="496"/>
    </row>
    <row r="417" ht="15.75" customHeight="1">
      <c r="G417" s="496"/>
    </row>
    <row r="418" ht="15.75" customHeight="1">
      <c r="G418" s="496"/>
    </row>
    <row r="419" ht="15.75" customHeight="1">
      <c r="G419" s="496"/>
    </row>
    <row r="420" ht="15.75" customHeight="1">
      <c r="G420" s="496"/>
    </row>
    <row r="421" ht="15.75" customHeight="1">
      <c r="G421" s="496"/>
    </row>
    <row r="422" ht="15.75" customHeight="1">
      <c r="G422" s="496"/>
    </row>
    <row r="423" ht="15.75" customHeight="1">
      <c r="G423" s="496"/>
    </row>
    <row r="424" ht="15.75" customHeight="1">
      <c r="G424" s="496"/>
    </row>
    <row r="425" ht="15.75" customHeight="1">
      <c r="G425" s="496"/>
    </row>
    <row r="426" ht="15.75" customHeight="1">
      <c r="G426" s="496"/>
    </row>
    <row r="427" ht="15.75" customHeight="1">
      <c r="G427" s="496"/>
    </row>
    <row r="428" ht="15.75" customHeight="1">
      <c r="G428" s="496"/>
    </row>
    <row r="429" ht="15.75" customHeight="1">
      <c r="G429" s="496"/>
    </row>
    <row r="430" ht="15.75" customHeight="1">
      <c r="G430" s="496"/>
    </row>
    <row r="431" ht="15.75" customHeight="1">
      <c r="G431" s="496"/>
    </row>
    <row r="432" ht="15.75" customHeight="1">
      <c r="G432" s="496"/>
    </row>
    <row r="433" ht="15.75" customHeight="1">
      <c r="G433" s="496"/>
    </row>
    <row r="434" ht="15.75" customHeight="1">
      <c r="G434" s="496"/>
    </row>
    <row r="435" ht="15.75" customHeight="1">
      <c r="G435" s="496"/>
    </row>
    <row r="436" ht="15.75" customHeight="1">
      <c r="G436" s="496"/>
    </row>
    <row r="437" ht="15.75" customHeight="1">
      <c r="G437" s="496"/>
    </row>
    <row r="438" ht="15.75" customHeight="1">
      <c r="G438" s="496"/>
    </row>
    <row r="439" ht="15.75" customHeight="1">
      <c r="G439" s="496"/>
    </row>
    <row r="440" ht="15.75" customHeight="1">
      <c r="G440" s="496"/>
    </row>
    <row r="441" ht="15.75" customHeight="1">
      <c r="G441" s="496"/>
    </row>
    <row r="442" ht="15.75" customHeight="1">
      <c r="G442" s="496"/>
    </row>
    <row r="443" ht="15.75" customHeight="1">
      <c r="G443" s="496"/>
    </row>
    <row r="444" ht="15.75" customHeight="1">
      <c r="G444" s="496"/>
    </row>
    <row r="445" ht="15.75" customHeight="1">
      <c r="G445" s="496"/>
    </row>
    <row r="446" ht="15.75" customHeight="1">
      <c r="G446" s="496"/>
    </row>
    <row r="447" ht="15.75" customHeight="1">
      <c r="G447" s="496"/>
    </row>
    <row r="448" ht="15.75" customHeight="1">
      <c r="G448" s="496"/>
    </row>
    <row r="449" ht="15.75" customHeight="1">
      <c r="G449" s="496"/>
    </row>
    <row r="450" ht="15.75" customHeight="1">
      <c r="G450" s="496"/>
    </row>
    <row r="451" ht="15.75" customHeight="1">
      <c r="G451" s="496"/>
    </row>
    <row r="452" ht="15.75" customHeight="1">
      <c r="G452" s="496"/>
    </row>
    <row r="453" ht="15.75" customHeight="1">
      <c r="G453" s="496"/>
    </row>
    <row r="454" ht="15.75" customHeight="1">
      <c r="G454" s="496"/>
    </row>
    <row r="455" ht="15.75" customHeight="1">
      <c r="G455" s="496"/>
    </row>
    <row r="456" ht="15.75" customHeight="1">
      <c r="G456" s="496"/>
    </row>
    <row r="457" ht="15.75" customHeight="1">
      <c r="G457" s="496"/>
    </row>
    <row r="458" ht="15.75" customHeight="1">
      <c r="G458" s="496"/>
    </row>
    <row r="459" ht="15.75" customHeight="1">
      <c r="G459" s="496"/>
    </row>
    <row r="460" ht="15.75" customHeight="1">
      <c r="G460" s="496"/>
    </row>
    <row r="461" ht="15.75" customHeight="1">
      <c r="G461" s="496"/>
    </row>
    <row r="462" ht="15.75" customHeight="1">
      <c r="G462" s="496"/>
    </row>
    <row r="463" ht="15.75" customHeight="1">
      <c r="G463" s="496"/>
    </row>
    <row r="464" ht="15.75" customHeight="1">
      <c r="G464" s="496"/>
    </row>
    <row r="465" ht="15.75" customHeight="1">
      <c r="G465" s="496"/>
    </row>
    <row r="466" ht="15.75" customHeight="1">
      <c r="G466" s="496"/>
    </row>
    <row r="467" ht="15.75" customHeight="1">
      <c r="G467" s="496"/>
    </row>
    <row r="468" ht="15.75" customHeight="1">
      <c r="G468" s="496"/>
    </row>
    <row r="469" ht="15.75" customHeight="1">
      <c r="G469" s="496"/>
    </row>
    <row r="470" ht="15.75" customHeight="1">
      <c r="G470" s="496"/>
    </row>
    <row r="471" ht="15.75" customHeight="1">
      <c r="G471" s="496"/>
    </row>
    <row r="472" ht="15.75" customHeight="1">
      <c r="G472" s="496"/>
    </row>
    <row r="473" ht="15.75" customHeight="1">
      <c r="G473" s="496"/>
    </row>
    <row r="474" ht="15.75" customHeight="1">
      <c r="G474" s="496"/>
    </row>
    <row r="475" ht="15.75" customHeight="1">
      <c r="G475" s="496"/>
    </row>
    <row r="476" ht="15.75" customHeight="1">
      <c r="G476" s="496"/>
    </row>
    <row r="477" ht="15.75" customHeight="1">
      <c r="G477" s="496"/>
    </row>
    <row r="478" ht="15.75" customHeight="1">
      <c r="G478" s="496"/>
    </row>
    <row r="479" ht="15.75" customHeight="1">
      <c r="G479" s="496"/>
    </row>
    <row r="480" ht="15.75" customHeight="1">
      <c r="G480" s="496"/>
    </row>
    <row r="481" ht="15.75" customHeight="1">
      <c r="G481" s="496"/>
    </row>
    <row r="482" ht="15.75" customHeight="1">
      <c r="G482" s="496"/>
    </row>
    <row r="483" ht="15.75" customHeight="1">
      <c r="G483" s="496"/>
    </row>
    <row r="484" ht="15.75" customHeight="1">
      <c r="G484" s="496"/>
    </row>
    <row r="485" ht="15.75" customHeight="1">
      <c r="G485" s="496"/>
    </row>
    <row r="486" ht="15.75" customHeight="1">
      <c r="G486" s="496"/>
    </row>
    <row r="487" ht="15.75" customHeight="1">
      <c r="G487" s="496"/>
    </row>
    <row r="488" ht="15.75" customHeight="1">
      <c r="G488" s="496"/>
    </row>
    <row r="489" ht="15.75" customHeight="1">
      <c r="G489" s="496"/>
    </row>
    <row r="490" ht="15.75" customHeight="1">
      <c r="G490" s="496"/>
    </row>
    <row r="491" ht="15.75" customHeight="1">
      <c r="G491" s="496"/>
    </row>
    <row r="492" ht="15.75" customHeight="1">
      <c r="G492" s="496"/>
    </row>
    <row r="493" ht="15.75" customHeight="1">
      <c r="G493" s="496"/>
    </row>
    <row r="494" ht="15.75" customHeight="1">
      <c r="G494" s="496"/>
    </row>
    <row r="495" ht="15.75" customHeight="1">
      <c r="G495" s="496"/>
    </row>
    <row r="496" ht="15.75" customHeight="1">
      <c r="G496" s="496"/>
    </row>
    <row r="497" ht="15.75" customHeight="1">
      <c r="G497" s="496"/>
    </row>
    <row r="498" ht="15.75" customHeight="1">
      <c r="G498" s="496"/>
    </row>
    <row r="499" ht="15.75" customHeight="1">
      <c r="G499" s="496"/>
    </row>
    <row r="500" ht="15.75" customHeight="1">
      <c r="G500" s="496"/>
    </row>
    <row r="501" ht="15.75" customHeight="1">
      <c r="G501" s="496"/>
    </row>
    <row r="502" ht="15.75" customHeight="1">
      <c r="G502" s="496"/>
    </row>
    <row r="503" ht="15.75" customHeight="1">
      <c r="G503" s="496"/>
    </row>
    <row r="504" ht="15.75" customHeight="1">
      <c r="G504" s="496"/>
    </row>
    <row r="505" ht="15.75" customHeight="1">
      <c r="G505" s="496"/>
    </row>
    <row r="506" ht="15.75" customHeight="1">
      <c r="G506" s="496"/>
    </row>
    <row r="507" ht="15.75" customHeight="1">
      <c r="G507" s="496"/>
    </row>
    <row r="508" ht="15.75" customHeight="1">
      <c r="G508" s="496"/>
    </row>
    <row r="509" ht="15.75" customHeight="1">
      <c r="G509" s="496"/>
    </row>
    <row r="510" ht="15.75" customHeight="1">
      <c r="G510" s="496"/>
    </row>
    <row r="511" ht="15.75" customHeight="1">
      <c r="G511" s="496"/>
    </row>
    <row r="512" ht="15.75" customHeight="1">
      <c r="G512" s="496"/>
    </row>
    <row r="513" ht="15.75" customHeight="1">
      <c r="G513" s="496"/>
    </row>
    <row r="514" ht="15.75" customHeight="1">
      <c r="G514" s="496"/>
    </row>
    <row r="515" ht="15.75" customHeight="1">
      <c r="G515" s="496"/>
    </row>
    <row r="516" ht="15.75" customHeight="1">
      <c r="G516" s="496"/>
    </row>
    <row r="517" ht="15.75" customHeight="1">
      <c r="G517" s="496"/>
    </row>
    <row r="518" ht="15.75" customHeight="1">
      <c r="G518" s="496"/>
    </row>
    <row r="519" ht="15.75" customHeight="1">
      <c r="G519" s="496"/>
    </row>
    <row r="520" ht="15.75" customHeight="1">
      <c r="G520" s="496"/>
    </row>
    <row r="521" ht="15.75" customHeight="1">
      <c r="G521" s="496"/>
    </row>
    <row r="522" ht="15.75" customHeight="1">
      <c r="G522" s="496"/>
    </row>
    <row r="523" ht="15.75" customHeight="1">
      <c r="G523" s="496"/>
    </row>
    <row r="524" ht="15.75" customHeight="1">
      <c r="G524" s="496"/>
    </row>
    <row r="525" ht="15.75" customHeight="1">
      <c r="G525" s="496"/>
    </row>
    <row r="526" ht="15.75" customHeight="1">
      <c r="G526" s="496"/>
    </row>
    <row r="527" ht="15.75" customHeight="1">
      <c r="G527" s="496"/>
    </row>
    <row r="528" ht="15.75" customHeight="1">
      <c r="G528" s="496"/>
    </row>
    <row r="529" ht="15.75" customHeight="1">
      <c r="G529" s="496"/>
    </row>
    <row r="530" ht="15.75" customHeight="1">
      <c r="G530" s="496"/>
    </row>
    <row r="531" ht="15.75" customHeight="1">
      <c r="G531" s="496"/>
    </row>
    <row r="532" ht="15.75" customHeight="1">
      <c r="G532" s="496"/>
    </row>
    <row r="533" ht="15.75" customHeight="1">
      <c r="G533" s="496"/>
    </row>
    <row r="534" ht="15.75" customHeight="1">
      <c r="G534" s="496"/>
    </row>
    <row r="535" ht="15.75" customHeight="1">
      <c r="G535" s="496"/>
    </row>
    <row r="536" ht="15.75" customHeight="1">
      <c r="G536" s="496"/>
    </row>
    <row r="537" ht="15.75" customHeight="1">
      <c r="G537" s="496"/>
    </row>
    <row r="538" ht="15.75" customHeight="1">
      <c r="G538" s="496"/>
    </row>
    <row r="539" ht="15.75" customHeight="1">
      <c r="G539" s="496"/>
    </row>
    <row r="540" ht="15.75" customHeight="1">
      <c r="G540" s="496"/>
    </row>
    <row r="541" ht="15.75" customHeight="1">
      <c r="G541" s="496"/>
    </row>
    <row r="542" ht="15.75" customHeight="1">
      <c r="G542" s="496"/>
    </row>
    <row r="543" ht="15.75" customHeight="1">
      <c r="G543" s="496"/>
    </row>
    <row r="544" ht="15.75" customHeight="1">
      <c r="G544" s="496"/>
    </row>
    <row r="545" ht="15.75" customHeight="1">
      <c r="G545" s="496"/>
    </row>
    <row r="546" ht="15.75" customHeight="1">
      <c r="G546" s="496"/>
    </row>
    <row r="547" ht="15.75" customHeight="1">
      <c r="G547" s="496"/>
    </row>
    <row r="548" ht="15.75" customHeight="1">
      <c r="G548" s="496"/>
    </row>
    <row r="549" ht="15.75" customHeight="1">
      <c r="G549" s="496"/>
    </row>
    <row r="550" ht="15.75" customHeight="1">
      <c r="G550" s="496"/>
    </row>
    <row r="551" ht="15.75" customHeight="1">
      <c r="G551" s="496"/>
    </row>
    <row r="552" ht="15.75" customHeight="1">
      <c r="G552" s="496"/>
    </row>
    <row r="553" ht="15.75" customHeight="1">
      <c r="G553" s="496"/>
    </row>
    <row r="554" ht="15.75" customHeight="1">
      <c r="G554" s="496"/>
    </row>
    <row r="555" ht="15.75" customHeight="1">
      <c r="G555" s="496"/>
    </row>
    <row r="556" ht="15.75" customHeight="1">
      <c r="G556" s="496"/>
    </row>
    <row r="557" ht="15.75" customHeight="1">
      <c r="G557" s="496"/>
    </row>
    <row r="558" ht="15.75" customHeight="1">
      <c r="G558" s="496"/>
    </row>
    <row r="559" ht="15.75" customHeight="1">
      <c r="G559" s="496"/>
    </row>
    <row r="560" ht="15.75" customHeight="1">
      <c r="G560" s="496"/>
    </row>
    <row r="561" ht="15.75" customHeight="1">
      <c r="G561" s="496"/>
    </row>
    <row r="562" ht="15.75" customHeight="1">
      <c r="G562" s="496"/>
    </row>
    <row r="563" ht="15.75" customHeight="1">
      <c r="G563" s="496"/>
    </row>
    <row r="564" ht="15.75" customHeight="1">
      <c r="G564" s="496"/>
    </row>
    <row r="565" ht="15.75" customHeight="1">
      <c r="G565" s="496"/>
    </row>
    <row r="566" ht="15.75" customHeight="1">
      <c r="G566" s="496"/>
    </row>
    <row r="567" ht="15.75" customHeight="1">
      <c r="G567" s="496"/>
    </row>
    <row r="568" ht="15.75" customHeight="1">
      <c r="G568" s="496"/>
    </row>
    <row r="569" ht="15.75" customHeight="1">
      <c r="G569" s="496"/>
    </row>
    <row r="570" ht="15.75" customHeight="1">
      <c r="G570" s="496"/>
    </row>
    <row r="571" ht="15.75" customHeight="1">
      <c r="G571" s="496"/>
    </row>
    <row r="572" ht="15.75" customHeight="1">
      <c r="G572" s="496"/>
    </row>
    <row r="573" ht="15.75" customHeight="1">
      <c r="G573" s="496"/>
    </row>
    <row r="574" ht="15.75" customHeight="1">
      <c r="G574" s="496"/>
    </row>
    <row r="575" ht="15.75" customHeight="1">
      <c r="G575" s="496"/>
    </row>
    <row r="576" ht="15.75" customHeight="1">
      <c r="G576" s="496"/>
    </row>
    <row r="577" ht="15.75" customHeight="1">
      <c r="G577" s="496"/>
    </row>
    <row r="578" ht="15.75" customHeight="1">
      <c r="G578" s="496"/>
    </row>
    <row r="579" ht="15.75" customHeight="1">
      <c r="G579" s="496"/>
    </row>
    <row r="580" ht="15.75" customHeight="1">
      <c r="G580" s="496"/>
    </row>
    <row r="581" ht="15.75" customHeight="1">
      <c r="G581" s="496"/>
    </row>
    <row r="582" ht="15.75" customHeight="1">
      <c r="G582" s="496"/>
    </row>
    <row r="583" ht="15.75" customHeight="1">
      <c r="G583" s="496"/>
    </row>
    <row r="584" ht="15.75" customHeight="1">
      <c r="G584" s="496"/>
    </row>
    <row r="585" ht="15.75" customHeight="1">
      <c r="G585" s="496"/>
    </row>
    <row r="586" ht="15.75" customHeight="1">
      <c r="G586" s="496"/>
    </row>
    <row r="587" ht="15.75" customHeight="1">
      <c r="G587" s="496"/>
    </row>
    <row r="588" ht="15.75" customHeight="1">
      <c r="G588" s="496"/>
    </row>
    <row r="589" ht="15.75" customHeight="1">
      <c r="G589" s="496"/>
    </row>
    <row r="590" ht="15.75" customHeight="1">
      <c r="G590" s="496"/>
    </row>
    <row r="591" ht="15.75" customHeight="1">
      <c r="G591" s="496"/>
    </row>
    <row r="592" ht="15.75" customHeight="1">
      <c r="G592" s="496"/>
    </row>
    <row r="593" ht="15.75" customHeight="1">
      <c r="G593" s="496"/>
    </row>
    <row r="594" ht="15.75" customHeight="1">
      <c r="G594" s="496"/>
    </row>
    <row r="595" ht="15.75" customHeight="1">
      <c r="G595" s="496"/>
    </row>
    <row r="596" ht="15.75" customHeight="1">
      <c r="G596" s="496"/>
    </row>
    <row r="597" ht="15.75" customHeight="1">
      <c r="G597" s="496"/>
    </row>
    <row r="598" ht="15.75" customHeight="1">
      <c r="G598" s="496"/>
    </row>
    <row r="599" ht="15.75" customHeight="1">
      <c r="G599" s="496"/>
    </row>
    <row r="600" ht="15.75" customHeight="1">
      <c r="G600" s="496"/>
    </row>
    <row r="601" ht="15.75" customHeight="1">
      <c r="G601" s="496"/>
    </row>
    <row r="602" ht="15.75" customHeight="1">
      <c r="G602" s="496"/>
    </row>
    <row r="603" ht="15.75" customHeight="1">
      <c r="G603" s="496"/>
    </row>
    <row r="604" ht="15.75" customHeight="1">
      <c r="G604" s="496"/>
    </row>
    <row r="605" ht="15.75" customHeight="1">
      <c r="G605" s="496"/>
    </row>
    <row r="606" ht="15.75" customHeight="1">
      <c r="G606" s="496"/>
    </row>
    <row r="607" ht="15.75" customHeight="1">
      <c r="G607" s="496"/>
    </row>
    <row r="608" ht="15.75" customHeight="1">
      <c r="G608" s="496"/>
    </row>
    <row r="609" ht="15.75" customHeight="1">
      <c r="G609" s="496"/>
    </row>
    <row r="610" ht="15.75" customHeight="1">
      <c r="G610" s="496"/>
    </row>
    <row r="611" ht="15.75" customHeight="1">
      <c r="G611" s="496"/>
    </row>
    <row r="612" ht="15.75" customHeight="1">
      <c r="G612" s="496"/>
    </row>
    <row r="613" ht="15.75" customHeight="1">
      <c r="G613" s="496"/>
    </row>
    <row r="614" ht="15.75" customHeight="1">
      <c r="G614" s="496"/>
    </row>
    <row r="615" ht="15.75" customHeight="1">
      <c r="G615" s="496"/>
    </row>
    <row r="616" ht="15.75" customHeight="1">
      <c r="G616" s="496"/>
    </row>
    <row r="617" ht="15.75" customHeight="1">
      <c r="G617" s="496"/>
    </row>
    <row r="618" ht="15.75" customHeight="1">
      <c r="G618" s="496"/>
    </row>
    <row r="619" ht="15.75" customHeight="1">
      <c r="G619" s="496"/>
    </row>
    <row r="620" ht="15.75" customHeight="1">
      <c r="G620" s="496"/>
    </row>
    <row r="621" ht="15.75" customHeight="1">
      <c r="G621" s="496"/>
    </row>
    <row r="622" ht="15.75" customHeight="1">
      <c r="G622" s="496"/>
    </row>
    <row r="623" ht="15.75" customHeight="1">
      <c r="G623" s="496"/>
    </row>
    <row r="624" ht="15.75" customHeight="1">
      <c r="G624" s="496"/>
    </row>
    <row r="625" ht="15.75" customHeight="1">
      <c r="G625" s="496"/>
    </row>
    <row r="626" ht="15.75" customHeight="1">
      <c r="G626" s="496"/>
    </row>
    <row r="627" ht="15.75" customHeight="1">
      <c r="G627" s="496"/>
    </row>
    <row r="628" ht="15.75" customHeight="1">
      <c r="G628" s="496"/>
    </row>
    <row r="629" ht="15.75" customHeight="1">
      <c r="G629" s="496"/>
    </row>
    <row r="630" ht="15.75" customHeight="1">
      <c r="G630" s="496"/>
    </row>
    <row r="631" ht="15.75" customHeight="1">
      <c r="G631" s="496"/>
    </row>
    <row r="632" ht="15.75" customHeight="1">
      <c r="G632" s="496"/>
    </row>
    <row r="633" ht="15.75" customHeight="1">
      <c r="G633" s="496"/>
    </row>
    <row r="634" ht="15.75" customHeight="1">
      <c r="G634" s="496"/>
    </row>
    <row r="635" ht="15.75" customHeight="1">
      <c r="G635" s="496"/>
    </row>
    <row r="636" ht="15.75" customHeight="1">
      <c r="G636" s="496"/>
    </row>
    <row r="637" ht="15.75" customHeight="1">
      <c r="G637" s="496"/>
    </row>
    <row r="638" ht="15.75" customHeight="1">
      <c r="G638" s="496"/>
    </row>
    <row r="639" ht="15.75" customHeight="1">
      <c r="G639" s="496"/>
    </row>
    <row r="640" ht="15.75" customHeight="1">
      <c r="G640" s="496"/>
    </row>
    <row r="641" ht="15.75" customHeight="1">
      <c r="G641" s="496"/>
    </row>
    <row r="642" ht="15.75" customHeight="1">
      <c r="G642" s="496"/>
    </row>
    <row r="643" ht="15.75" customHeight="1">
      <c r="G643" s="496"/>
    </row>
    <row r="644" ht="15.75" customHeight="1">
      <c r="G644" s="496"/>
    </row>
    <row r="645" ht="15.75" customHeight="1">
      <c r="G645" s="496"/>
    </row>
    <row r="646" ht="15.75" customHeight="1">
      <c r="G646" s="496"/>
    </row>
    <row r="647" ht="15.75" customHeight="1">
      <c r="G647" s="496"/>
    </row>
    <row r="648" ht="15.75" customHeight="1">
      <c r="G648" s="496"/>
    </row>
    <row r="649" ht="15.75" customHeight="1">
      <c r="G649" s="496"/>
    </row>
    <row r="650" ht="15.75" customHeight="1">
      <c r="G650" s="496"/>
    </row>
    <row r="651" ht="15.75" customHeight="1">
      <c r="G651" s="496"/>
    </row>
    <row r="652" ht="15.75" customHeight="1">
      <c r="G652" s="496"/>
    </row>
    <row r="653" ht="15.75" customHeight="1">
      <c r="G653" s="496"/>
    </row>
    <row r="654" ht="15.75" customHeight="1">
      <c r="G654" s="496"/>
    </row>
    <row r="655" ht="15.75" customHeight="1">
      <c r="G655" s="496"/>
    </row>
    <row r="656" ht="15.75" customHeight="1">
      <c r="G656" s="496"/>
    </row>
    <row r="657" ht="15.75" customHeight="1">
      <c r="G657" s="496"/>
    </row>
    <row r="658" ht="15.75" customHeight="1">
      <c r="G658" s="496"/>
    </row>
    <row r="659" ht="15.75" customHeight="1">
      <c r="G659" s="496"/>
    </row>
    <row r="660" ht="15.75" customHeight="1">
      <c r="G660" s="496"/>
    </row>
    <row r="661" ht="15.75" customHeight="1">
      <c r="G661" s="496"/>
    </row>
    <row r="662" ht="15.75" customHeight="1">
      <c r="G662" s="496"/>
    </row>
    <row r="663" ht="15.75" customHeight="1">
      <c r="G663" s="496"/>
    </row>
    <row r="664" ht="15.75" customHeight="1">
      <c r="G664" s="496"/>
    </row>
    <row r="665" ht="15.75" customHeight="1">
      <c r="G665" s="496"/>
    </row>
    <row r="666" ht="15.75" customHeight="1">
      <c r="G666" s="496"/>
    </row>
    <row r="667" ht="15.75" customHeight="1">
      <c r="G667" s="496"/>
    </row>
    <row r="668" ht="15.75" customHeight="1">
      <c r="G668" s="496"/>
    </row>
    <row r="669" ht="15.75" customHeight="1">
      <c r="G669" s="496"/>
    </row>
    <row r="670" ht="15.75" customHeight="1">
      <c r="G670" s="496"/>
    </row>
    <row r="671" ht="15.75" customHeight="1">
      <c r="G671" s="496"/>
    </row>
    <row r="672" ht="15.75" customHeight="1">
      <c r="G672" s="496"/>
    </row>
    <row r="673" ht="15.75" customHeight="1">
      <c r="G673" s="496"/>
    </row>
    <row r="674" ht="15.75" customHeight="1">
      <c r="G674" s="496"/>
    </row>
    <row r="675" ht="15.75" customHeight="1">
      <c r="G675" s="496"/>
    </row>
    <row r="676" ht="15.75" customHeight="1">
      <c r="G676" s="496"/>
    </row>
    <row r="677" ht="15.75" customHeight="1">
      <c r="G677" s="496"/>
    </row>
    <row r="678" ht="15.75" customHeight="1">
      <c r="G678" s="496"/>
    </row>
    <row r="679" ht="15.75" customHeight="1">
      <c r="G679" s="496"/>
    </row>
    <row r="680" ht="15.75" customHeight="1">
      <c r="G680" s="496"/>
    </row>
    <row r="681" ht="15.75" customHeight="1">
      <c r="G681" s="496"/>
    </row>
    <row r="682" ht="15.75" customHeight="1">
      <c r="G682" s="496"/>
    </row>
    <row r="683" ht="15.75" customHeight="1">
      <c r="G683" s="496"/>
    </row>
    <row r="684" ht="15.75" customHeight="1">
      <c r="G684" s="496"/>
    </row>
    <row r="685" ht="15.75" customHeight="1">
      <c r="G685" s="496"/>
    </row>
    <row r="686" ht="15.75" customHeight="1">
      <c r="G686" s="496"/>
    </row>
    <row r="687" ht="15.75" customHeight="1">
      <c r="G687" s="496"/>
    </row>
    <row r="688" ht="15.75" customHeight="1">
      <c r="G688" s="496"/>
    </row>
    <row r="689" ht="15.75" customHeight="1">
      <c r="G689" s="496"/>
    </row>
    <row r="690" ht="15.75" customHeight="1">
      <c r="G690" s="496"/>
    </row>
    <row r="691" ht="15.75" customHeight="1">
      <c r="G691" s="496"/>
    </row>
    <row r="692" ht="15.75" customHeight="1">
      <c r="G692" s="496"/>
    </row>
    <row r="693" ht="15.75" customHeight="1">
      <c r="G693" s="496"/>
    </row>
    <row r="694" ht="15.75" customHeight="1">
      <c r="G694" s="496"/>
    </row>
    <row r="695" ht="15.75" customHeight="1">
      <c r="G695" s="496"/>
    </row>
    <row r="696" ht="15.75" customHeight="1">
      <c r="G696" s="496"/>
    </row>
    <row r="697" ht="15.75" customHeight="1">
      <c r="G697" s="496"/>
    </row>
    <row r="698" ht="15.75" customHeight="1">
      <c r="G698" s="496"/>
    </row>
    <row r="699" ht="15.75" customHeight="1">
      <c r="G699" s="496"/>
    </row>
    <row r="700" ht="15.75" customHeight="1">
      <c r="G700" s="496"/>
    </row>
    <row r="701" ht="15.75" customHeight="1">
      <c r="G701" s="496"/>
    </row>
    <row r="702" ht="15.75" customHeight="1">
      <c r="G702" s="496"/>
    </row>
    <row r="703" ht="15.75" customHeight="1">
      <c r="G703" s="496"/>
    </row>
    <row r="704" ht="15.75" customHeight="1">
      <c r="G704" s="496"/>
    </row>
    <row r="705" ht="15.75" customHeight="1">
      <c r="G705" s="496"/>
    </row>
    <row r="706" ht="15.75" customHeight="1">
      <c r="G706" s="496"/>
    </row>
    <row r="707" ht="15.75" customHeight="1">
      <c r="G707" s="496"/>
    </row>
    <row r="708" ht="15.75" customHeight="1">
      <c r="G708" s="496"/>
    </row>
    <row r="709" ht="15.75" customHeight="1">
      <c r="G709" s="496"/>
    </row>
    <row r="710" ht="15.75" customHeight="1">
      <c r="G710" s="496"/>
    </row>
    <row r="711" ht="15.75" customHeight="1">
      <c r="G711" s="496"/>
    </row>
    <row r="712" ht="15.75" customHeight="1">
      <c r="G712" s="496"/>
    </row>
    <row r="713" ht="15.75" customHeight="1">
      <c r="G713" s="496"/>
    </row>
    <row r="714" ht="15.75" customHeight="1">
      <c r="G714" s="496"/>
    </row>
    <row r="715" ht="15.75" customHeight="1">
      <c r="G715" s="496"/>
    </row>
    <row r="716" ht="15.75" customHeight="1">
      <c r="G716" s="496"/>
    </row>
    <row r="717" ht="15.75" customHeight="1">
      <c r="G717" s="496"/>
    </row>
    <row r="718" ht="15.75" customHeight="1">
      <c r="G718" s="496"/>
    </row>
    <row r="719" ht="15.75" customHeight="1">
      <c r="G719" s="496"/>
    </row>
    <row r="720" ht="15.75" customHeight="1">
      <c r="G720" s="496"/>
    </row>
    <row r="721" ht="15.75" customHeight="1">
      <c r="G721" s="496"/>
    </row>
    <row r="722" ht="15.75" customHeight="1">
      <c r="G722" s="496"/>
    </row>
    <row r="723" ht="15.75" customHeight="1">
      <c r="G723" s="496"/>
    </row>
    <row r="724" ht="15.75" customHeight="1">
      <c r="G724" s="496"/>
    </row>
    <row r="725" ht="15.75" customHeight="1">
      <c r="G725" s="496"/>
    </row>
    <row r="726" ht="15.75" customHeight="1">
      <c r="G726" s="496"/>
    </row>
    <row r="727" ht="15.75" customHeight="1">
      <c r="G727" s="496"/>
    </row>
    <row r="728" ht="15.75" customHeight="1">
      <c r="G728" s="496"/>
    </row>
    <row r="729" ht="15.75" customHeight="1">
      <c r="G729" s="496"/>
    </row>
    <row r="730" ht="15.75" customHeight="1">
      <c r="G730" s="496"/>
    </row>
    <row r="731" ht="15.75" customHeight="1">
      <c r="G731" s="496"/>
    </row>
    <row r="732" ht="15.75" customHeight="1">
      <c r="G732" s="496"/>
    </row>
    <row r="733" ht="15.75" customHeight="1">
      <c r="G733" s="496"/>
    </row>
    <row r="734" ht="15.75" customHeight="1">
      <c r="G734" s="496"/>
    </row>
    <row r="735" ht="15.75" customHeight="1">
      <c r="G735" s="496"/>
    </row>
    <row r="736" ht="15.75" customHeight="1">
      <c r="G736" s="496"/>
    </row>
    <row r="737" ht="15.75" customHeight="1">
      <c r="G737" s="496"/>
    </row>
    <row r="738" ht="15.75" customHeight="1">
      <c r="G738" s="496"/>
    </row>
    <row r="739" ht="15.75" customHeight="1">
      <c r="G739" s="496"/>
    </row>
    <row r="740" ht="15.75" customHeight="1">
      <c r="G740" s="496"/>
    </row>
    <row r="741" ht="15.75" customHeight="1">
      <c r="G741" s="496"/>
    </row>
    <row r="742" ht="15.75" customHeight="1">
      <c r="G742" s="496"/>
    </row>
    <row r="743" ht="15.75" customHeight="1">
      <c r="G743" s="496"/>
    </row>
    <row r="744" ht="15.75" customHeight="1">
      <c r="G744" s="496"/>
    </row>
    <row r="745" ht="15.75" customHeight="1">
      <c r="G745" s="496"/>
    </row>
    <row r="746" ht="15.75" customHeight="1">
      <c r="G746" s="496"/>
    </row>
    <row r="747" ht="15.75" customHeight="1">
      <c r="G747" s="496"/>
    </row>
    <row r="748" ht="15.75" customHeight="1">
      <c r="G748" s="496"/>
    </row>
    <row r="749" ht="15.75" customHeight="1">
      <c r="G749" s="496"/>
    </row>
    <row r="750" ht="15.75" customHeight="1">
      <c r="G750" s="496"/>
    </row>
    <row r="751" ht="15.75" customHeight="1">
      <c r="G751" s="496"/>
    </row>
    <row r="752" ht="15.75" customHeight="1">
      <c r="G752" s="496"/>
    </row>
    <row r="753" ht="15.75" customHeight="1">
      <c r="G753" s="496"/>
    </row>
    <row r="754" ht="15.75" customHeight="1">
      <c r="G754" s="496"/>
    </row>
    <row r="755" ht="15.75" customHeight="1">
      <c r="G755" s="496"/>
    </row>
    <row r="756" ht="15.75" customHeight="1">
      <c r="G756" s="496"/>
    </row>
    <row r="757" ht="15.75" customHeight="1">
      <c r="G757" s="496"/>
    </row>
    <row r="758" ht="15.75" customHeight="1">
      <c r="G758" s="496"/>
    </row>
    <row r="759" ht="15.75" customHeight="1">
      <c r="G759" s="496"/>
    </row>
    <row r="760" ht="15.75" customHeight="1">
      <c r="G760" s="496"/>
    </row>
    <row r="761" ht="15.75" customHeight="1">
      <c r="G761" s="496"/>
    </row>
    <row r="762" ht="15.75" customHeight="1">
      <c r="G762" s="496"/>
    </row>
    <row r="763" ht="15.75" customHeight="1">
      <c r="G763" s="496"/>
    </row>
    <row r="764" ht="15.75" customHeight="1">
      <c r="G764" s="496"/>
    </row>
    <row r="765" ht="15.75" customHeight="1">
      <c r="G765" s="496"/>
    </row>
    <row r="766" ht="15.75" customHeight="1">
      <c r="G766" s="496"/>
    </row>
    <row r="767" ht="15.75" customHeight="1">
      <c r="G767" s="496"/>
    </row>
    <row r="768" ht="15.75" customHeight="1">
      <c r="G768" s="496"/>
    </row>
    <row r="769" ht="15.75" customHeight="1">
      <c r="G769" s="496"/>
    </row>
    <row r="770" ht="15.75" customHeight="1">
      <c r="G770" s="496"/>
    </row>
    <row r="771" ht="15.75" customHeight="1">
      <c r="G771" s="496"/>
    </row>
    <row r="772" ht="15.75" customHeight="1">
      <c r="G772" s="496"/>
    </row>
    <row r="773" ht="15.75" customHeight="1">
      <c r="G773" s="496"/>
    </row>
    <row r="774" ht="15.75" customHeight="1">
      <c r="G774" s="496"/>
    </row>
    <row r="775" ht="15.75" customHeight="1">
      <c r="G775" s="496"/>
    </row>
    <row r="776" ht="15.75" customHeight="1">
      <c r="G776" s="496"/>
    </row>
    <row r="777" ht="15.75" customHeight="1">
      <c r="G777" s="496"/>
    </row>
    <row r="778" ht="15.75" customHeight="1">
      <c r="G778" s="496"/>
    </row>
    <row r="779" ht="15.75" customHeight="1">
      <c r="G779" s="496"/>
    </row>
    <row r="780" ht="15.75" customHeight="1">
      <c r="G780" s="496"/>
    </row>
    <row r="781" ht="15.75" customHeight="1">
      <c r="G781" s="496"/>
    </row>
    <row r="782" ht="15.75" customHeight="1">
      <c r="G782" s="496"/>
    </row>
    <row r="783" ht="15.75" customHeight="1">
      <c r="G783" s="496"/>
    </row>
    <row r="784" ht="15.75" customHeight="1">
      <c r="G784" s="496"/>
    </row>
    <row r="785" ht="15.75" customHeight="1">
      <c r="G785" s="496"/>
    </row>
    <row r="786" ht="15.75" customHeight="1">
      <c r="G786" s="496"/>
    </row>
    <row r="787" ht="15.75" customHeight="1">
      <c r="G787" s="496"/>
    </row>
    <row r="788" ht="15.75" customHeight="1">
      <c r="G788" s="496"/>
    </row>
    <row r="789" ht="15.75" customHeight="1">
      <c r="G789" s="496"/>
    </row>
    <row r="790" ht="15.75" customHeight="1">
      <c r="G790" s="496"/>
    </row>
    <row r="791" ht="15.75" customHeight="1">
      <c r="G791" s="496"/>
    </row>
    <row r="792" ht="15.75" customHeight="1">
      <c r="G792" s="496"/>
    </row>
    <row r="793" ht="15.75" customHeight="1">
      <c r="G793" s="496"/>
    </row>
    <row r="794" ht="15.75" customHeight="1">
      <c r="G794" s="496"/>
    </row>
    <row r="795" ht="15.75" customHeight="1">
      <c r="G795" s="496"/>
    </row>
    <row r="796" ht="15.75" customHeight="1">
      <c r="G796" s="496"/>
    </row>
    <row r="797" ht="15.75" customHeight="1">
      <c r="G797" s="496"/>
    </row>
    <row r="798" ht="15.75" customHeight="1">
      <c r="G798" s="496"/>
    </row>
    <row r="799" ht="15.75" customHeight="1">
      <c r="G799" s="496"/>
    </row>
    <row r="800" ht="15.75" customHeight="1">
      <c r="G800" s="496"/>
    </row>
    <row r="801" ht="15.75" customHeight="1">
      <c r="G801" s="496"/>
    </row>
    <row r="802" ht="15.75" customHeight="1">
      <c r="G802" s="496"/>
    </row>
    <row r="803" ht="15.75" customHeight="1">
      <c r="G803" s="496"/>
    </row>
    <row r="804" ht="15.75" customHeight="1">
      <c r="G804" s="496"/>
    </row>
    <row r="805" ht="15.75" customHeight="1">
      <c r="G805" s="496"/>
    </row>
    <row r="806" ht="15.75" customHeight="1">
      <c r="G806" s="496"/>
    </row>
    <row r="807" ht="15.75" customHeight="1">
      <c r="G807" s="496"/>
    </row>
    <row r="808" ht="15.75" customHeight="1">
      <c r="G808" s="496"/>
    </row>
    <row r="809" ht="15.75" customHeight="1">
      <c r="G809" s="496"/>
    </row>
    <row r="810" ht="15.75" customHeight="1">
      <c r="G810" s="496"/>
    </row>
    <row r="811" ht="15.75" customHeight="1">
      <c r="G811" s="496"/>
    </row>
    <row r="812" ht="15.75" customHeight="1">
      <c r="G812" s="496"/>
    </row>
    <row r="813" ht="15.75" customHeight="1">
      <c r="G813" s="496"/>
    </row>
    <row r="814" ht="15.75" customHeight="1">
      <c r="G814" s="496"/>
    </row>
    <row r="815" ht="15.75" customHeight="1">
      <c r="G815" s="496"/>
    </row>
    <row r="816" ht="15.75" customHeight="1">
      <c r="G816" s="496"/>
    </row>
    <row r="817" ht="15.75" customHeight="1">
      <c r="G817" s="496"/>
    </row>
    <row r="818" ht="15.75" customHeight="1">
      <c r="G818" s="496"/>
    </row>
    <row r="819" ht="15.75" customHeight="1">
      <c r="G819" s="496"/>
    </row>
    <row r="820" ht="15.75" customHeight="1">
      <c r="G820" s="496"/>
    </row>
    <row r="821" ht="15.75" customHeight="1">
      <c r="G821" s="496"/>
    </row>
    <row r="822" ht="15.75" customHeight="1">
      <c r="G822" s="496"/>
    </row>
    <row r="823" ht="15.75" customHeight="1">
      <c r="G823" s="496"/>
    </row>
    <row r="824" ht="15.75" customHeight="1">
      <c r="G824" s="496"/>
    </row>
    <row r="825" ht="15.75" customHeight="1">
      <c r="G825" s="496"/>
    </row>
    <row r="826" ht="15.75" customHeight="1">
      <c r="G826" s="496"/>
    </row>
    <row r="827" ht="15.75" customHeight="1">
      <c r="G827" s="496"/>
    </row>
    <row r="828" ht="15.75" customHeight="1">
      <c r="G828" s="496"/>
    </row>
    <row r="829" ht="15.75" customHeight="1">
      <c r="G829" s="496"/>
    </row>
    <row r="830" ht="15.75" customHeight="1">
      <c r="G830" s="496"/>
    </row>
    <row r="831" ht="15.75" customHeight="1">
      <c r="G831" s="496"/>
    </row>
    <row r="832" ht="15.75" customHeight="1">
      <c r="G832" s="496"/>
    </row>
    <row r="833" ht="15.75" customHeight="1">
      <c r="G833" s="496"/>
    </row>
    <row r="834" ht="15.75" customHeight="1">
      <c r="G834" s="496"/>
    </row>
    <row r="835" ht="15.75" customHeight="1">
      <c r="G835" s="496"/>
    </row>
    <row r="836" ht="15.75" customHeight="1">
      <c r="G836" s="496"/>
    </row>
    <row r="837" ht="15.75" customHeight="1">
      <c r="G837" s="496"/>
    </row>
    <row r="838" ht="15.75" customHeight="1">
      <c r="G838" s="496"/>
    </row>
    <row r="839" ht="15.75" customHeight="1">
      <c r="G839" s="496"/>
    </row>
    <row r="840" ht="15.75" customHeight="1">
      <c r="G840" s="496"/>
    </row>
    <row r="841" ht="15.75" customHeight="1">
      <c r="G841" s="496"/>
    </row>
    <row r="842" ht="15.75" customHeight="1">
      <c r="G842" s="496"/>
    </row>
    <row r="843" ht="15.75" customHeight="1">
      <c r="G843" s="496"/>
    </row>
    <row r="844" ht="15.75" customHeight="1">
      <c r="G844" s="496"/>
    </row>
    <row r="845" ht="15.75" customHeight="1">
      <c r="G845" s="496"/>
    </row>
    <row r="846" ht="15.75" customHeight="1">
      <c r="G846" s="496"/>
    </row>
    <row r="847" ht="15.75" customHeight="1">
      <c r="G847" s="496"/>
    </row>
    <row r="848" ht="15.75" customHeight="1">
      <c r="G848" s="496"/>
    </row>
    <row r="849" ht="15.75" customHeight="1">
      <c r="G849" s="496"/>
    </row>
    <row r="850" ht="15.75" customHeight="1">
      <c r="G850" s="496"/>
    </row>
    <row r="851" ht="15.75" customHeight="1">
      <c r="G851" s="496"/>
    </row>
    <row r="852" ht="15.75" customHeight="1">
      <c r="G852" s="496"/>
    </row>
    <row r="853" ht="15.75" customHeight="1">
      <c r="G853" s="496"/>
    </row>
    <row r="854" ht="15.75" customHeight="1">
      <c r="G854" s="496"/>
    </row>
    <row r="855" ht="15.75" customHeight="1">
      <c r="G855" s="496"/>
    </row>
    <row r="856" ht="15.75" customHeight="1">
      <c r="G856" s="496"/>
    </row>
    <row r="857" ht="15.75" customHeight="1">
      <c r="G857" s="496"/>
    </row>
    <row r="858" ht="15.75" customHeight="1">
      <c r="G858" s="496"/>
    </row>
    <row r="859" ht="15.75" customHeight="1">
      <c r="G859" s="496"/>
    </row>
    <row r="860" ht="15.75" customHeight="1">
      <c r="G860" s="496"/>
    </row>
    <row r="861" ht="15.75" customHeight="1">
      <c r="G861" s="496"/>
    </row>
    <row r="862" ht="15.75" customHeight="1">
      <c r="G862" s="496"/>
    </row>
    <row r="863" ht="15.75" customHeight="1">
      <c r="G863" s="496"/>
    </row>
    <row r="864" ht="15.75" customHeight="1">
      <c r="G864" s="496"/>
    </row>
    <row r="865" ht="15.75" customHeight="1">
      <c r="G865" s="496"/>
    </row>
    <row r="866" ht="15.75" customHeight="1">
      <c r="G866" s="496"/>
    </row>
    <row r="867" ht="15.75" customHeight="1">
      <c r="G867" s="496"/>
    </row>
    <row r="868" ht="15.75" customHeight="1">
      <c r="G868" s="496"/>
    </row>
    <row r="869" ht="15.75" customHeight="1">
      <c r="G869" s="496"/>
    </row>
    <row r="870" ht="15.75" customHeight="1">
      <c r="G870" s="496"/>
    </row>
    <row r="871" ht="15.75" customHeight="1">
      <c r="G871" s="496"/>
    </row>
    <row r="872" ht="15.75" customHeight="1">
      <c r="G872" s="496"/>
    </row>
    <row r="873" ht="15.75" customHeight="1">
      <c r="G873" s="496"/>
    </row>
    <row r="874" ht="15.75" customHeight="1">
      <c r="G874" s="496"/>
    </row>
    <row r="875" ht="15.75" customHeight="1">
      <c r="G875" s="496"/>
    </row>
    <row r="876" ht="15.75" customHeight="1">
      <c r="G876" s="496"/>
    </row>
    <row r="877" ht="15.75" customHeight="1">
      <c r="G877" s="496"/>
    </row>
    <row r="878" ht="15.75" customHeight="1">
      <c r="G878" s="496"/>
    </row>
    <row r="879" ht="15.75" customHeight="1">
      <c r="G879" s="496"/>
    </row>
    <row r="880" ht="15.75" customHeight="1">
      <c r="G880" s="496"/>
    </row>
    <row r="881" ht="15.75" customHeight="1">
      <c r="G881" s="496"/>
    </row>
    <row r="882" ht="15.75" customHeight="1">
      <c r="G882" s="496"/>
    </row>
    <row r="883" ht="15.75" customHeight="1">
      <c r="G883" s="496"/>
    </row>
    <row r="884" ht="15.75" customHeight="1">
      <c r="G884" s="496"/>
    </row>
    <row r="885" ht="15.75" customHeight="1">
      <c r="G885" s="496"/>
    </row>
    <row r="886" ht="15.75" customHeight="1">
      <c r="G886" s="496"/>
    </row>
    <row r="887" ht="15.75" customHeight="1">
      <c r="G887" s="496"/>
    </row>
    <row r="888" ht="15.75" customHeight="1">
      <c r="G888" s="496"/>
    </row>
    <row r="889" ht="15.75" customHeight="1">
      <c r="G889" s="496"/>
    </row>
    <row r="890" ht="15.75" customHeight="1">
      <c r="G890" s="496"/>
    </row>
    <row r="891" ht="15.75" customHeight="1">
      <c r="G891" s="496"/>
    </row>
    <row r="892" ht="15.75" customHeight="1">
      <c r="G892" s="496"/>
    </row>
    <row r="893" ht="15.75" customHeight="1">
      <c r="G893" s="496"/>
    </row>
    <row r="894" ht="15.75" customHeight="1">
      <c r="G894" s="496"/>
    </row>
    <row r="895" ht="15.75" customHeight="1">
      <c r="G895" s="496"/>
    </row>
    <row r="896" ht="15.75" customHeight="1">
      <c r="G896" s="496"/>
    </row>
    <row r="897" ht="15.75" customHeight="1">
      <c r="G897" s="496"/>
    </row>
    <row r="898" ht="15.75" customHeight="1">
      <c r="G898" s="496"/>
    </row>
    <row r="899" ht="15.75" customHeight="1">
      <c r="G899" s="496"/>
    </row>
    <row r="900" ht="15.75" customHeight="1">
      <c r="G900" s="496"/>
    </row>
    <row r="901" ht="15.75" customHeight="1">
      <c r="G901" s="496"/>
    </row>
    <row r="902" ht="15.75" customHeight="1">
      <c r="G902" s="496"/>
    </row>
    <row r="903" ht="15.75" customHeight="1">
      <c r="G903" s="496"/>
    </row>
    <row r="904" ht="15.75" customHeight="1">
      <c r="G904" s="496"/>
    </row>
    <row r="905" ht="15.75" customHeight="1">
      <c r="G905" s="496"/>
    </row>
    <row r="906" ht="15.75" customHeight="1">
      <c r="G906" s="496"/>
    </row>
    <row r="907" ht="15.75" customHeight="1">
      <c r="G907" s="496"/>
    </row>
    <row r="908" ht="15.75" customHeight="1">
      <c r="G908" s="496"/>
    </row>
    <row r="909" ht="15.75" customHeight="1">
      <c r="G909" s="496"/>
    </row>
    <row r="910" ht="15.75" customHeight="1">
      <c r="G910" s="496"/>
    </row>
    <row r="911" ht="15.75" customHeight="1">
      <c r="G911" s="496"/>
    </row>
    <row r="912" ht="15.75" customHeight="1">
      <c r="G912" s="496"/>
    </row>
    <row r="913" ht="15.75" customHeight="1">
      <c r="G913" s="496"/>
    </row>
    <row r="914" ht="15.75" customHeight="1">
      <c r="G914" s="496"/>
    </row>
    <row r="915" ht="15.75" customHeight="1">
      <c r="G915" s="496"/>
    </row>
    <row r="916" ht="15.75" customHeight="1">
      <c r="G916" s="496"/>
    </row>
    <row r="917" ht="15.75" customHeight="1">
      <c r="G917" s="496"/>
    </row>
    <row r="918" ht="15.75" customHeight="1">
      <c r="G918" s="496"/>
    </row>
    <row r="919" ht="15.75" customHeight="1">
      <c r="G919" s="496"/>
    </row>
    <row r="920" ht="15.75" customHeight="1">
      <c r="G920" s="496"/>
    </row>
    <row r="921" ht="15.75" customHeight="1">
      <c r="G921" s="496"/>
    </row>
    <row r="922" ht="15.75" customHeight="1">
      <c r="G922" s="496"/>
    </row>
    <row r="923" ht="15.75" customHeight="1">
      <c r="G923" s="496"/>
    </row>
    <row r="924" ht="15.75" customHeight="1">
      <c r="G924" s="496"/>
    </row>
    <row r="925" ht="15.75" customHeight="1">
      <c r="G925" s="496"/>
    </row>
    <row r="926" ht="15.75" customHeight="1">
      <c r="G926" s="496"/>
    </row>
    <row r="927" ht="15.75" customHeight="1">
      <c r="G927" s="496"/>
    </row>
    <row r="928" ht="15.75" customHeight="1">
      <c r="G928" s="496"/>
    </row>
    <row r="929" ht="15.75" customHeight="1">
      <c r="G929" s="496"/>
    </row>
    <row r="930" ht="15.75" customHeight="1">
      <c r="G930" s="496"/>
    </row>
    <row r="931" ht="15.75" customHeight="1">
      <c r="G931" s="496"/>
    </row>
    <row r="932" ht="15.75" customHeight="1">
      <c r="G932" s="496"/>
    </row>
    <row r="933" ht="15.75" customHeight="1">
      <c r="G933" s="496"/>
    </row>
    <row r="934" ht="15.75" customHeight="1">
      <c r="G934" s="496"/>
    </row>
    <row r="935" ht="15.75" customHeight="1">
      <c r="G935" s="496"/>
    </row>
    <row r="936" ht="15.75" customHeight="1">
      <c r="G936" s="496"/>
    </row>
    <row r="937" ht="15.75" customHeight="1">
      <c r="G937" s="496"/>
    </row>
    <row r="938" ht="15.75" customHeight="1">
      <c r="G938" s="496"/>
    </row>
    <row r="939" ht="15.75" customHeight="1">
      <c r="G939" s="496"/>
    </row>
    <row r="940" ht="15.75" customHeight="1">
      <c r="G940" s="496"/>
    </row>
    <row r="941" ht="15.75" customHeight="1">
      <c r="G941" s="496"/>
    </row>
    <row r="942" ht="15.75" customHeight="1">
      <c r="G942" s="496"/>
    </row>
    <row r="943" ht="15.75" customHeight="1">
      <c r="G943" s="496"/>
    </row>
    <row r="944" ht="15.75" customHeight="1">
      <c r="G944" s="496"/>
    </row>
    <row r="945" ht="15.75" customHeight="1">
      <c r="G945" s="496"/>
    </row>
    <row r="946" ht="15.75" customHeight="1">
      <c r="G946" s="496"/>
    </row>
    <row r="947" ht="15.75" customHeight="1">
      <c r="G947" s="496"/>
    </row>
    <row r="948" ht="15.75" customHeight="1">
      <c r="G948" s="496"/>
    </row>
    <row r="949" ht="15.75" customHeight="1">
      <c r="G949" s="496"/>
    </row>
    <row r="950" ht="15.75" customHeight="1">
      <c r="G950" s="496"/>
    </row>
    <row r="951" ht="15.75" customHeight="1">
      <c r="G951" s="496"/>
    </row>
    <row r="952" ht="15.75" customHeight="1">
      <c r="G952" s="496"/>
    </row>
    <row r="953" ht="15.75" customHeight="1">
      <c r="G953" s="496"/>
    </row>
    <row r="954" ht="15.75" customHeight="1">
      <c r="G954" s="496"/>
    </row>
    <row r="955" ht="15.75" customHeight="1">
      <c r="G955" s="496"/>
    </row>
    <row r="956" ht="15.75" customHeight="1">
      <c r="G956" s="496"/>
    </row>
    <row r="957" ht="15.75" customHeight="1">
      <c r="G957" s="496"/>
    </row>
    <row r="958" ht="15.75" customHeight="1">
      <c r="G958" s="496"/>
    </row>
    <row r="959" ht="15.75" customHeight="1">
      <c r="G959" s="496"/>
    </row>
    <row r="960" ht="15.75" customHeight="1">
      <c r="G960" s="496"/>
    </row>
    <row r="961" ht="15.75" customHeight="1">
      <c r="G961" s="496"/>
    </row>
    <row r="962" ht="15.75" customHeight="1">
      <c r="G962" s="496"/>
    </row>
    <row r="963" ht="15.75" customHeight="1">
      <c r="G963" s="496"/>
    </row>
    <row r="964" ht="15.75" customHeight="1">
      <c r="G964" s="496"/>
    </row>
    <row r="965" ht="15.75" customHeight="1">
      <c r="G965" s="496"/>
    </row>
    <row r="966" ht="15.75" customHeight="1">
      <c r="G966" s="496"/>
    </row>
    <row r="967" ht="15.75" customHeight="1">
      <c r="G967" s="496"/>
    </row>
    <row r="968" ht="15.75" customHeight="1">
      <c r="G968" s="496"/>
    </row>
    <row r="969" ht="15.75" customHeight="1">
      <c r="G969" s="496"/>
    </row>
    <row r="970" ht="15.75" customHeight="1">
      <c r="G970" s="496"/>
    </row>
    <row r="971" ht="15.75" customHeight="1">
      <c r="G971" s="496"/>
    </row>
  </sheetData>
  <mergeCells count="151">
    <mergeCell ref="I3:K3"/>
    <mergeCell ref="I4:K4"/>
    <mergeCell ref="I5:K5"/>
    <mergeCell ref="L5:M5"/>
    <mergeCell ref="I6:K6"/>
    <mergeCell ref="L6:M6"/>
    <mergeCell ref="I7:K7"/>
    <mergeCell ref="L7:M7"/>
    <mergeCell ref="A1:R1"/>
    <mergeCell ref="B2:C2"/>
    <mergeCell ref="B3:C3"/>
    <mergeCell ref="D3:F3"/>
    <mergeCell ref="L3:M3"/>
    <mergeCell ref="D4:F4"/>
    <mergeCell ref="L4:M4"/>
    <mergeCell ref="B8:C8"/>
    <mergeCell ref="D8:F8"/>
    <mergeCell ref="I8:K8"/>
    <mergeCell ref="L8:M8"/>
    <mergeCell ref="B4:C4"/>
    <mergeCell ref="B5:C5"/>
    <mergeCell ref="D5:F5"/>
    <mergeCell ref="B6:C6"/>
    <mergeCell ref="D6:F6"/>
    <mergeCell ref="B7:C7"/>
    <mergeCell ref="D7:F7"/>
    <mergeCell ref="G10:H10"/>
    <mergeCell ref="I10:K10"/>
    <mergeCell ref="I11:K11"/>
    <mergeCell ref="L11:M11"/>
    <mergeCell ref="I12:K12"/>
    <mergeCell ref="L12:M12"/>
    <mergeCell ref="B9:C9"/>
    <mergeCell ref="D9:F9"/>
    <mergeCell ref="G9:H9"/>
    <mergeCell ref="I9:K9"/>
    <mergeCell ref="L9:M9"/>
    <mergeCell ref="D10:F10"/>
    <mergeCell ref="L10:M10"/>
    <mergeCell ref="B10:C10"/>
    <mergeCell ref="B11:C11"/>
    <mergeCell ref="D11:F11"/>
    <mergeCell ref="G11:H11"/>
    <mergeCell ref="B12:C12"/>
    <mergeCell ref="D12:F12"/>
    <mergeCell ref="G12:H12"/>
    <mergeCell ref="J26:K26"/>
    <mergeCell ref="L26:M26"/>
    <mergeCell ref="H24:I24"/>
    <mergeCell ref="J24:K24"/>
    <mergeCell ref="L24:M24"/>
    <mergeCell ref="H25:I25"/>
    <mergeCell ref="J25:K25"/>
    <mergeCell ref="L25:M25"/>
    <mergeCell ref="H26:I26"/>
    <mergeCell ref="B19:C19"/>
    <mergeCell ref="B20:C20"/>
    <mergeCell ref="B21:C21"/>
    <mergeCell ref="B22:C22"/>
    <mergeCell ref="B23:C23"/>
    <mergeCell ref="B24:C24"/>
    <mergeCell ref="B25:C25"/>
    <mergeCell ref="B28:C28"/>
    <mergeCell ref="B29:C29"/>
    <mergeCell ref="B30:C30"/>
    <mergeCell ref="B31:C31"/>
    <mergeCell ref="B32:C32"/>
    <mergeCell ref="B33:C33"/>
    <mergeCell ref="B34:C34"/>
    <mergeCell ref="B42:C42"/>
    <mergeCell ref="B43:C43"/>
    <mergeCell ref="B44:C44"/>
    <mergeCell ref="B45:C45"/>
    <mergeCell ref="B46:C46"/>
    <mergeCell ref="B47:C47"/>
    <mergeCell ref="B48:C48"/>
    <mergeCell ref="B49:C49"/>
    <mergeCell ref="B35:C35"/>
    <mergeCell ref="B36:C36"/>
    <mergeCell ref="B37:C37"/>
    <mergeCell ref="B38:C38"/>
    <mergeCell ref="B39:C39"/>
    <mergeCell ref="B40:C40"/>
    <mergeCell ref="B41:C41"/>
    <mergeCell ref="H28:I28"/>
    <mergeCell ref="H29:I29"/>
    <mergeCell ref="J29:K29"/>
    <mergeCell ref="L29:M29"/>
    <mergeCell ref="H30:I30"/>
    <mergeCell ref="J30:K30"/>
    <mergeCell ref="L30:M30"/>
    <mergeCell ref="J33:K33"/>
    <mergeCell ref="L33:M33"/>
    <mergeCell ref="H34:I34"/>
    <mergeCell ref="J34:K34"/>
    <mergeCell ref="L34:M34"/>
    <mergeCell ref="H31:I31"/>
    <mergeCell ref="J31:K31"/>
    <mergeCell ref="L31:M31"/>
    <mergeCell ref="H32:I32"/>
    <mergeCell ref="J32:K32"/>
    <mergeCell ref="L32:M32"/>
    <mergeCell ref="H33:I33"/>
    <mergeCell ref="G14:H14"/>
    <mergeCell ref="I14:K14"/>
    <mergeCell ref="I15:K15"/>
    <mergeCell ref="L15:M15"/>
    <mergeCell ref="I16:K16"/>
    <mergeCell ref="L16:M16"/>
    <mergeCell ref="B13:C13"/>
    <mergeCell ref="D13:F13"/>
    <mergeCell ref="G13:H13"/>
    <mergeCell ref="I13:K13"/>
    <mergeCell ref="L13:M13"/>
    <mergeCell ref="D14:F14"/>
    <mergeCell ref="L14:M14"/>
    <mergeCell ref="B14:C14"/>
    <mergeCell ref="B15:C15"/>
    <mergeCell ref="D15:F15"/>
    <mergeCell ref="G15:H15"/>
    <mergeCell ref="B16:C16"/>
    <mergeCell ref="D16:F16"/>
    <mergeCell ref="G16:H16"/>
    <mergeCell ref="B17:C17"/>
    <mergeCell ref="D17:F17"/>
    <mergeCell ref="G17:H17"/>
    <mergeCell ref="I17:K17"/>
    <mergeCell ref="L17:M17"/>
    <mergeCell ref="B18:C18"/>
    <mergeCell ref="L19:M19"/>
    <mergeCell ref="H19:I19"/>
    <mergeCell ref="J19:K19"/>
    <mergeCell ref="H20:I20"/>
    <mergeCell ref="J20:K20"/>
    <mergeCell ref="L20:M20"/>
    <mergeCell ref="J21:K21"/>
    <mergeCell ref="L21:M21"/>
    <mergeCell ref="H21:I21"/>
    <mergeCell ref="H22:I22"/>
    <mergeCell ref="J22:K22"/>
    <mergeCell ref="L22:M22"/>
    <mergeCell ref="H23:I23"/>
    <mergeCell ref="J23:K23"/>
    <mergeCell ref="L23:M23"/>
    <mergeCell ref="B26:C26"/>
    <mergeCell ref="B27:C27"/>
    <mergeCell ref="H27:I27"/>
    <mergeCell ref="J27:K27"/>
    <mergeCell ref="L27:M27"/>
    <mergeCell ref="J28:K28"/>
    <mergeCell ref="L28:M2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2025-06-30T23:06:56Z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2025-06-17T00:00:00Z</vt:filetime>
  </property>
  <property fmtid="{D5CDD505-2E9C-101B-9397-08002B2CF9AE}" pid="3" name="Creator">
    <vt:lpwstr>Microsoft Reporting Services 15.0.0.0</vt:lpwstr>
  </property>
  <property fmtid="{D5CDD505-2E9C-101B-9397-08002B2CF9AE}" pid="4" name="Producer">
    <vt:lpwstr>Microsoft Reporting Services PDF Rendering Extension 15.0.0.0</vt:lpwstr>
  </property>
  <property fmtid="{D5CDD505-2E9C-101B-9397-08002B2CF9AE}" pid="5" name="LastSaved">
    <vt:filetime>2025-06-17T00:00:00Z</vt:filetime>
  </property>
</Properties>
</file>